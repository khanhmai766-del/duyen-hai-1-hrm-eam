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C:\Users\Asus\OneDrive\Desktop\duyen-hai-1-hrm-eam\exports\"/>
    </mc:Choice>
  </mc:AlternateContent>
  <xr:revisionPtr revIDLastSave="0" documentId="13_ncr:1_{6F090AE9-FBA9-45E4-A744-1360EDFF9CC4}" xr6:coauthVersionLast="47" xr6:coauthVersionMax="47" xr10:uidLastSave="{00000000-0000-0000-0000-000000000000}"/>
  <bookViews>
    <workbookView xWindow="-120" yWindow="-120" windowWidth="29040" windowHeight="16440" activeTab="6" xr2:uid="{00000000-000D-0000-FFFF-FFFF00000000}"/>
  </bookViews>
  <sheets>
    <sheet name="Tháng 8.2026" sheetId="80" r:id="rId1"/>
    <sheet name="Tháng 7.2026" sheetId="79" r:id="rId2"/>
    <sheet name="Tháng 6.2026" sheetId="78" r:id="rId3"/>
    <sheet name="Tháng 05.2026" sheetId="77" r:id="rId4"/>
    <sheet name="Tháng 04.2026" sheetId="76" r:id="rId5"/>
    <sheet name="Tháng 03.2026" sheetId="75" r:id="rId6"/>
    <sheet name="Tháng 02.2026" sheetId="74" r:id="rId7"/>
    <sheet name="Tháng 01.2026" sheetId="73" r:id="rId8"/>
    <sheet name="Tháng 12.2024" sheetId="60" state="hidden" r:id="rId9"/>
    <sheet name="Tháng 11.2024" sheetId="59" state="hidden" r:id="rId10"/>
    <sheet name="Tháng 10.2024" sheetId="58" state="hidden" r:id="rId11"/>
    <sheet name="Tháng 9.2024" sheetId="57" state="hidden" r:id="rId12"/>
    <sheet name="Tháng 8.2024" sheetId="55" state="hidden" r:id="rId13"/>
  </sheets>
  <externalReferences>
    <externalReference r:id="rId14"/>
    <externalReference r:id="rId15"/>
  </externalReferences>
  <definedNames>
    <definedName name="_xlnm._FilterDatabase" localSheetId="7" hidden="1">'Tháng 01.2026'!$A$21:$AF$100</definedName>
    <definedName name="_xlnm._FilterDatabase" localSheetId="6" hidden="1">'Tháng 02.2026'!$A$21:$AF$160</definedName>
    <definedName name="_xlnm._FilterDatabase" localSheetId="5" hidden="1">'Tháng 03.2026'!$A$21:$AF$231</definedName>
    <definedName name="_xlnm._FilterDatabase" localSheetId="4" hidden="1">'Tháng 04.2026'!$A$21:$AF$234</definedName>
    <definedName name="_xlnm._FilterDatabase" localSheetId="3" hidden="1">'Tháng 05.2026'!$A$21:$AF$151</definedName>
    <definedName name="_xlnm._FilterDatabase" localSheetId="10" hidden="1">'Tháng 10.2024'!$A$21:$X$227</definedName>
    <definedName name="_xlnm._FilterDatabase" localSheetId="9" hidden="1">'Tháng 11.2024'!$A$21:$X$117</definedName>
    <definedName name="_xlnm._FilterDatabase" localSheetId="8" hidden="1">'Tháng 12.2024'!$A$21:$X$138</definedName>
    <definedName name="_xlnm._FilterDatabase" localSheetId="2" hidden="1">'Tháng 6.2026'!$A$21:$AF$150</definedName>
    <definedName name="_xlnm._FilterDatabase" localSheetId="1" hidden="1">'Tháng 7.2026'!$A$21:$AF$210</definedName>
    <definedName name="_xlnm._FilterDatabase" localSheetId="12" hidden="1">'Tháng 8.2024'!$A$21:$X$168</definedName>
    <definedName name="_xlnm._FilterDatabase" localSheetId="0" hidden="1">'Tháng 8.2026'!$A$21:$AF$263</definedName>
    <definedName name="_xlnm._FilterDatabase" localSheetId="11" hidden="1">'Tháng 9.2024'!$A$21:$X$196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3" i="80" l="1"/>
  <c r="G174" i="80"/>
  <c r="G175" i="80"/>
  <c r="G176" i="80"/>
  <c r="G177" i="80"/>
  <c r="G172" i="80"/>
  <c r="H174" i="80" l="1"/>
  <c r="A169" i="80"/>
  <c r="A170" i="80" s="1"/>
  <c r="A171" i="80" s="1"/>
  <c r="A172" i="80" s="1"/>
  <c r="A173" i="80" s="1"/>
  <c r="A174" i="80" s="1"/>
  <c r="A175" i="80" s="1"/>
  <c r="A176" i="80" s="1"/>
  <c r="A177" i="80" s="1"/>
  <c r="H151" i="80"/>
  <c r="H149" i="80"/>
  <c r="A149" i="80"/>
  <c r="A150" i="80" s="1"/>
  <c r="A151" i="80" s="1"/>
  <c r="A152" i="80" s="1"/>
  <c r="A153" i="80" s="1"/>
  <c r="A154" i="80" s="1"/>
  <c r="A155" i="80" s="1"/>
  <c r="A156" i="80" s="1"/>
  <c r="A157" i="80" s="1"/>
  <c r="A158" i="80" s="1"/>
  <c r="A159" i="80" s="1"/>
  <c r="A160" i="80" s="1"/>
  <c r="A161" i="80" s="1"/>
  <c r="A162" i="80" s="1"/>
  <c r="A165" i="80" s="1"/>
  <c r="A166" i="80" s="1"/>
  <c r="A167" i="80" s="1"/>
  <c r="G147" i="80"/>
  <c r="G145" i="80"/>
  <c r="A145" i="80"/>
  <c r="G144" i="80"/>
  <c r="H143" i="80"/>
  <c r="G143" i="80"/>
  <c r="A143" i="80"/>
  <c r="G142" i="80"/>
  <c r="G141" i="80"/>
  <c r="G140" i="80"/>
  <c r="A140" i="80"/>
  <c r="A141" i="80" s="1"/>
  <c r="A142" i="80" s="1"/>
  <c r="G139" i="80"/>
  <c r="G138" i="80"/>
  <c r="A138" i="80"/>
  <c r="A139" i="80" s="1"/>
  <c r="G137" i="80"/>
  <c r="A137" i="80"/>
  <c r="G136" i="80"/>
  <c r="A136" i="80"/>
  <c r="H135" i="80"/>
  <c r="F135" i="80"/>
  <c r="E135" i="80"/>
  <c r="G134" i="80"/>
  <c r="G133" i="80"/>
  <c r="G132" i="80"/>
  <c r="G131" i="80"/>
  <c r="A131" i="80"/>
  <c r="A132" i="80" s="1"/>
  <c r="A133" i="80" s="1"/>
  <c r="A111" i="80" s="1"/>
  <c r="G130" i="80"/>
  <c r="G129" i="80"/>
  <c r="G127" i="80"/>
  <c r="G126" i="80"/>
  <c r="A126" i="80"/>
  <c r="G125" i="80"/>
  <c r="G124" i="80"/>
  <c r="G123" i="80"/>
  <c r="A123" i="80"/>
  <c r="A124" i="80" s="1"/>
  <c r="G122" i="80"/>
  <c r="G121" i="80"/>
  <c r="G120" i="80"/>
  <c r="G119" i="80"/>
  <c r="G118" i="80"/>
  <c r="A118" i="80"/>
  <c r="A119" i="80" s="1"/>
  <c r="A120" i="80" s="1"/>
  <c r="A121" i="80" s="1"/>
  <c r="A122" i="80" s="1"/>
  <c r="G117" i="80"/>
  <c r="G116" i="80"/>
  <c r="A116" i="80"/>
  <c r="G115" i="80"/>
  <c r="A115" i="80"/>
  <c r="G114" i="80"/>
  <c r="H113" i="80"/>
  <c r="G113" i="80"/>
  <c r="H112" i="80"/>
  <c r="G112" i="80"/>
  <c r="A112" i="80"/>
  <c r="G111" i="80"/>
  <c r="H110" i="80"/>
  <c r="G110" i="80"/>
  <c r="G109" i="80"/>
  <c r="G108" i="80"/>
  <c r="G107" i="80"/>
  <c r="G106" i="80"/>
  <c r="A106" i="80"/>
  <c r="G84" i="80"/>
  <c r="G83" i="80"/>
  <c r="G76" i="80"/>
  <c r="G75" i="80"/>
  <c r="G74" i="80"/>
  <c r="G73" i="80"/>
  <c r="G72" i="80"/>
  <c r="G71" i="80"/>
  <c r="H70" i="80"/>
  <c r="G70" i="80"/>
  <c r="A70" i="80"/>
  <c r="G69" i="80"/>
  <c r="G68" i="80"/>
  <c r="G67" i="80"/>
  <c r="G66" i="80"/>
  <c r="A66" i="80"/>
  <c r="G65" i="80"/>
  <c r="G64" i="80"/>
  <c r="G63" i="80"/>
  <c r="G62" i="80"/>
  <c r="G61" i="80"/>
  <c r="G60" i="80"/>
  <c r="G59" i="80"/>
  <c r="A59" i="80"/>
  <c r="G58" i="80"/>
  <c r="G57" i="80"/>
  <c r="G56" i="80"/>
  <c r="G55" i="80"/>
  <c r="G53" i="80"/>
  <c r="G51" i="80"/>
  <c r="F50" i="80"/>
  <c r="E50" i="80"/>
  <c r="G49" i="80"/>
  <c r="G47" i="80"/>
  <c r="G46" i="80"/>
  <c r="G45" i="80"/>
  <c r="A45" i="80"/>
  <c r="A46" i="80" s="1"/>
  <c r="A47" i="80" s="1"/>
  <c r="A48" i="80" s="1"/>
  <c r="A49" i="80" s="1"/>
  <c r="A50" i="80" s="1"/>
  <c r="A53" i="80" s="1"/>
  <c r="G44" i="80"/>
  <c r="G43" i="80"/>
  <c r="A43" i="80"/>
  <c r="G42" i="80"/>
  <c r="A42" i="80"/>
  <c r="G41" i="80"/>
  <c r="G40" i="80"/>
  <c r="G39" i="80"/>
  <c r="G38" i="80"/>
  <c r="G37" i="80"/>
  <c r="G36" i="80"/>
  <c r="G35" i="80"/>
  <c r="A33" i="80"/>
  <c r="A35" i="80" s="1"/>
  <c r="A36" i="80" s="1"/>
  <c r="G32" i="80"/>
  <c r="A32" i="80"/>
  <c r="G31" i="80"/>
  <c r="H30" i="80"/>
  <c r="G30" i="80"/>
  <c r="G29" i="80"/>
  <c r="G28" i="80"/>
  <c r="G27" i="80"/>
  <c r="G26" i="80"/>
  <c r="G25" i="80"/>
  <c r="A25" i="80"/>
  <c r="A26" i="80" s="1"/>
  <c r="A27" i="80" s="1"/>
  <c r="G24" i="80"/>
  <c r="G23" i="80"/>
  <c r="G50" i="80" l="1"/>
  <c r="G135" i="80"/>
  <c r="G51" i="79"/>
  <c r="H174" i="79"/>
  <c r="A169" i="79"/>
  <c r="A170" i="79" s="1"/>
  <c r="A171" i="79" s="1"/>
  <c r="A172" i="79" s="1"/>
  <c r="A173" i="79" s="1"/>
  <c r="A174" i="79" s="1"/>
  <c r="A175" i="79" s="1"/>
  <c r="A176" i="79" s="1"/>
  <c r="A177" i="79" s="1"/>
  <c r="H151" i="79"/>
  <c r="H149" i="79"/>
  <c r="A149" i="79"/>
  <c r="A150" i="79" s="1"/>
  <c r="A151" i="79" s="1"/>
  <c r="A152" i="79" s="1"/>
  <c r="A153" i="79" s="1"/>
  <c r="A154" i="79" s="1"/>
  <c r="A155" i="79" s="1"/>
  <c r="A156" i="79" s="1"/>
  <c r="A157" i="79" s="1"/>
  <c r="A158" i="79" s="1"/>
  <c r="A159" i="79" s="1"/>
  <c r="A160" i="79" s="1"/>
  <c r="A161" i="79" s="1"/>
  <c r="A162" i="79" s="1"/>
  <c r="A165" i="79" s="1"/>
  <c r="A166" i="79" s="1"/>
  <c r="A167" i="79" s="1"/>
  <c r="G147" i="79"/>
  <c r="G145" i="79"/>
  <c r="A145" i="79"/>
  <c r="G144" i="79"/>
  <c r="H143" i="79"/>
  <c r="G143" i="79"/>
  <c r="A143" i="79"/>
  <c r="G142" i="79"/>
  <c r="G141" i="79"/>
  <c r="G140" i="79"/>
  <c r="A140" i="79"/>
  <c r="A141" i="79" s="1"/>
  <c r="A142" i="79" s="1"/>
  <c r="G139" i="79"/>
  <c r="G138" i="79"/>
  <c r="A138" i="79"/>
  <c r="A139" i="79" s="1"/>
  <c r="G137" i="79"/>
  <c r="A137" i="79"/>
  <c r="G136" i="79"/>
  <c r="A136" i="79"/>
  <c r="H135" i="79"/>
  <c r="F135" i="79"/>
  <c r="E135" i="79"/>
  <c r="G134" i="79"/>
  <c r="G133" i="79"/>
  <c r="G132" i="79"/>
  <c r="G131" i="79"/>
  <c r="A131" i="79"/>
  <c r="A132" i="79" s="1"/>
  <c r="A133" i="79" s="1"/>
  <c r="A111" i="79" s="1"/>
  <c r="G130" i="79"/>
  <c r="G129" i="79"/>
  <c r="G127" i="79"/>
  <c r="G126" i="79"/>
  <c r="A126" i="79"/>
  <c r="G125" i="79"/>
  <c r="G124" i="79"/>
  <c r="G123" i="79"/>
  <c r="A123" i="79"/>
  <c r="A124" i="79" s="1"/>
  <c r="G122" i="79"/>
  <c r="G121" i="79"/>
  <c r="G120" i="79"/>
  <c r="G119" i="79"/>
  <c r="G118" i="79"/>
  <c r="A118" i="79"/>
  <c r="A119" i="79" s="1"/>
  <c r="A120" i="79" s="1"/>
  <c r="A121" i="79" s="1"/>
  <c r="A122" i="79" s="1"/>
  <c r="G117" i="79"/>
  <c r="G116" i="79"/>
  <c r="A116" i="79"/>
  <c r="G115" i="79"/>
  <c r="A115" i="79"/>
  <c r="G114" i="79"/>
  <c r="H113" i="79"/>
  <c r="G113" i="79"/>
  <c r="H112" i="79"/>
  <c r="G112" i="79"/>
  <c r="A112" i="79"/>
  <c r="G111" i="79"/>
  <c r="H110" i="79"/>
  <c r="G110" i="79"/>
  <c r="G109" i="79"/>
  <c r="G108" i="79"/>
  <c r="G107" i="79"/>
  <c r="G106" i="79"/>
  <c r="A106" i="79"/>
  <c r="G84" i="79"/>
  <c r="G83" i="79"/>
  <c r="G76" i="79"/>
  <c r="G75" i="79"/>
  <c r="G74" i="79"/>
  <c r="G73" i="79"/>
  <c r="G72" i="79"/>
  <c r="G71" i="79"/>
  <c r="H70" i="79"/>
  <c r="G70" i="79"/>
  <c r="A70" i="79"/>
  <c r="G69" i="79"/>
  <c r="G68" i="79"/>
  <c r="G67" i="79"/>
  <c r="G66" i="79"/>
  <c r="A66" i="79"/>
  <c r="G65" i="79"/>
  <c r="G64" i="79"/>
  <c r="G63" i="79"/>
  <c r="G62" i="79"/>
  <c r="G61" i="79"/>
  <c r="G60" i="79"/>
  <c r="G59" i="79"/>
  <c r="A59" i="79"/>
  <c r="G58" i="79"/>
  <c r="G57" i="79"/>
  <c r="G56" i="79"/>
  <c r="G55" i="79"/>
  <c r="G53" i="79"/>
  <c r="F50" i="79"/>
  <c r="E50" i="79"/>
  <c r="G49" i="79"/>
  <c r="G47" i="79"/>
  <c r="G46" i="79"/>
  <c r="G45" i="79"/>
  <c r="A45" i="79"/>
  <c r="A46" i="79" s="1"/>
  <c r="A47" i="79" s="1"/>
  <c r="A48" i="79" s="1"/>
  <c r="A49" i="79" s="1"/>
  <c r="A50" i="79" s="1"/>
  <c r="A53" i="79" s="1"/>
  <c r="G44" i="79"/>
  <c r="G43" i="79"/>
  <c r="A43" i="79"/>
  <c r="G42" i="79"/>
  <c r="A42" i="79"/>
  <c r="G41" i="79"/>
  <c r="G40" i="79"/>
  <c r="G39" i="79"/>
  <c r="G38" i="79"/>
  <c r="G37" i="79"/>
  <c r="G36" i="79"/>
  <c r="G35" i="79"/>
  <c r="A33" i="79"/>
  <c r="A35" i="79" s="1"/>
  <c r="A36" i="79" s="1"/>
  <c r="G32" i="79"/>
  <c r="A32" i="79"/>
  <c r="G31" i="79"/>
  <c r="H30" i="79"/>
  <c r="G30" i="79"/>
  <c r="G29" i="79"/>
  <c r="G28" i="79"/>
  <c r="G27" i="79"/>
  <c r="G26" i="79"/>
  <c r="G25" i="79"/>
  <c r="A25" i="79"/>
  <c r="A26" i="79" s="1"/>
  <c r="A27" i="79" s="1"/>
  <c r="G24" i="79"/>
  <c r="G23" i="79"/>
  <c r="G65" i="78"/>
  <c r="G135" i="79" l="1"/>
  <c r="G50" i="79"/>
  <c r="H147" i="78"/>
  <c r="H124" i="78"/>
  <c r="H122" i="78"/>
  <c r="G120" i="78"/>
  <c r="G118" i="78"/>
  <c r="G117" i="78"/>
  <c r="A118" i="78"/>
  <c r="H116" i="78"/>
  <c r="G116" i="78"/>
  <c r="A116" i="78"/>
  <c r="G115" i="78"/>
  <c r="G114" i="78"/>
  <c r="G113" i="78"/>
  <c r="G112" i="78"/>
  <c r="G111" i="78"/>
  <c r="G110" i="78"/>
  <c r="A110" i="78"/>
  <c r="A111" i="78" s="1"/>
  <c r="A112" i="78" s="1"/>
  <c r="A113" i="78" s="1"/>
  <c r="A114" i="78" s="1"/>
  <c r="A115" i="78" s="1"/>
  <c r="G109" i="78"/>
  <c r="H108" i="78"/>
  <c r="F108" i="78"/>
  <c r="E108" i="78"/>
  <c r="G107" i="78"/>
  <c r="G106" i="78"/>
  <c r="G105" i="78"/>
  <c r="G104" i="78"/>
  <c r="A104" i="78"/>
  <c r="A105" i="78" s="1"/>
  <c r="A106" i="78" s="1"/>
  <c r="A84" i="78" s="1"/>
  <c r="G103" i="78"/>
  <c r="G102" i="78"/>
  <c r="G100" i="78"/>
  <c r="G99" i="78"/>
  <c r="G98" i="78"/>
  <c r="A99" i="78"/>
  <c r="A122" i="78" s="1"/>
  <c r="A123" i="78" s="1"/>
  <c r="A124" i="78" s="1"/>
  <c r="A125" i="78" s="1"/>
  <c r="A126" i="78" s="1"/>
  <c r="A127" i="78" s="1"/>
  <c r="A128" i="78" s="1"/>
  <c r="A129" i="78" s="1"/>
  <c r="A130" i="78" s="1"/>
  <c r="A131" i="78" s="1"/>
  <c r="A132" i="78" s="1"/>
  <c r="A133" i="78" s="1"/>
  <c r="A134" i="78" s="1"/>
  <c r="A135" i="78" s="1"/>
  <c r="A138" i="78" s="1"/>
  <c r="A139" i="78" s="1"/>
  <c r="A140" i="78" s="1"/>
  <c r="A142" i="78" s="1"/>
  <c r="A143" i="78" s="1"/>
  <c r="A144" i="78" s="1"/>
  <c r="A145" i="78" s="1"/>
  <c r="A146" i="78" s="1"/>
  <c r="A147" i="78" s="1"/>
  <c r="A148" i="78" s="1"/>
  <c r="A149" i="78" s="1"/>
  <c r="A150" i="78" s="1"/>
  <c r="G97" i="78"/>
  <c r="G96" i="78"/>
  <c r="G95" i="78"/>
  <c r="G94" i="78"/>
  <c r="G93" i="78"/>
  <c r="G92" i="78"/>
  <c r="G91" i="78"/>
  <c r="A91" i="78"/>
  <c r="A92" i="78" s="1"/>
  <c r="A93" i="78" s="1"/>
  <c r="A94" i="78" s="1"/>
  <c r="A95" i="78" s="1"/>
  <c r="A96" i="78" s="1"/>
  <c r="A97" i="78" s="1"/>
  <c r="G90" i="78"/>
  <c r="G89" i="78"/>
  <c r="G88" i="78"/>
  <c r="A88" i="78"/>
  <c r="G87" i="78"/>
  <c r="H86" i="78"/>
  <c r="G86" i="78"/>
  <c r="H85" i="78"/>
  <c r="G85" i="78"/>
  <c r="G84" i="78"/>
  <c r="H83" i="78"/>
  <c r="G83" i="78"/>
  <c r="G82" i="78"/>
  <c r="G81" i="78"/>
  <c r="G80" i="78"/>
  <c r="G79" i="78"/>
  <c r="G78" i="78"/>
  <c r="G77" i="78"/>
  <c r="G76" i="78"/>
  <c r="A109" i="78"/>
  <c r="G75" i="78"/>
  <c r="G74" i="78"/>
  <c r="G73" i="78"/>
  <c r="A79" i="78"/>
  <c r="A85" i="78" s="1"/>
  <c r="A89" i="78" s="1"/>
  <c r="G72" i="78"/>
  <c r="G71" i="78"/>
  <c r="H70" i="78"/>
  <c r="G70" i="78"/>
  <c r="G69" i="78"/>
  <c r="G68" i="78"/>
  <c r="G67" i="78"/>
  <c r="G66" i="78"/>
  <c r="G64" i="78"/>
  <c r="G63" i="78"/>
  <c r="G62" i="78"/>
  <c r="G61" i="78"/>
  <c r="G60" i="78"/>
  <c r="G59" i="78"/>
  <c r="G58" i="78"/>
  <c r="G57" i="78"/>
  <c r="G56" i="78"/>
  <c r="G55" i="78"/>
  <c r="G53" i="78"/>
  <c r="F50" i="78"/>
  <c r="E50" i="78"/>
  <c r="G49" i="78"/>
  <c r="G47" i="78"/>
  <c r="G46" i="78"/>
  <c r="G45" i="78"/>
  <c r="H44" i="78"/>
  <c r="G44" i="78"/>
  <c r="G43" i="78"/>
  <c r="G40" i="78"/>
  <c r="G42" i="78"/>
  <c r="G41" i="78"/>
  <c r="G39" i="78"/>
  <c r="G38" i="78"/>
  <c r="G37" i="78"/>
  <c r="G36" i="78"/>
  <c r="G35" i="78"/>
  <c r="G32" i="78"/>
  <c r="G31" i="78"/>
  <c r="H30" i="78"/>
  <c r="G30" i="78"/>
  <c r="G29" i="78"/>
  <c r="G28" i="78"/>
  <c r="G27" i="78"/>
  <c r="G26" i="78"/>
  <c r="G25" i="78"/>
  <c r="A25" i="78"/>
  <c r="A26" i="78" s="1"/>
  <c r="A27" i="78" s="1"/>
  <c r="A32" i="78" s="1"/>
  <c r="A33" i="78" s="1"/>
  <c r="A35" i="78" s="1"/>
  <c r="A36" i="78" s="1"/>
  <c r="A42" i="78" s="1"/>
  <c r="A43" i="78" s="1"/>
  <c r="A45" i="78" s="1"/>
  <c r="A46" i="78" s="1"/>
  <c r="A47" i="78" s="1"/>
  <c r="A48" i="78" s="1"/>
  <c r="A49" i="78" s="1"/>
  <c r="A50" i="78" s="1"/>
  <c r="A53" i="78" s="1"/>
  <c r="A59" i="78" s="1"/>
  <c r="A66" i="78" s="1"/>
  <c r="A70" i="78" s="1"/>
  <c r="G24" i="78"/>
  <c r="G23" i="78"/>
  <c r="G104" i="77"/>
  <c r="G50" i="78" l="1"/>
  <c r="G108" i="78"/>
  <c r="G37" i="77"/>
  <c r="H148" i="77" l="1"/>
  <c r="H126" i="77"/>
  <c r="H125" i="77"/>
  <c r="H123" i="77"/>
  <c r="G121" i="77"/>
  <c r="G119" i="77"/>
  <c r="G118" i="77"/>
  <c r="A118" i="77"/>
  <c r="A119" i="77" s="1"/>
  <c r="H117" i="77"/>
  <c r="G117" i="77"/>
  <c r="A117" i="77"/>
  <c r="G116" i="77"/>
  <c r="G115" i="77"/>
  <c r="G114" i="77"/>
  <c r="G113" i="77"/>
  <c r="G112" i="77"/>
  <c r="G111" i="77"/>
  <c r="A111" i="77"/>
  <c r="A68" i="77" s="1"/>
  <c r="A61" i="77" s="1"/>
  <c r="A64" i="77" s="1"/>
  <c r="A69" i="77" s="1"/>
  <c r="A112" i="77" s="1"/>
  <c r="A113" i="77" s="1"/>
  <c r="A83" i="77" s="1"/>
  <c r="A81" i="77" s="1"/>
  <c r="A114" i="77" s="1"/>
  <c r="A115" i="77" s="1"/>
  <c r="A116" i="77" s="1"/>
  <c r="G110" i="77"/>
  <c r="H109" i="77"/>
  <c r="F109" i="77"/>
  <c r="E109" i="77"/>
  <c r="G103" i="77"/>
  <c r="G108" i="77"/>
  <c r="G107" i="77"/>
  <c r="G106" i="77"/>
  <c r="G105" i="77"/>
  <c r="A105" i="77"/>
  <c r="A106" i="77" s="1"/>
  <c r="A107" i="77" s="1"/>
  <c r="A85" i="77" s="1"/>
  <c r="A108" i="77" s="1"/>
  <c r="A58" i="77" s="1"/>
  <c r="A56" i="77" s="1"/>
  <c r="G101" i="77"/>
  <c r="G100" i="77"/>
  <c r="G99" i="77"/>
  <c r="A99" i="77"/>
  <c r="A100" i="77" s="1"/>
  <c r="A109" i="77" s="1"/>
  <c r="A121" i="77" s="1"/>
  <c r="A122" i="77" s="1"/>
  <c r="A123" i="77" s="1"/>
  <c r="A124" i="77" s="1"/>
  <c r="A125" i="77" s="1"/>
  <c r="A126" i="77" s="1"/>
  <c r="A127" i="77" s="1"/>
  <c r="A128" i="77" s="1"/>
  <c r="A129" i="77" s="1"/>
  <c r="A130" i="77" s="1"/>
  <c r="A131" i="77" s="1"/>
  <c r="A132" i="77" s="1"/>
  <c r="A133" i="77" s="1"/>
  <c r="A134" i="77" s="1"/>
  <c r="A135" i="77" s="1"/>
  <c r="A136" i="77" s="1"/>
  <c r="A139" i="77" s="1"/>
  <c r="A140" i="77" s="1"/>
  <c r="A141" i="77" s="1"/>
  <c r="A142" i="77" s="1"/>
  <c r="A143" i="77" s="1"/>
  <c r="A144" i="77" s="1"/>
  <c r="A145" i="77" s="1"/>
  <c r="A146" i="77" s="1"/>
  <c r="A147" i="77" s="1"/>
  <c r="A148" i="77" s="1"/>
  <c r="A149" i="77" s="1"/>
  <c r="A150" i="77" s="1"/>
  <c r="A151" i="77" s="1"/>
  <c r="G98" i="77"/>
  <c r="G97" i="77"/>
  <c r="G96" i="77"/>
  <c r="G95" i="77"/>
  <c r="G94" i="77"/>
  <c r="G93" i="77"/>
  <c r="G92" i="77"/>
  <c r="A92" i="77"/>
  <c r="A93" i="77" s="1"/>
  <c r="A94" i="77" s="1"/>
  <c r="A95" i="77" s="1"/>
  <c r="A96" i="77" s="1"/>
  <c r="A78" i="77" s="1"/>
  <c r="A76" i="77" s="1"/>
  <c r="A97" i="77" s="1"/>
  <c r="A98" i="77" s="1"/>
  <c r="A101" i="77" s="1"/>
  <c r="G91" i="77"/>
  <c r="A91" i="77"/>
  <c r="G90" i="77"/>
  <c r="G89" i="77"/>
  <c r="A89" i="77"/>
  <c r="G88" i="77"/>
  <c r="H87" i="77"/>
  <c r="G87" i="77"/>
  <c r="H86" i="77"/>
  <c r="G86" i="77"/>
  <c r="G85" i="77"/>
  <c r="H84" i="77"/>
  <c r="G84" i="77"/>
  <c r="G83" i="77"/>
  <c r="G82" i="77"/>
  <c r="G81" i="77"/>
  <c r="G80" i="77"/>
  <c r="G79" i="77"/>
  <c r="G78" i="77"/>
  <c r="G77" i="77"/>
  <c r="A77" i="77"/>
  <c r="A103" i="77" s="1"/>
  <c r="A110" i="77" s="1"/>
  <c r="G76" i="77"/>
  <c r="G75" i="77"/>
  <c r="G74" i="77"/>
  <c r="A74" i="77"/>
  <c r="A75" i="77" s="1"/>
  <c r="A79" i="77" s="1"/>
  <c r="A80" i="77" s="1"/>
  <c r="A82" i="77" s="1"/>
  <c r="A84" i="77" s="1"/>
  <c r="A86" i="77" s="1"/>
  <c r="A87" i="77" s="1"/>
  <c r="A63" i="77" s="1"/>
  <c r="A88" i="77" s="1"/>
  <c r="A90" i="77" s="1"/>
  <c r="G73" i="77"/>
  <c r="G72" i="77"/>
  <c r="H71" i="77"/>
  <c r="G71" i="77"/>
  <c r="G70" i="77"/>
  <c r="G69" i="77"/>
  <c r="G68" i="77"/>
  <c r="G67" i="77"/>
  <c r="G65" i="77"/>
  <c r="G64" i="77"/>
  <c r="G63" i="77"/>
  <c r="G62" i="77"/>
  <c r="G61" i="77"/>
  <c r="G60" i="77"/>
  <c r="G59" i="77"/>
  <c r="G58" i="77"/>
  <c r="G57" i="77"/>
  <c r="G56" i="77"/>
  <c r="G55" i="77"/>
  <c r="G53" i="77"/>
  <c r="F50" i="77"/>
  <c r="E50" i="77"/>
  <c r="G49" i="77"/>
  <c r="G47" i="77"/>
  <c r="G46" i="77"/>
  <c r="G45" i="77"/>
  <c r="H44" i="77"/>
  <c r="G44" i="77"/>
  <c r="G43" i="77"/>
  <c r="G42" i="77"/>
  <c r="G41" i="77"/>
  <c r="G40" i="77"/>
  <c r="G39" i="77"/>
  <c r="G38" i="77"/>
  <c r="G36" i="77"/>
  <c r="G35" i="77"/>
  <c r="G32" i="77"/>
  <c r="G31" i="77"/>
  <c r="H30" i="77"/>
  <c r="G30" i="77"/>
  <c r="G29" i="77"/>
  <c r="G28" i="77"/>
  <c r="G27" i="77"/>
  <c r="H26" i="77"/>
  <c r="G26" i="77"/>
  <c r="G25" i="77"/>
  <c r="A25" i="77"/>
  <c r="A26" i="77" s="1"/>
  <c r="A27" i="77" s="1"/>
  <c r="A28" i="77" s="1"/>
  <c r="A29" i="77" s="1"/>
  <c r="A30" i="77" s="1"/>
  <c r="A31" i="77" s="1"/>
  <c r="A32" i="77" s="1"/>
  <c r="A34" i="77" s="1"/>
  <c r="A33" i="77" s="1"/>
  <c r="A35" i="77" s="1"/>
  <c r="A36" i="77" s="1"/>
  <c r="A38" i="77" s="1"/>
  <c r="A39" i="77" s="1"/>
  <c r="A40" i="77" s="1"/>
  <c r="A41" i="77" s="1"/>
  <c r="A42" i="77" s="1"/>
  <c r="A43" i="77" s="1"/>
  <c r="A44" i="77" s="1"/>
  <c r="A45" i="77" s="1"/>
  <c r="A46" i="77" s="1"/>
  <c r="A47" i="77" s="1"/>
  <c r="A48" i="77" s="1"/>
  <c r="A49" i="77" s="1"/>
  <c r="A50" i="77" s="1"/>
  <c r="A53" i="77" s="1"/>
  <c r="A55" i="77" s="1"/>
  <c r="A57" i="77" s="1"/>
  <c r="A59" i="77" s="1"/>
  <c r="A60" i="77" s="1"/>
  <c r="A62" i="77" s="1"/>
  <c r="A65" i="77" s="1"/>
  <c r="A67" i="77" s="1"/>
  <c r="A70" i="77" s="1"/>
  <c r="A71" i="77" s="1"/>
  <c r="A72" i="77" s="1"/>
  <c r="A73" i="77" s="1"/>
  <c r="G24" i="77"/>
  <c r="G23" i="77"/>
  <c r="H167" i="76"/>
  <c r="H166" i="76"/>
  <c r="H165" i="76"/>
  <c r="H164" i="76"/>
  <c r="H163" i="76"/>
  <c r="G50" i="77" l="1"/>
  <c r="G109" i="77"/>
  <c r="A25" i="76"/>
  <c r="A26" i="76" s="1"/>
  <c r="A27" i="76" s="1"/>
  <c r="A28" i="76" s="1"/>
  <c r="A29" i="76" s="1"/>
  <c r="A30" i="76" s="1"/>
  <c r="A31" i="76" s="1"/>
  <c r="A32" i="76" s="1"/>
  <c r="A34" i="76" s="1"/>
  <c r="A33" i="76" s="1"/>
  <c r="A35" i="76" s="1"/>
  <c r="A36" i="76" s="1"/>
  <c r="A38" i="76" s="1"/>
  <c r="A39" i="76" s="1"/>
  <c r="A40" i="76" s="1"/>
  <c r="A41" i="76" s="1"/>
  <c r="A42" i="76" s="1"/>
  <c r="A43" i="76" s="1"/>
  <c r="A44" i="76" s="1"/>
  <c r="A45" i="76" s="1"/>
  <c r="A46" i="76" s="1"/>
  <c r="A47" i="76" s="1"/>
  <c r="A48" i="76" s="1"/>
  <c r="A49" i="76" s="1"/>
  <c r="A50" i="76" s="1"/>
  <c r="A53" i="76" s="1"/>
  <c r="A55" i="76" s="1"/>
  <c r="A57" i="76" s="1"/>
  <c r="A59" i="76" s="1"/>
  <c r="A60" i="76" s="1"/>
  <c r="A62" i="76" s="1"/>
  <c r="A65" i="76" s="1"/>
  <c r="A67" i="76" s="1"/>
  <c r="A70" i="76" s="1"/>
  <c r="A71" i="76" s="1"/>
  <c r="A72" i="76" s="1"/>
  <c r="A73" i="76" s="1"/>
  <c r="A116" i="76" s="1"/>
  <c r="A117" i="76" s="1"/>
  <c r="A74" i="76" s="1"/>
  <c r="A75" i="76" s="1"/>
  <c r="A79" i="76" s="1"/>
  <c r="A80" i="76" s="1"/>
  <c r="A82" i="76" s="1"/>
  <c r="A84" i="76" s="1"/>
  <c r="A86" i="76" s="1"/>
  <c r="A87" i="76" s="1"/>
  <c r="A63" i="76" s="1"/>
  <c r="A88" i="76" s="1"/>
  <c r="A90" i="76" s="1"/>
  <c r="H144" i="76"/>
  <c r="H124" i="76"/>
  <c r="H123" i="76"/>
  <c r="H121" i="76"/>
  <c r="G119" i="76"/>
  <c r="H107" i="76"/>
  <c r="F107" i="76"/>
  <c r="E107" i="76"/>
  <c r="G100" i="76"/>
  <c r="G99" i="76"/>
  <c r="H115" i="76"/>
  <c r="G115" i="76"/>
  <c r="G114" i="76"/>
  <c r="G113" i="76"/>
  <c r="G112" i="76"/>
  <c r="G81" i="76"/>
  <c r="G83" i="76"/>
  <c r="G111" i="76"/>
  <c r="G110" i="76"/>
  <c r="G69" i="76"/>
  <c r="G64" i="76"/>
  <c r="G61" i="76"/>
  <c r="G68" i="76"/>
  <c r="G109" i="76"/>
  <c r="G108" i="76"/>
  <c r="G106" i="76"/>
  <c r="G77" i="76"/>
  <c r="G56" i="76"/>
  <c r="G58" i="76"/>
  <c r="G105" i="76"/>
  <c r="G85" i="76"/>
  <c r="G104" i="76"/>
  <c r="G103" i="76"/>
  <c r="G102" i="76"/>
  <c r="G91" i="76"/>
  <c r="G89" i="76"/>
  <c r="G101" i="76"/>
  <c r="G98" i="76"/>
  <c r="G97" i="76"/>
  <c r="G76" i="76"/>
  <c r="G78" i="76"/>
  <c r="G96" i="76"/>
  <c r="G95" i="76"/>
  <c r="G94" i="76"/>
  <c r="G93" i="76"/>
  <c r="G92" i="76"/>
  <c r="G90" i="76"/>
  <c r="G88" i="76"/>
  <c r="G63" i="76"/>
  <c r="H87" i="76"/>
  <c r="G87" i="76"/>
  <c r="H86" i="76"/>
  <c r="G86" i="76"/>
  <c r="H84" i="76"/>
  <c r="G84" i="76"/>
  <c r="G82" i="76"/>
  <c r="G80" i="76"/>
  <c r="G79" i="76"/>
  <c r="G75" i="76"/>
  <c r="G74" i="76"/>
  <c r="G117" i="76"/>
  <c r="G116" i="76"/>
  <c r="G73" i="76"/>
  <c r="G72" i="76"/>
  <c r="H71" i="76"/>
  <c r="G71" i="76"/>
  <c r="G70" i="76"/>
  <c r="G67" i="76"/>
  <c r="G65" i="76"/>
  <c r="G62" i="76"/>
  <c r="G60" i="76"/>
  <c r="G59" i="76"/>
  <c r="G57" i="76"/>
  <c r="F55" i="76"/>
  <c r="G55" i="76" s="1"/>
  <c r="G53" i="76"/>
  <c r="G40" i="76"/>
  <c r="F50" i="76"/>
  <c r="E50" i="76"/>
  <c r="G45" i="76"/>
  <c r="G49" i="76"/>
  <c r="G47" i="76"/>
  <c r="G46" i="76"/>
  <c r="H44" i="76"/>
  <c r="G44" i="76"/>
  <c r="G43" i="76"/>
  <c r="G42" i="76"/>
  <c r="G39" i="76"/>
  <c r="G38" i="76"/>
  <c r="G36" i="76"/>
  <c r="G35" i="76"/>
  <c r="G32" i="76"/>
  <c r="G41" i="76"/>
  <c r="G31" i="76"/>
  <c r="H30" i="76"/>
  <c r="G30" i="76"/>
  <c r="G29" i="76"/>
  <c r="G28" i="76"/>
  <c r="G27" i="76"/>
  <c r="H26" i="76"/>
  <c r="G26" i="76"/>
  <c r="G25" i="76"/>
  <c r="G24" i="76"/>
  <c r="G23" i="76"/>
  <c r="A24" i="75"/>
  <c r="A25" i="75" s="1"/>
  <c r="A26" i="75" s="1"/>
  <c r="A27" i="75" s="1"/>
  <c r="A28" i="75" s="1"/>
  <c r="A29" i="75" s="1"/>
  <c r="A30" i="75" s="1"/>
  <c r="A31" i="75" s="1"/>
  <c r="A32" i="75" s="1"/>
  <c r="A33" i="75" s="1"/>
  <c r="A34" i="75" s="1"/>
  <c r="A35" i="75" s="1"/>
  <c r="A36" i="75" s="1"/>
  <c r="A37" i="75" s="1"/>
  <c r="A38" i="75" s="1"/>
  <c r="A39" i="75" s="1"/>
  <c r="A40" i="75" s="1"/>
  <c r="A41" i="75" s="1"/>
  <c r="A42" i="75" s="1"/>
  <c r="A43" i="75" s="1"/>
  <c r="A44" i="75" s="1"/>
  <c r="A45" i="75" s="1"/>
  <c r="A46" i="75" s="1"/>
  <c r="A47" i="75" s="1"/>
  <c r="A48" i="75" s="1"/>
  <c r="A49" i="75" s="1"/>
  <c r="A50" i="75" s="1"/>
  <c r="A52" i="75" s="1"/>
  <c r="A53" i="75" s="1"/>
  <c r="A54" i="75" s="1"/>
  <c r="A55" i="75" s="1"/>
  <c r="A56" i="75" s="1"/>
  <c r="A57" i="75" s="1"/>
  <c r="A59" i="75" s="1"/>
  <c r="A60" i="75" s="1"/>
  <c r="A61" i="75" s="1"/>
  <c r="A62" i="75" s="1"/>
  <c r="A63" i="75" s="1"/>
  <c r="A64" i="75" s="1"/>
  <c r="A65" i="75" s="1"/>
  <c r="A66" i="75" s="1"/>
  <c r="A67" i="75" s="1"/>
  <c r="A68" i="75" s="1"/>
  <c r="A69" i="75" s="1"/>
  <c r="A70" i="75" s="1"/>
  <c r="A71" i="75" s="1"/>
  <c r="A72" i="75" s="1"/>
  <c r="A73" i="75" s="1"/>
  <c r="A74" i="75" s="1"/>
  <c r="A75" i="75" s="1"/>
  <c r="A76" i="75" s="1"/>
  <c r="A77" i="75" s="1"/>
  <c r="A78" i="75" s="1"/>
  <c r="A79" i="75" s="1"/>
  <c r="A80" i="75" s="1"/>
  <c r="A81" i="75" s="1"/>
  <c r="A82" i="75" s="1"/>
  <c r="A83" i="75" s="1"/>
  <c r="A84" i="75" s="1"/>
  <c r="A85" i="75" s="1"/>
  <c r="A86" i="75" s="1"/>
  <c r="A87" i="75" s="1"/>
  <c r="A88" i="75" s="1"/>
  <c r="A89" i="75" s="1"/>
  <c r="A90" i="75" s="1"/>
  <c r="A91" i="75" s="1"/>
  <c r="A92" i="75" s="1"/>
  <c r="A93" i="75" s="1"/>
  <c r="A94" i="75" s="1"/>
  <c r="A95" i="75" s="1"/>
  <c r="A96" i="75" s="1"/>
  <c r="A97" i="75" s="1"/>
  <c r="A98" i="75" s="1"/>
  <c r="A99" i="75" s="1"/>
  <c r="A100" i="75" s="1"/>
  <c r="A101" i="75" s="1"/>
  <c r="A102" i="75" s="1"/>
  <c r="A103" i="75" s="1"/>
  <c r="A104" i="75" s="1"/>
  <c r="A105" i="75" s="1"/>
  <c r="A106" i="75" s="1"/>
  <c r="A107" i="75" s="1"/>
  <c r="A108" i="75" s="1"/>
  <c r="A109" i="75" s="1"/>
  <c r="A110" i="75" s="1"/>
  <c r="A111" i="75" s="1"/>
  <c r="A112" i="75" s="1"/>
  <c r="A113" i="75" s="1"/>
  <c r="A114" i="75" s="1"/>
  <c r="A115" i="75" s="1"/>
  <c r="A116" i="75" s="1"/>
  <c r="A117" i="75" s="1"/>
  <c r="A118" i="75" s="1"/>
  <c r="A119" i="75" s="1"/>
  <c r="A120" i="75" s="1"/>
  <c r="A121" i="75" s="1"/>
  <c r="A122" i="75" s="1"/>
  <c r="A123" i="75" s="1"/>
  <c r="A124" i="75" s="1"/>
  <c r="A125" i="75" s="1"/>
  <c r="A126" i="75" s="1"/>
  <c r="A127" i="75" s="1"/>
  <c r="A129" i="75" s="1"/>
  <c r="A130" i="75" s="1"/>
  <c r="A131" i="75" s="1"/>
  <c r="A132" i="75" s="1"/>
  <c r="A133" i="75" s="1"/>
  <c r="A134" i="75" s="1"/>
  <c r="A135" i="75" s="1"/>
  <c r="A137" i="75" s="1"/>
  <c r="A138" i="75" s="1"/>
  <c r="A139" i="75" s="1"/>
  <c r="A140" i="75" s="1"/>
  <c r="A141" i="75" s="1"/>
  <c r="A142" i="75" s="1"/>
  <c r="A143" i="75" s="1"/>
  <c r="A144" i="75" s="1"/>
  <c r="A145" i="75" s="1"/>
  <c r="A146" i="75" s="1"/>
  <c r="A147" i="75" s="1"/>
  <c r="A148" i="75" s="1"/>
  <c r="A149" i="75" s="1"/>
  <c r="A150" i="75" s="1"/>
  <c r="A151" i="75" s="1"/>
  <c r="A152" i="75" s="1"/>
  <c r="A153" i="75" s="1"/>
  <c r="A154" i="75" s="1"/>
  <c r="A155" i="75" s="1"/>
  <c r="A156" i="75" s="1"/>
  <c r="G37" i="75"/>
  <c r="A92" i="76" l="1"/>
  <c r="A93" i="76" s="1"/>
  <c r="A94" i="76" s="1"/>
  <c r="A95" i="76" s="1"/>
  <c r="A96" i="76" s="1"/>
  <c r="A78" i="76" s="1"/>
  <c r="A76" i="76" s="1"/>
  <c r="A97" i="76" s="1"/>
  <c r="A98" i="76" s="1"/>
  <c r="A101" i="76" s="1"/>
  <c r="A89" i="76" s="1"/>
  <c r="A91" i="76" s="1"/>
  <c r="A102" i="76" s="1"/>
  <c r="A103" i="76" s="1"/>
  <c r="A104" i="76" s="1"/>
  <c r="A85" i="76" s="1"/>
  <c r="A105" i="76" s="1"/>
  <c r="A58" i="76" s="1"/>
  <c r="A56" i="76" s="1"/>
  <c r="A77" i="76" s="1"/>
  <c r="A106" i="76" s="1"/>
  <c r="A108" i="76" s="1"/>
  <c r="A109" i="76" s="1"/>
  <c r="A68" i="76" s="1"/>
  <c r="A61" i="76" s="1"/>
  <c r="A64" i="76" s="1"/>
  <c r="A69" i="76" s="1"/>
  <c r="A110" i="76" s="1"/>
  <c r="A111" i="76" s="1"/>
  <c r="A83" i="76" s="1"/>
  <c r="A81" i="76" s="1"/>
  <c r="A112" i="76" s="1"/>
  <c r="A113" i="76" s="1"/>
  <c r="A114" i="76" s="1"/>
  <c r="A115" i="76" s="1"/>
  <c r="A99" i="76" s="1"/>
  <c r="A100" i="76" s="1"/>
  <c r="A107" i="76" s="1"/>
  <c r="A119" i="76" s="1"/>
  <c r="A120" i="76" s="1"/>
  <c r="A121" i="76" s="1"/>
  <c r="A122" i="76" s="1"/>
  <c r="A123" i="76" s="1"/>
  <c r="A124" i="76" s="1"/>
  <c r="A125" i="76" s="1"/>
  <c r="A126" i="76" s="1"/>
  <c r="A127" i="76" s="1"/>
  <c r="A128" i="76" s="1"/>
  <c r="A129" i="76" s="1"/>
  <c r="A130" i="76" s="1"/>
  <c r="A131" i="76" s="1"/>
  <c r="A132" i="76" s="1"/>
  <c r="A133" i="76" s="1"/>
  <c r="A134" i="76" s="1"/>
  <c r="A135" i="76" s="1"/>
  <c r="A136" i="76" s="1"/>
  <c r="A137" i="76" s="1"/>
  <c r="A138" i="76" s="1"/>
  <c r="A139" i="76" s="1"/>
  <c r="A140" i="76" s="1"/>
  <c r="A141" i="76" s="1"/>
  <c r="A142" i="76" s="1"/>
  <c r="A143" i="76" s="1"/>
  <c r="A144" i="76" s="1"/>
  <c r="A145" i="76" s="1"/>
  <c r="A146" i="76" s="1"/>
  <c r="A147" i="76" s="1"/>
  <c r="G107" i="76"/>
  <c r="G50" i="76"/>
  <c r="A157" i="75"/>
  <c r="A158" i="75" s="1"/>
  <c r="A159" i="75" s="1"/>
  <c r="A160" i="75" s="1"/>
  <c r="A161" i="75" s="1"/>
  <c r="A162" i="75" s="1"/>
  <c r="A163" i="75" s="1"/>
  <c r="A164" i="75" s="1"/>
  <c r="A165" i="75" s="1"/>
  <c r="A166" i="75" s="1"/>
  <c r="A167" i="75" s="1"/>
  <c r="A168" i="75" s="1"/>
  <c r="A169" i="75" s="1"/>
  <c r="A170" i="75" s="1"/>
  <c r="A171" i="75" s="1"/>
  <c r="A172" i="75" s="1"/>
  <c r="A173" i="75" s="1"/>
  <c r="A174" i="75" s="1"/>
  <c r="A175" i="75" s="1"/>
  <c r="A176" i="75" s="1"/>
  <c r="A177" i="75" s="1"/>
  <c r="A178" i="75" s="1"/>
  <c r="A179" i="75" s="1"/>
  <c r="A180" i="75" s="1"/>
  <c r="A181" i="75" s="1"/>
  <c r="A182" i="75" s="1"/>
  <c r="A183" i="75" s="1"/>
  <c r="A184" i="75" s="1"/>
  <c r="A185" i="75" s="1"/>
  <c r="A186" i="75" s="1"/>
  <c r="A187" i="75" s="1"/>
  <c r="A188" i="75" s="1"/>
  <c r="A189" i="75" s="1"/>
  <c r="A190" i="75" s="1"/>
  <c r="A191" i="75" s="1"/>
  <c r="A192" i="75" s="1"/>
  <c r="A193" i="75" s="1"/>
  <c r="A194" i="75" s="1"/>
  <c r="A195" i="75" s="1"/>
  <c r="A196" i="75" s="1"/>
  <c r="A197" i="75" s="1"/>
  <c r="A198" i="75" s="1"/>
  <c r="A199" i="75" s="1"/>
  <c r="A200" i="75" s="1"/>
  <c r="A201" i="75" s="1"/>
  <c r="A202" i="75" s="1"/>
  <c r="A203" i="75" s="1"/>
  <c r="A204" i="75" s="1"/>
  <c r="A205" i="75" s="1"/>
  <c r="A206" i="75" s="1"/>
  <c r="A207" i="75" s="1"/>
  <c r="A208" i="75" s="1"/>
  <c r="A209" i="75" s="1"/>
  <c r="A210" i="75" s="1"/>
  <c r="A211" i="75" s="1"/>
  <c r="A212" i="75" s="1"/>
  <c r="A213" i="75" s="1"/>
  <c r="A214" i="75" s="1"/>
  <c r="A215" i="75" s="1"/>
  <c r="A216" i="75" s="1"/>
  <c r="A217" i="75" s="1"/>
  <c r="A218" i="75" s="1"/>
  <c r="A219" i="75" s="1"/>
  <c r="A220" i="75" s="1"/>
  <c r="A221" i="75" s="1"/>
  <c r="A222" i="75" s="1"/>
  <c r="A223" i="75" s="1"/>
  <c r="A224" i="75" s="1"/>
  <c r="A225" i="75" s="1"/>
  <c r="A226" i="75" s="1"/>
  <c r="A227" i="75" s="1"/>
  <c r="A228" i="75" s="1"/>
  <c r="A229" i="75" s="1"/>
  <c r="A230" i="75" s="1"/>
  <c r="A231" i="75" s="1"/>
  <c r="A232" i="75" s="1"/>
  <c r="A233" i="75" s="1"/>
  <c r="A234" i="75" s="1"/>
  <c r="H166" i="75"/>
  <c r="H162" i="75"/>
  <c r="H142" i="75"/>
  <c r="H141" i="75"/>
  <c r="H139" i="75"/>
  <c r="G137" i="75"/>
  <c r="H135" i="75"/>
  <c r="F135" i="75"/>
  <c r="E135" i="75"/>
  <c r="G134" i="75"/>
  <c r="G133" i="75"/>
  <c r="G132" i="75"/>
  <c r="H131" i="75"/>
  <c r="G131" i="75"/>
  <c r="G130" i="75"/>
  <c r="G129" i="75"/>
  <c r="G127" i="75"/>
  <c r="G126" i="75"/>
  <c r="G125" i="75"/>
  <c r="G124" i="75"/>
  <c r="G123" i="75"/>
  <c r="G122" i="75"/>
  <c r="G121" i="75"/>
  <c r="G120" i="75"/>
  <c r="G119" i="75"/>
  <c r="G118" i="75"/>
  <c r="G117" i="75"/>
  <c r="G116" i="75"/>
  <c r="G115" i="75"/>
  <c r="G114" i="75"/>
  <c r="G113" i="75"/>
  <c r="G112" i="75"/>
  <c r="G111" i="75"/>
  <c r="G110" i="75"/>
  <c r="G109" i="75"/>
  <c r="G108" i="75"/>
  <c r="G107" i="75"/>
  <c r="G106" i="75"/>
  <c r="G105" i="75"/>
  <c r="G104" i="75"/>
  <c r="G103" i="75"/>
  <c r="G102" i="75"/>
  <c r="G101" i="75"/>
  <c r="G100" i="75"/>
  <c r="G99" i="75"/>
  <c r="G98" i="75"/>
  <c r="G97" i="75"/>
  <c r="G96" i="75"/>
  <c r="G95" i="75"/>
  <c r="G94" i="75"/>
  <c r="G93" i="75"/>
  <c r="G92" i="75"/>
  <c r="G91" i="75"/>
  <c r="G90" i="75"/>
  <c r="G89" i="75"/>
  <c r="G88" i="75"/>
  <c r="G87" i="75"/>
  <c r="G86" i="75"/>
  <c r="G85" i="75"/>
  <c r="G84" i="75"/>
  <c r="G83" i="75"/>
  <c r="G82" i="75"/>
  <c r="G81" i="75"/>
  <c r="G80" i="75"/>
  <c r="G79" i="75"/>
  <c r="G78" i="75"/>
  <c r="G77" i="75"/>
  <c r="H76" i="75"/>
  <c r="G76" i="75"/>
  <c r="H75" i="75"/>
  <c r="G75" i="75"/>
  <c r="H74" i="75"/>
  <c r="G74" i="75"/>
  <c r="G73" i="75"/>
  <c r="G72" i="75"/>
  <c r="G71" i="75"/>
  <c r="G70" i="75"/>
  <c r="G69" i="75"/>
  <c r="G67" i="75"/>
  <c r="G66" i="75"/>
  <c r="H65" i="75"/>
  <c r="G65" i="75"/>
  <c r="G64" i="75"/>
  <c r="G63" i="75"/>
  <c r="G62" i="75"/>
  <c r="H61" i="75"/>
  <c r="G61" i="75"/>
  <c r="G60" i="75"/>
  <c r="G59" i="75"/>
  <c r="G57" i="75"/>
  <c r="G56" i="75"/>
  <c r="G55" i="75"/>
  <c r="G54" i="75"/>
  <c r="G53" i="75"/>
  <c r="F52" i="75"/>
  <c r="G52" i="75" s="1"/>
  <c r="G50" i="75"/>
  <c r="G49" i="75"/>
  <c r="F48" i="75"/>
  <c r="E48" i="75"/>
  <c r="G47" i="75"/>
  <c r="G46" i="75"/>
  <c r="G44" i="75"/>
  <c r="G43" i="75"/>
  <c r="H42" i="75"/>
  <c r="G42" i="75"/>
  <c r="G41" i="75"/>
  <c r="G40" i="75"/>
  <c r="G39" i="75"/>
  <c r="G38" i="75"/>
  <c r="G34" i="75"/>
  <c r="G33" i="75"/>
  <c r="G32" i="75"/>
  <c r="G31" i="75"/>
  <c r="H30" i="75"/>
  <c r="G30" i="75"/>
  <c r="G29" i="75"/>
  <c r="G28" i="75"/>
  <c r="G27" i="75"/>
  <c r="H26" i="75"/>
  <c r="G26" i="75"/>
  <c r="G25" i="75"/>
  <c r="G24" i="75"/>
  <c r="G23" i="75"/>
  <c r="G131" i="74"/>
  <c r="G123" i="74"/>
  <c r="G124" i="74"/>
  <c r="G125" i="74"/>
  <c r="G126" i="74"/>
  <c r="G127" i="74"/>
  <c r="G128" i="74"/>
  <c r="G117" i="74"/>
  <c r="G118" i="74"/>
  <c r="G119" i="74"/>
  <c r="G120" i="74"/>
  <c r="G121" i="74"/>
  <c r="G122" i="74"/>
  <c r="G110" i="74"/>
  <c r="G111" i="74"/>
  <c r="G112" i="74"/>
  <c r="G113" i="74"/>
  <c r="G114" i="74"/>
  <c r="G115" i="74"/>
  <c r="G116" i="74"/>
  <c r="G86" i="74"/>
  <c r="G87" i="74"/>
  <c r="G88" i="74"/>
  <c r="G89" i="74"/>
  <c r="G90" i="74"/>
  <c r="G91" i="74"/>
  <c r="G92" i="74"/>
  <c r="G93" i="74"/>
  <c r="G94" i="74"/>
  <c r="G95" i="74"/>
  <c r="G96" i="74"/>
  <c r="G97" i="74"/>
  <c r="G98" i="74"/>
  <c r="G99" i="74"/>
  <c r="G100" i="74"/>
  <c r="G101" i="74"/>
  <c r="G102" i="74"/>
  <c r="G103" i="74"/>
  <c r="G104" i="74"/>
  <c r="G105" i="74"/>
  <c r="G106" i="74"/>
  <c r="G107" i="74"/>
  <c r="G108" i="74"/>
  <c r="G109" i="74"/>
  <c r="G78" i="74"/>
  <c r="G79" i="74"/>
  <c r="G80" i="74"/>
  <c r="G81" i="74"/>
  <c r="G82" i="74"/>
  <c r="G83" i="74"/>
  <c r="G84" i="74"/>
  <c r="G85" i="74"/>
  <c r="G71" i="74"/>
  <c r="G72" i="74"/>
  <c r="G73" i="74"/>
  <c r="G74" i="74"/>
  <c r="G75" i="74"/>
  <c r="G76" i="74"/>
  <c r="G77" i="74"/>
  <c r="G66" i="74"/>
  <c r="G67" i="74"/>
  <c r="G68" i="74"/>
  <c r="G69" i="74"/>
  <c r="G70" i="74"/>
  <c r="G60" i="74"/>
  <c r="G61" i="74"/>
  <c r="G62" i="74"/>
  <c r="G63" i="74"/>
  <c r="G64" i="74"/>
  <c r="G65" i="74"/>
  <c r="G55" i="74"/>
  <c r="G56" i="74"/>
  <c r="G57" i="74"/>
  <c r="G58" i="74"/>
  <c r="G59" i="74"/>
  <c r="G50" i="74"/>
  <c r="G51" i="74"/>
  <c r="G52" i="74"/>
  <c r="G53" i="74"/>
  <c r="G54" i="74"/>
  <c r="G46" i="74"/>
  <c r="G47" i="74"/>
  <c r="G24" i="74"/>
  <c r="G25" i="74"/>
  <c r="G26" i="74"/>
  <c r="G27" i="74"/>
  <c r="G28" i="74"/>
  <c r="G29" i="74"/>
  <c r="G30" i="74"/>
  <c r="G31" i="74"/>
  <c r="G32" i="74"/>
  <c r="G33" i="74"/>
  <c r="G34" i="74"/>
  <c r="G35" i="74"/>
  <c r="G36" i="74"/>
  <c r="G37" i="74"/>
  <c r="G38" i="74"/>
  <c r="G39" i="74"/>
  <c r="G40" i="74"/>
  <c r="G41" i="74"/>
  <c r="G42" i="74"/>
  <c r="G43" i="74"/>
  <c r="G44" i="74"/>
  <c r="G23" i="74"/>
  <c r="H160" i="74"/>
  <c r="H156" i="74"/>
  <c r="H136" i="74"/>
  <c r="H135" i="74"/>
  <c r="H133" i="74"/>
  <c r="H129" i="74"/>
  <c r="F129" i="74"/>
  <c r="E129" i="74"/>
  <c r="G129" i="74" s="1"/>
  <c r="H125" i="74"/>
  <c r="H71" i="74"/>
  <c r="H70" i="74"/>
  <c r="H69" i="74"/>
  <c r="H61" i="74"/>
  <c r="H57" i="74"/>
  <c r="F49" i="74"/>
  <c r="F45" i="74"/>
  <c r="E45" i="74"/>
  <c r="H39" i="74"/>
  <c r="H30" i="74"/>
  <c r="H26" i="74"/>
  <c r="E76" i="73"/>
  <c r="F76" i="73"/>
  <c r="H76" i="73"/>
  <c r="H100" i="73"/>
  <c r="H96" i="73"/>
  <c r="H83" i="73"/>
  <c r="H82" i="73"/>
  <c r="H80" i="73"/>
  <c r="H72" i="73"/>
  <c r="H69" i="73"/>
  <c r="H68" i="73"/>
  <c r="H67" i="73"/>
  <c r="H58" i="73"/>
  <c r="H54" i="73"/>
  <c r="F47" i="73"/>
  <c r="E47" i="73"/>
  <c r="H43" i="73"/>
  <c r="F43" i="73"/>
  <c r="E43" i="73"/>
  <c r="H42" i="73"/>
  <c r="H41" i="73"/>
  <c r="H39" i="73"/>
  <c r="H37" i="73"/>
  <c r="H30" i="73"/>
  <c r="H26" i="73"/>
  <c r="G45" i="74" l="1"/>
  <c r="G76" i="73"/>
  <c r="G48" i="75"/>
  <c r="G135" i="75"/>
  <c r="G49" i="74"/>
  <c r="G47" i="73"/>
  <c r="G43" i="73"/>
  <c r="F46" i="60"/>
  <c r="G46" i="60" s="1"/>
  <c r="F52" i="60"/>
  <c r="F96" i="60"/>
  <c r="F98" i="60"/>
  <c r="H43" i="60"/>
  <c r="F43" i="60"/>
  <c r="G43" i="60" s="1"/>
  <c r="F26" i="60"/>
  <c r="G26" i="60" s="1"/>
  <c r="F27" i="60"/>
  <c r="G27" i="60"/>
  <c r="G28" i="60"/>
  <c r="G77" i="60"/>
  <c r="G76" i="60"/>
  <c r="G75" i="60"/>
  <c r="G74" i="60"/>
  <c r="G73" i="60"/>
  <c r="G72" i="60"/>
  <c r="G71" i="60"/>
  <c r="G70" i="60"/>
  <c r="H69" i="60"/>
  <c r="G69" i="60"/>
  <c r="F113" i="60"/>
  <c r="G113" i="60" s="1"/>
  <c r="F116" i="60"/>
  <c r="G116" i="60"/>
  <c r="F112" i="60"/>
  <c r="G112" i="60" s="1"/>
  <c r="F111" i="60"/>
  <c r="G111" i="60" s="1"/>
  <c r="G60" i="60"/>
  <c r="G102" i="60"/>
  <c r="F101" i="60"/>
  <c r="G164" i="60"/>
  <c r="G163" i="60"/>
  <c r="G162" i="60"/>
  <c r="G160" i="60"/>
  <c r="G159" i="60"/>
  <c r="G158" i="60"/>
  <c r="G157" i="60"/>
  <c r="G156" i="60"/>
  <c r="G155" i="60"/>
  <c r="G154" i="60"/>
  <c r="G153" i="60"/>
  <c r="G152" i="60"/>
  <c r="G151" i="60"/>
  <c r="G150" i="60"/>
  <c r="G149" i="60"/>
  <c r="G148" i="60"/>
  <c r="G147" i="60"/>
  <c r="G146" i="60"/>
  <c r="G145" i="60"/>
  <c r="G144" i="60"/>
  <c r="G143" i="60"/>
  <c r="G142" i="60"/>
  <c r="G141" i="60"/>
  <c r="G140" i="60"/>
  <c r="G139" i="60"/>
  <c r="G138" i="60"/>
  <c r="G137" i="60"/>
  <c r="H135" i="60"/>
  <c r="G135" i="60"/>
  <c r="H134" i="60"/>
  <c r="G134" i="60"/>
  <c r="H133" i="60"/>
  <c r="G133" i="60"/>
  <c r="H132" i="60"/>
  <c r="G132" i="60"/>
  <c r="H131" i="60"/>
  <c r="G131" i="60"/>
  <c r="H130" i="60"/>
  <c r="G130" i="60"/>
  <c r="H129" i="60"/>
  <c r="G129" i="60"/>
  <c r="G128" i="60"/>
  <c r="H127" i="60"/>
  <c r="G127" i="60"/>
  <c r="H126" i="60"/>
  <c r="G126" i="60"/>
  <c r="H125" i="60"/>
  <c r="G125" i="60"/>
  <c r="H124" i="60"/>
  <c r="G124" i="60"/>
  <c r="H123" i="60"/>
  <c r="G123" i="60"/>
  <c r="H122" i="60"/>
  <c r="G122" i="60"/>
  <c r="H121" i="60"/>
  <c r="G121" i="60"/>
  <c r="F100" i="60"/>
  <c r="G100" i="60" s="1"/>
  <c r="G99" i="60"/>
  <c r="G98" i="60"/>
  <c r="G96" i="60"/>
  <c r="G94" i="60"/>
  <c r="G93" i="60"/>
  <c r="G92" i="60"/>
  <c r="G91" i="60"/>
  <c r="G90" i="60"/>
  <c r="F89" i="60"/>
  <c r="G89" i="60" s="1"/>
  <c r="G87" i="60"/>
  <c r="G86" i="60"/>
  <c r="G85" i="60"/>
  <c r="G84" i="60"/>
  <c r="G83" i="60"/>
  <c r="G82" i="60"/>
  <c r="G81" i="60"/>
  <c r="G80" i="60"/>
  <c r="G79" i="60"/>
  <c r="G78" i="60"/>
  <c r="G68" i="60"/>
  <c r="G67" i="60"/>
  <c r="G66" i="60"/>
  <c r="G65" i="60"/>
  <c r="G64" i="60"/>
  <c r="G63" i="60"/>
  <c r="G62" i="60"/>
  <c r="G61" i="60"/>
  <c r="G59" i="60"/>
  <c r="G58" i="60"/>
  <c r="G57" i="60"/>
  <c r="G56" i="60"/>
  <c r="G55" i="60"/>
  <c r="G54" i="60"/>
  <c r="G53" i="60"/>
  <c r="G52" i="60"/>
  <c r="G51" i="60"/>
  <c r="G50" i="60"/>
  <c r="G49" i="60"/>
  <c r="G48" i="60"/>
  <c r="G47" i="60"/>
  <c r="F45" i="60"/>
  <c r="G45" i="60"/>
  <c r="G44" i="60"/>
  <c r="G42" i="60"/>
  <c r="G41" i="60"/>
  <c r="G40" i="60"/>
  <c r="F39" i="60"/>
  <c r="G39" i="60"/>
  <c r="F38" i="60"/>
  <c r="G38" i="60" s="1"/>
  <c r="G37" i="60"/>
  <c r="F35" i="60"/>
  <c r="G35" i="60" s="1"/>
  <c r="G34" i="60"/>
  <c r="G33" i="60"/>
  <c r="F32" i="60"/>
  <c r="G32" i="60" s="1"/>
  <c r="G31" i="60"/>
  <c r="G25" i="60"/>
  <c r="G24" i="60"/>
  <c r="G23" i="60"/>
  <c r="G52" i="59"/>
  <c r="F27" i="59"/>
  <c r="G27" i="59"/>
  <c r="F26" i="59"/>
  <c r="G26" i="59" s="1"/>
  <c r="G24" i="59"/>
  <c r="G25" i="59"/>
  <c r="G28" i="59"/>
  <c r="G29" i="59"/>
  <c r="G30" i="59"/>
  <c r="G31" i="59"/>
  <c r="G32" i="59"/>
  <c r="G34" i="59"/>
  <c r="G35" i="59"/>
  <c r="G37" i="59"/>
  <c r="G40" i="59"/>
  <c r="G41" i="59"/>
  <c r="G42" i="59"/>
  <c r="G44" i="59"/>
  <c r="G46" i="59"/>
  <c r="G47" i="59"/>
  <c r="G48" i="59"/>
  <c r="G49" i="59"/>
  <c r="G50" i="59"/>
  <c r="G51" i="59"/>
  <c r="G53" i="59"/>
  <c r="G54" i="59"/>
  <c r="G56" i="59"/>
  <c r="G57" i="59"/>
  <c r="G58" i="59"/>
  <c r="G59" i="59"/>
  <c r="G60" i="59"/>
  <c r="G61" i="59"/>
  <c r="G62" i="59"/>
  <c r="G63" i="59"/>
  <c r="G64" i="59"/>
  <c r="G65" i="59"/>
  <c r="G66" i="59"/>
  <c r="G67" i="59"/>
  <c r="G68" i="59"/>
  <c r="G69" i="59"/>
  <c r="G70" i="59"/>
  <c r="G71" i="59"/>
  <c r="G72" i="59"/>
  <c r="G73" i="59"/>
  <c r="G74" i="59"/>
  <c r="G75" i="59"/>
  <c r="G76" i="59"/>
  <c r="G77" i="59"/>
  <c r="G78" i="59"/>
  <c r="G79" i="59"/>
  <c r="G80" i="59"/>
  <c r="G81" i="59"/>
  <c r="G83" i="59"/>
  <c r="G84" i="59"/>
  <c r="G85" i="59"/>
  <c r="G86" i="59"/>
  <c r="G87" i="59"/>
  <c r="G88" i="59"/>
  <c r="G89" i="59"/>
  <c r="G90" i="59"/>
  <c r="G91" i="59"/>
  <c r="G92" i="59"/>
  <c r="G93" i="59"/>
  <c r="G94" i="59"/>
  <c r="G95" i="59"/>
  <c r="G96" i="59"/>
  <c r="G97" i="59"/>
  <c r="G98" i="59"/>
  <c r="G100" i="59"/>
  <c r="G101" i="59"/>
  <c r="G102" i="59"/>
  <c r="G103" i="59"/>
  <c r="G104" i="59"/>
  <c r="G105" i="59"/>
  <c r="G106" i="59"/>
  <c r="G107" i="59"/>
  <c r="G108" i="59"/>
  <c r="G109" i="59"/>
  <c r="G110" i="59"/>
  <c r="G111" i="59"/>
  <c r="G112" i="59"/>
  <c r="G113" i="59"/>
  <c r="G114" i="59"/>
  <c r="G116" i="59"/>
  <c r="G117" i="59"/>
  <c r="G118" i="59"/>
  <c r="G119" i="59"/>
  <c r="G120" i="59"/>
  <c r="G121" i="59"/>
  <c r="G122" i="59"/>
  <c r="G123" i="59"/>
  <c r="G124" i="59"/>
  <c r="G125" i="59"/>
  <c r="G126" i="59"/>
  <c r="G127" i="59"/>
  <c r="G128" i="59"/>
  <c r="G129" i="59"/>
  <c r="G130" i="59"/>
  <c r="G131" i="59"/>
  <c r="G132" i="59"/>
  <c r="G133" i="59"/>
  <c r="G134" i="59"/>
  <c r="G135" i="59"/>
  <c r="G136" i="59"/>
  <c r="G137" i="59"/>
  <c r="G141" i="59"/>
  <c r="G138" i="59"/>
  <c r="G139" i="59"/>
  <c r="G142" i="59"/>
  <c r="G143" i="59"/>
  <c r="G144" i="59"/>
  <c r="G145" i="59"/>
  <c r="G146" i="59"/>
  <c r="G147" i="59"/>
  <c r="G148" i="59"/>
  <c r="G149" i="59"/>
  <c r="G23" i="59"/>
  <c r="H27" i="59"/>
  <c r="H70" i="59"/>
  <c r="H101" i="59"/>
  <c r="H102" i="59"/>
  <c r="H103" i="59"/>
  <c r="H104" i="59"/>
  <c r="H105" i="59"/>
  <c r="H106" i="59"/>
  <c r="H108" i="59"/>
  <c r="H109" i="59"/>
  <c r="H110" i="59"/>
  <c r="H111" i="59"/>
  <c r="H112" i="59"/>
  <c r="H113" i="59"/>
  <c r="H114" i="59"/>
  <c r="H100" i="59"/>
  <c r="F99" i="59"/>
  <c r="G99" i="59" s="1"/>
  <c r="F82" i="59"/>
  <c r="G82" i="59" s="1"/>
  <c r="G55" i="59"/>
  <c r="F45" i="59"/>
  <c r="G45" i="59" s="1"/>
  <c r="F43" i="59"/>
  <c r="G43" i="59" s="1"/>
  <c r="F39" i="59"/>
  <c r="G39" i="59"/>
  <c r="F38" i="59"/>
  <c r="G38" i="59" s="1"/>
  <c r="F36" i="59"/>
  <c r="G36" i="59" s="1"/>
  <c r="F33" i="59"/>
  <c r="G33" i="59" s="1"/>
  <c r="F58" i="58"/>
  <c r="G58" i="58" s="1"/>
  <c r="F143" i="58"/>
  <c r="G143" i="58" s="1"/>
  <c r="F72" i="58"/>
  <c r="G72" i="58" s="1"/>
  <c r="F32" i="58"/>
  <c r="G32" i="58" s="1"/>
  <c r="F44" i="58"/>
  <c r="G44" i="58" s="1"/>
  <c r="F43" i="58"/>
  <c r="G43" i="58"/>
  <c r="F37" i="58"/>
  <c r="G37" i="58" s="1"/>
  <c r="F36" i="58"/>
  <c r="G36" i="58" s="1"/>
  <c r="F35" i="58"/>
  <c r="G35" i="58" s="1"/>
  <c r="F40" i="58"/>
  <c r="G40" i="58" s="1"/>
  <c r="F25" i="58"/>
  <c r="G25" i="58"/>
  <c r="F46" i="58"/>
  <c r="G46" i="58"/>
  <c r="G55" i="58"/>
  <c r="F61" i="58"/>
  <c r="G61" i="58"/>
  <c r="F50" i="58"/>
  <c r="G50" i="58" s="1"/>
  <c r="G199" i="58"/>
  <c r="G198" i="58"/>
  <c r="G197" i="58"/>
  <c r="G196" i="58"/>
  <c r="G195" i="58"/>
  <c r="G182" i="58"/>
  <c r="G180" i="58"/>
  <c r="G166" i="58"/>
  <c r="G147" i="58"/>
  <c r="F146" i="58"/>
  <c r="G145" i="58"/>
  <c r="G142" i="58"/>
  <c r="G139" i="58"/>
  <c r="G138" i="58"/>
  <c r="G137" i="58"/>
  <c r="G136" i="58"/>
  <c r="G134" i="58"/>
  <c r="G133" i="58"/>
  <c r="G132" i="58"/>
  <c r="G131" i="58"/>
  <c r="G130" i="58"/>
  <c r="G128" i="58"/>
  <c r="G127" i="58"/>
  <c r="G126" i="58"/>
  <c r="G125" i="58"/>
  <c r="G123" i="58"/>
  <c r="G122" i="58"/>
  <c r="G121" i="58"/>
  <c r="G120" i="58"/>
  <c r="G119" i="58"/>
  <c r="G118" i="58"/>
  <c r="G117" i="58"/>
  <c r="G116" i="58"/>
  <c r="G115" i="58"/>
  <c r="G114" i="58"/>
  <c r="G113" i="58"/>
  <c r="G111" i="58"/>
  <c r="G110" i="58"/>
  <c r="G109" i="58"/>
  <c r="G108" i="58"/>
  <c r="G107" i="58"/>
  <c r="G106" i="58"/>
  <c r="G105" i="58"/>
  <c r="G104" i="58"/>
  <c r="G103" i="58"/>
  <c r="G102" i="58"/>
  <c r="G101" i="58"/>
  <c r="G99" i="58"/>
  <c r="G98" i="58"/>
  <c r="G97" i="58"/>
  <c r="G96" i="58"/>
  <c r="G95" i="58"/>
  <c r="G94" i="58"/>
  <c r="G93" i="58"/>
  <c r="G92" i="58"/>
  <c r="G91" i="58"/>
  <c r="G90" i="58"/>
  <c r="G89" i="58"/>
  <c r="G88" i="58"/>
  <c r="G87" i="58"/>
  <c r="G86" i="58"/>
  <c r="G85" i="58"/>
  <c r="G84" i="58"/>
  <c r="G83" i="58"/>
  <c r="G82" i="58"/>
  <c r="G81" i="58"/>
  <c r="G80" i="58"/>
  <c r="G78" i="58"/>
  <c r="G77" i="58"/>
  <c r="G76" i="58"/>
  <c r="G75" i="58"/>
  <c r="G74" i="58"/>
  <c r="G73" i="58"/>
  <c r="G70" i="58"/>
  <c r="G68" i="58"/>
  <c r="G67" i="58"/>
  <c r="G66" i="58"/>
  <c r="G65" i="58"/>
  <c r="G59" i="58"/>
  <c r="G57" i="58"/>
  <c r="G56" i="58"/>
  <c r="G54" i="58"/>
  <c r="G53" i="58"/>
  <c r="G52" i="58"/>
  <c r="G49" i="58"/>
  <c r="G48" i="58"/>
  <c r="G47" i="58"/>
  <c r="G45" i="58"/>
  <c r="G42" i="58"/>
  <c r="F41" i="58"/>
  <c r="G41" i="58" s="1"/>
  <c r="G39" i="58"/>
  <c r="G38" i="58"/>
  <c r="G34" i="58"/>
  <c r="G33" i="58"/>
  <c r="G30" i="58"/>
  <c r="G29" i="58"/>
  <c r="G26" i="58"/>
  <c r="G24" i="58"/>
  <c r="G23" i="58"/>
  <c r="G105" i="57"/>
  <c r="G104" i="57"/>
  <c r="G57" i="57"/>
  <c r="G44" i="57"/>
  <c r="F45" i="57"/>
  <c r="G45" i="57" s="1"/>
  <c r="G31" i="57"/>
  <c r="G37" i="57"/>
  <c r="G36" i="57"/>
  <c r="F35" i="57"/>
  <c r="G35" i="57" s="1"/>
  <c r="F25" i="57"/>
  <c r="G25" i="57"/>
  <c r="F137" i="57"/>
  <c r="G137" i="57" s="1"/>
  <c r="F39" i="57"/>
  <c r="G39" i="57" s="1"/>
  <c r="F40" i="57"/>
  <c r="G40" i="57" s="1"/>
  <c r="F56" i="57"/>
  <c r="G56" i="57" s="1"/>
  <c r="F140" i="57"/>
  <c r="G128" i="57"/>
  <c r="G63" i="57"/>
  <c r="F59" i="57"/>
  <c r="G59" i="57"/>
  <c r="F42" i="57"/>
  <c r="G42" i="57" s="1"/>
  <c r="G180" i="57"/>
  <c r="G179" i="57"/>
  <c r="G178" i="57"/>
  <c r="G177" i="57"/>
  <c r="G176" i="57"/>
  <c r="G172" i="57"/>
  <c r="G170" i="57"/>
  <c r="G160" i="57"/>
  <c r="G141" i="57"/>
  <c r="G139" i="57"/>
  <c r="G136" i="57"/>
  <c r="G135" i="57"/>
  <c r="G134" i="57"/>
  <c r="G133" i="57"/>
  <c r="G132" i="57"/>
  <c r="G130" i="57"/>
  <c r="G129" i="57"/>
  <c r="G127" i="57"/>
  <c r="G126" i="57"/>
  <c r="G124" i="57"/>
  <c r="G123" i="57"/>
  <c r="G122" i="57"/>
  <c r="G121" i="57"/>
  <c r="G120" i="57"/>
  <c r="G119" i="57"/>
  <c r="G118" i="57"/>
  <c r="G117" i="57"/>
  <c r="G116" i="57"/>
  <c r="G115" i="57"/>
  <c r="G114" i="57"/>
  <c r="G113" i="57"/>
  <c r="G112" i="57"/>
  <c r="G111" i="57"/>
  <c r="G110" i="57"/>
  <c r="G109" i="57"/>
  <c r="G108" i="57"/>
  <c r="G107" i="57"/>
  <c r="G106" i="57"/>
  <c r="G103" i="57"/>
  <c r="G102" i="57"/>
  <c r="G101" i="57"/>
  <c r="G100" i="57"/>
  <c r="G99" i="57"/>
  <c r="G98" i="57"/>
  <c r="G97" i="57"/>
  <c r="G96" i="57"/>
  <c r="G95" i="57"/>
  <c r="G94" i="57"/>
  <c r="G93" i="57"/>
  <c r="G92" i="57"/>
  <c r="G91" i="57"/>
  <c r="G90" i="57"/>
  <c r="G89" i="57"/>
  <c r="G88" i="57"/>
  <c r="G87" i="57"/>
  <c r="G86" i="57"/>
  <c r="G85" i="57"/>
  <c r="G84" i="57"/>
  <c r="G83" i="57"/>
  <c r="G82" i="57"/>
  <c r="G81" i="57"/>
  <c r="G80" i="57"/>
  <c r="G79" i="57"/>
  <c r="G77" i="57"/>
  <c r="G76" i="57"/>
  <c r="G75" i="57"/>
  <c r="G74" i="57"/>
  <c r="G73" i="57"/>
  <c r="G72" i="57"/>
  <c r="G71" i="57"/>
  <c r="G70" i="57"/>
  <c r="G68" i="57"/>
  <c r="G66" i="57"/>
  <c r="G65" i="57"/>
  <c r="G64" i="57"/>
  <c r="G55" i="57"/>
  <c r="G54" i="57"/>
  <c r="G53" i="57"/>
  <c r="G32" i="57"/>
  <c r="G52" i="57"/>
  <c r="G51" i="57"/>
  <c r="G49" i="57"/>
  <c r="G48" i="57"/>
  <c r="G47" i="57"/>
  <c r="G46" i="57"/>
  <c r="G43" i="57"/>
  <c r="G41" i="57"/>
  <c r="G38" i="57"/>
  <c r="G34" i="57"/>
  <c r="G33" i="57"/>
  <c r="G30" i="57"/>
  <c r="G29" i="57"/>
  <c r="G26" i="57"/>
  <c r="G24" i="57"/>
  <c r="G23" i="57"/>
  <c r="G167" i="55"/>
  <c r="G55" i="55"/>
  <c r="G57" i="55"/>
  <c r="G58" i="55"/>
  <c r="G59" i="55"/>
  <c r="G60" i="55"/>
  <c r="G61" i="55"/>
  <c r="G62" i="55"/>
  <c r="G63" i="55"/>
  <c r="G64" i="55"/>
  <c r="G65" i="55"/>
  <c r="G66" i="55"/>
  <c r="G67" i="55"/>
  <c r="G68" i="55"/>
  <c r="G70" i="55"/>
  <c r="G71" i="55"/>
  <c r="G72" i="55"/>
  <c r="G73" i="55"/>
  <c r="G74" i="55"/>
  <c r="G75" i="55"/>
  <c r="G76" i="55"/>
  <c r="G77" i="55"/>
  <c r="G78" i="55"/>
  <c r="G79" i="55"/>
  <c r="G80" i="55"/>
  <c r="G81" i="55"/>
  <c r="G82" i="55"/>
  <c r="G83" i="55"/>
  <c r="G84" i="55"/>
  <c r="G85" i="55"/>
  <c r="G86" i="55"/>
  <c r="G87" i="55"/>
  <c r="G88" i="55"/>
  <c r="G89" i="55"/>
  <c r="G90" i="55"/>
  <c r="G91" i="55"/>
  <c r="G92" i="55"/>
  <c r="G93" i="55"/>
  <c r="G94" i="55"/>
  <c r="G95" i="55"/>
  <c r="G96" i="55"/>
  <c r="G97" i="55"/>
  <c r="G98" i="55"/>
  <c r="G99" i="55"/>
  <c r="G100" i="55"/>
  <c r="G101" i="55"/>
  <c r="G102" i="55"/>
  <c r="G103" i="55"/>
  <c r="G104" i="55"/>
  <c r="G105" i="55"/>
  <c r="G106" i="55"/>
  <c r="G107" i="55"/>
  <c r="G108" i="55"/>
  <c r="G109" i="55"/>
  <c r="G110" i="55"/>
  <c r="G111" i="55"/>
  <c r="G112" i="55"/>
  <c r="G113" i="55"/>
  <c r="G115" i="55"/>
  <c r="G116" i="55"/>
  <c r="G117" i="55"/>
  <c r="G118" i="55"/>
  <c r="G119" i="55"/>
  <c r="G120" i="55"/>
  <c r="G121" i="55"/>
  <c r="G122" i="55"/>
  <c r="G123" i="55"/>
  <c r="G124" i="55"/>
  <c r="G125" i="55"/>
  <c r="G126" i="55"/>
  <c r="G128" i="55"/>
  <c r="G130" i="55"/>
  <c r="G131" i="55"/>
  <c r="G132" i="55"/>
  <c r="G133" i="55"/>
  <c r="G134" i="55"/>
  <c r="G135" i="55"/>
  <c r="G136" i="55"/>
  <c r="G137" i="55"/>
  <c r="G138" i="55"/>
  <c r="G139" i="55"/>
  <c r="G140" i="55"/>
  <c r="G141" i="55"/>
  <c r="G142" i="55"/>
  <c r="G143" i="55"/>
  <c r="G145" i="55"/>
  <c r="G144" i="55"/>
  <c r="G146" i="55"/>
  <c r="G147" i="55"/>
  <c r="G148" i="55"/>
  <c r="G149" i="55"/>
  <c r="G150" i="55"/>
  <c r="G151" i="55"/>
  <c r="G152" i="55"/>
  <c r="G153" i="55"/>
  <c r="G154" i="55"/>
  <c r="G155" i="55"/>
  <c r="G156" i="55"/>
  <c r="G157" i="55"/>
  <c r="G158" i="55"/>
  <c r="G159" i="55"/>
  <c r="G160" i="55"/>
  <c r="G161" i="55"/>
  <c r="G162" i="55"/>
  <c r="G163" i="55"/>
  <c r="G164" i="55"/>
  <c r="G165" i="55"/>
  <c r="G166" i="55"/>
  <c r="G168" i="55"/>
  <c r="G24" i="55"/>
  <c r="G25" i="55"/>
  <c r="G26" i="55"/>
  <c r="G27" i="55"/>
  <c r="G30" i="55"/>
  <c r="G31" i="55"/>
  <c r="G32" i="55"/>
  <c r="G33" i="55"/>
  <c r="G34" i="55"/>
  <c r="G35" i="55"/>
  <c r="G36" i="55"/>
  <c r="G37" i="55"/>
  <c r="G38" i="55"/>
  <c r="G39" i="55"/>
  <c r="G40" i="55"/>
  <c r="G41" i="55"/>
  <c r="G42" i="55"/>
  <c r="G43" i="55"/>
  <c r="G44" i="55"/>
  <c r="G45" i="55"/>
  <c r="G46" i="55"/>
  <c r="G47" i="55"/>
  <c r="G48" i="55"/>
  <c r="G49" i="55"/>
  <c r="G50" i="55"/>
  <c r="G51" i="55"/>
  <c r="G52" i="55"/>
  <c r="G53" i="55"/>
  <c r="G23" i="55"/>
  <c r="H25" i="55"/>
  <c r="F51" i="5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137" authorId="0" shapeId="0" xr:uid="{00000000-0006-0000-0800-000001000000}">
      <text>
        <r>
          <rPr>
            <b/>
            <sz val="9"/>
            <color indexed="81"/>
            <rFont val="Tahoma"/>
            <family val="2"/>
          </rPr>
          <t>Author:</t>
        </r>
        <r>
          <rPr>
            <sz val="9"/>
            <color indexed="81"/>
            <rFont val="Tahoma"/>
            <family val="2"/>
          </rPr>
          <t xml:space="preserve">
4 cái</t>
        </r>
      </text>
    </comment>
    <comment ref="I137" authorId="0" shapeId="0" xr:uid="{00000000-0006-0000-0800-000002000000}">
      <text>
        <r>
          <rPr>
            <b/>
            <sz val="9"/>
            <color indexed="81"/>
            <rFont val="Tahoma"/>
            <family val="2"/>
          </rPr>
          <t>Author:</t>
        </r>
        <r>
          <rPr>
            <sz val="9"/>
            <color indexed="81"/>
            <rFont val="Tahoma"/>
            <family val="2"/>
          </rPr>
          <t xml:space="preserve">
4 cái</t>
        </r>
      </text>
    </comment>
    <comment ref="K137" authorId="0" shapeId="0" xr:uid="{00000000-0006-0000-0800-000003000000}">
      <text>
        <r>
          <rPr>
            <b/>
            <sz val="9"/>
            <color indexed="81"/>
            <rFont val="Tahoma"/>
            <family val="2"/>
          </rPr>
          <t>Author:</t>
        </r>
        <r>
          <rPr>
            <sz val="9"/>
            <color indexed="81"/>
            <rFont val="Tahoma"/>
            <family val="2"/>
          </rPr>
          <t xml:space="preserve">
4 cái</t>
        </r>
      </text>
    </comment>
    <comment ref="H139" authorId="0" shapeId="0" xr:uid="{00000000-0006-0000-0800-000004000000}">
      <text>
        <r>
          <rPr>
            <b/>
            <sz val="9"/>
            <color indexed="81"/>
            <rFont val="Tahoma"/>
            <family val="2"/>
          </rPr>
          <t>Author:</t>
        </r>
        <r>
          <rPr>
            <sz val="9"/>
            <color indexed="81"/>
            <rFont val="Tahoma"/>
            <family val="2"/>
          </rPr>
          <t xml:space="preserve">
40 cây
</t>
        </r>
      </text>
    </comment>
    <comment ref="I139" authorId="0" shapeId="0" xr:uid="{00000000-0006-0000-0800-000005000000}">
      <text>
        <r>
          <rPr>
            <b/>
            <sz val="9"/>
            <color indexed="81"/>
            <rFont val="Tahoma"/>
            <family val="2"/>
          </rPr>
          <t>Author:</t>
        </r>
        <r>
          <rPr>
            <sz val="9"/>
            <color indexed="81"/>
            <rFont val="Tahoma"/>
            <family val="2"/>
          </rPr>
          <t xml:space="preserve">
40 cây
</t>
        </r>
      </text>
    </comment>
    <comment ref="K139" authorId="0" shapeId="0" xr:uid="{00000000-0006-0000-0800-000006000000}">
      <text>
        <r>
          <rPr>
            <b/>
            <sz val="9"/>
            <color indexed="81"/>
            <rFont val="Tahoma"/>
            <family val="2"/>
          </rPr>
          <t>Author:</t>
        </r>
        <r>
          <rPr>
            <sz val="9"/>
            <color indexed="81"/>
            <rFont val="Tahoma"/>
            <family val="2"/>
          </rPr>
          <t xml:space="preserve">
40 cây
</t>
        </r>
      </text>
    </comment>
    <comment ref="H141" authorId="0" shapeId="0" xr:uid="{00000000-0006-0000-0800-000007000000}">
      <text>
        <r>
          <rPr>
            <b/>
            <sz val="9"/>
            <color indexed="81"/>
            <rFont val="Tahoma"/>
            <family val="2"/>
          </rPr>
          <t>Author:</t>
        </r>
        <r>
          <rPr>
            <sz val="9"/>
            <color indexed="81"/>
            <rFont val="Tahoma"/>
            <family val="2"/>
          </rPr>
          <t xml:space="preserve">
4 cái</t>
        </r>
      </text>
    </comment>
    <comment ref="I141" authorId="0" shapeId="0" xr:uid="{00000000-0006-0000-0800-000008000000}">
      <text>
        <r>
          <rPr>
            <b/>
            <sz val="9"/>
            <color indexed="81"/>
            <rFont val="Tahoma"/>
            <family val="2"/>
          </rPr>
          <t>Author:</t>
        </r>
        <r>
          <rPr>
            <sz val="9"/>
            <color indexed="81"/>
            <rFont val="Tahoma"/>
            <family val="2"/>
          </rPr>
          <t xml:space="preserve">
4 cái</t>
        </r>
      </text>
    </comment>
    <comment ref="K141" authorId="0" shapeId="0" xr:uid="{00000000-0006-0000-0800-000009000000}">
      <text>
        <r>
          <rPr>
            <b/>
            <sz val="9"/>
            <color indexed="81"/>
            <rFont val="Tahoma"/>
            <family val="2"/>
          </rPr>
          <t>Author:</t>
        </r>
        <r>
          <rPr>
            <sz val="9"/>
            <color indexed="81"/>
            <rFont val="Tahoma"/>
            <family val="2"/>
          </rPr>
          <t xml:space="preserve">
4 cái</t>
        </r>
      </text>
    </comment>
    <comment ref="H142" authorId="0" shapeId="0" xr:uid="{00000000-0006-0000-0800-00000A000000}">
      <text>
        <r>
          <rPr>
            <b/>
            <sz val="9"/>
            <color indexed="81"/>
            <rFont val="Tahoma"/>
            <family val="2"/>
          </rPr>
          <t>Author:</t>
        </r>
        <r>
          <rPr>
            <sz val="9"/>
            <color indexed="81"/>
            <rFont val="Tahoma"/>
            <family val="2"/>
          </rPr>
          <t xml:space="preserve">
6 cái</t>
        </r>
      </text>
    </comment>
    <comment ref="I142" authorId="0" shapeId="0" xr:uid="{00000000-0006-0000-0800-00000B000000}">
      <text>
        <r>
          <rPr>
            <b/>
            <sz val="9"/>
            <color indexed="81"/>
            <rFont val="Tahoma"/>
            <family val="2"/>
          </rPr>
          <t>Author:</t>
        </r>
        <r>
          <rPr>
            <sz val="9"/>
            <color indexed="81"/>
            <rFont val="Tahoma"/>
            <family val="2"/>
          </rPr>
          <t xml:space="preserve">
6 cái</t>
        </r>
      </text>
    </comment>
    <comment ref="K142" authorId="0" shapeId="0" xr:uid="{00000000-0006-0000-0800-00000C000000}">
      <text>
        <r>
          <rPr>
            <b/>
            <sz val="9"/>
            <color indexed="81"/>
            <rFont val="Tahoma"/>
            <family val="2"/>
          </rPr>
          <t>Author:</t>
        </r>
        <r>
          <rPr>
            <sz val="9"/>
            <color indexed="81"/>
            <rFont val="Tahoma"/>
            <family val="2"/>
          </rPr>
          <t xml:space="preserve">
6 cái</t>
        </r>
      </text>
    </comment>
    <comment ref="H143" authorId="0" shapeId="0" xr:uid="{00000000-0006-0000-0800-00000D000000}">
      <text>
        <r>
          <rPr>
            <b/>
            <sz val="9"/>
            <color indexed="81"/>
            <rFont val="Tahoma"/>
            <family val="2"/>
          </rPr>
          <t>Author:</t>
        </r>
        <r>
          <rPr>
            <sz val="9"/>
            <color indexed="81"/>
            <rFont val="Tahoma"/>
            <family val="2"/>
          </rPr>
          <t xml:space="preserve">
3 cái</t>
        </r>
      </text>
    </comment>
    <comment ref="I143" authorId="0" shapeId="0" xr:uid="{00000000-0006-0000-0800-00000E000000}">
      <text>
        <r>
          <rPr>
            <b/>
            <sz val="9"/>
            <color indexed="81"/>
            <rFont val="Tahoma"/>
            <family val="2"/>
          </rPr>
          <t>Author:</t>
        </r>
        <r>
          <rPr>
            <sz val="9"/>
            <color indexed="81"/>
            <rFont val="Tahoma"/>
            <family val="2"/>
          </rPr>
          <t xml:space="preserve">
3 cái</t>
        </r>
      </text>
    </comment>
    <comment ref="K143" authorId="0" shapeId="0" xr:uid="{00000000-0006-0000-0800-00000F000000}">
      <text>
        <r>
          <rPr>
            <b/>
            <sz val="9"/>
            <color indexed="81"/>
            <rFont val="Tahoma"/>
            <family val="2"/>
          </rPr>
          <t>Author:</t>
        </r>
        <r>
          <rPr>
            <sz val="9"/>
            <color indexed="81"/>
            <rFont val="Tahoma"/>
            <family val="2"/>
          </rPr>
          <t xml:space="preserve">
3 cái</t>
        </r>
      </text>
    </comment>
    <comment ref="H144" authorId="0" shapeId="0" xr:uid="{00000000-0006-0000-0800-000010000000}">
      <text>
        <r>
          <rPr>
            <b/>
            <sz val="9"/>
            <color indexed="81"/>
            <rFont val="Tahoma"/>
            <family val="2"/>
          </rPr>
          <t>Author:</t>
        </r>
        <r>
          <rPr>
            <sz val="9"/>
            <color indexed="81"/>
            <rFont val="Tahoma"/>
            <family val="2"/>
          </rPr>
          <t xml:space="preserve">
2 cái</t>
        </r>
      </text>
    </comment>
    <comment ref="I144" authorId="0" shapeId="0" xr:uid="{00000000-0006-0000-0800-000011000000}">
      <text>
        <r>
          <rPr>
            <b/>
            <sz val="9"/>
            <color indexed="81"/>
            <rFont val="Tahoma"/>
            <family val="2"/>
          </rPr>
          <t>Author:</t>
        </r>
        <r>
          <rPr>
            <sz val="9"/>
            <color indexed="81"/>
            <rFont val="Tahoma"/>
            <family val="2"/>
          </rPr>
          <t xml:space="preserve">
2 cái</t>
        </r>
      </text>
    </comment>
    <comment ref="K144" authorId="0" shapeId="0" xr:uid="{00000000-0006-0000-0800-000012000000}">
      <text>
        <r>
          <rPr>
            <b/>
            <sz val="9"/>
            <color indexed="81"/>
            <rFont val="Tahoma"/>
            <family val="2"/>
          </rPr>
          <t>Author:</t>
        </r>
        <r>
          <rPr>
            <sz val="9"/>
            <color indexed="81"/>
            <rFont val="Tahoma"/>
            <family val="2"/>
          </rPr>
          <t xml:space="preserve">
2 cái</t>
        </r>
      </text>
    </comment>
    <comment ref="H145" authorId="0" shapeId="0" xr:uid="{00000000-0006-0000-0800-000013000000}">
      <text>
        <r>
          <rPr>
            <b/>
            <sz val="9"/>
            <color indexed="81"/>
            <rFont val="Tahoma"/>
            <family val="2"/>
          </rPr>
          <t>Author:</t>
        </r>
        <r>
          <rPr>
            <sz val="9"/>
            <color indexed="81"/>
            <rFont val="Tahoma"/>
            <family val="2"/>
          </rPr>
          <t xml:space="preserve">
3 cái</t>
        </r>
      </text>
    </comment>
    <comment ref="I145" authorId="0" shapeId="0" xr:uid="{00000000-0006-0000-0800-000014000000}">
      <text>
        <r>
          <rPr>
            <b/>
            <sz val="9"/>
            <color indexed="81"/>
            <rFont val="Tahoma"/>
            <family val="2"/>
          </rPr>
          <t>Author:</t>
        </r>
        <r>
          <rPr>
            <sz val="9"/>
            <color indexed="81"/>
            <rFont val="Tahoma"/>
            <family val="2"/>
          </rPr>
          <t xml:space="preserve">
3 cái</t>
        </r>
      </text>
    </comment>
    <comment ref="K145" authorId="0" shapeId="0" xr:uid="{00000000-0006-0000-0800-000015000000}">
      <text>
        <r>
          <rPr>
            <b/>
            <sz val="9"/>
            <color indexed="81"/>
            <rFont val="Tahoma"/>
            <family val="2"/>
          </rPr>
          <t>Author:</t>
        </r>
        <r>
          <rPr>
            <sz val="9"/>
            <color indexed="81"/>
            <rFont val="Tahoma"/>
            <family val="2"/>
          </rPr>
          <t xml:space="preserve">
3 cái</t>
        </r>
      </text>
    </comment>
    <comment ref="H146" authorId="0" shapeId="0" xr:uid="{00000000-0006-0000-0800-000016000000}">
      <text>
        <r>
          <rPr>
            <b/>
            <sz val="9"/>
            <color indexed="81"/>
            <rFont val="Tahoma"/>
            <family val="2"/>
          </rPr>
          <t>Author:</t>
        </r>
        <r>
          <rPr>
            <sz val="9"/>
            <color indexed="81"/>
            <rFont val="Tahoma"/>
            <family val="2"/>
          </rPr>
          <t xml:space="preserve">
6</t>
        </r>
      </text>
    </comment>
    <comment ref="I146" authorId="0" shapeId="0" xr:uid="{00000000-0006-0000-0800-000017000000}">
      <text>
        <r>
          <rPr>
            <b/>
            <sz val="9"/>
            <color indexed="81"/>
            <rFont val="Tahoma"/>
            <family val="2"/>
          </rPr>
          <t>Author:</t>
        </r>
        <r>
          <rPr>
            <sz val="9"/>
            <color indexed="81"/>
            <rFont val="Tahoma"/>
            <family val="2"/>
          </rPr>
          <t xml:space="preserve">
6</t>
        </r>
      </text>
    </comment>
    <comment ref="K146" authorId="0" shapeId="0" xr:uid="{00000000-0006-0000-0800-000018000000}">
      <text>
        <r>
          <rPr>
            <b/>
            <sz val="9"/>
            <color indexed="81"/>
            <rFont val="Tahoma"/>
            <family val="2"/>
          </rPr>
          <t>Author:</t>
        </r>
        <r>
          <rPr>
            <sz val="9"/>
            <color indexed="81"/>
            <rFont val="Tahoma"/>
            <family val="2"/>
          </rPr>
          <t xml:space="preserve">
6</t>
        </r>
      </text>
    </comment>
    <comment ref="H147" authorId="0" shapeId="0" xr:uid="{00000000-0006-0000-0800-000019000000}">
      <text>
        <r>
          <rPr>
            <b/>
            <sz val="9"/>
            <color indexed="81"/>
            <rFont val="Tahoma"/>
            <family val="2"/>
          </rPr>
          <t>Author:</t>
        </r>
        <r>
          <rPr>
            <sz val="9"/>
            <color indexed="81"/>
            <rFont val="Tahoma"/>
            <family val="2"/>
          </rPr>
          <t xml:space="preserve">
8</t>
        </r>
      </text>
    </comment>
    <comment ref="I147" authorId="0" shapeId="0" xr:uid="{00000000-0006-0000-0800-00001A000000}">
      <text>
        <r>
          <rPr>
            <b/>
            <sz val="9"/>
            <color indexed="81"/>
            <rFont val="Tahoma"/>
            <family val="2"/>
          </rPr>
          <t>Author:</t>
        </r>
        <r>
          <rPr>
            <sz val="9"/>
            <color indexed="81"/>
            <rFont val="Tahoma"/>
            <family val="2"/>
          </rPr>
          <t xml:space="preserve">
8</t>
        </r>
      </text>
    </comment>
    <comment ref="K147" authorId="0" shapeId="0" xr:uid="{00000000-0006-0000-0800-00001B000000}">
      <text>
        <r>
          <rPr>
            <b/>
            <sz val="9"/>
            <color indexed="81"/>
            <rFont val="Tahoma"/>
            <family val="2"/>
          </rPr>
          <t>Author:</t>
        </r>
        <r>
          <rPr>
            <sz val="9"/>
            <color indexed="81"/>
            <rFont val="Tahoma"/>
            <family val="2"/>
          </rPr>
          <t xml:space="preserve">
8</t>
        </r>
      </text>
    </comment>
    <comment ref="H148" authorId="0" shapeId="0" xr:uid="{00000000-0006-0000-0800-00001C000000}">
      <text>
        <r>
          <rPr>
            <b/>
            <sz val="9"/>
            <color indexed="81"/>
            <rFont val="Tahoma"/>
            <family val="2"/>
          </rPr>
          <t>Author:</t>
        </r>
        <r>
          <rPr>
            <sz val="9"/>
            <color indexed="81"/>
            <rFont val="Tahoma"/>
            <family val="2"/>
          </rPr>
          <t xml:space="preserve">
1
</t>
        </r>
      </text>
    </comment>
    <comment ref="I148" authorId="0" shapeId="0" xr:uid="{00000000-0006-0000-0800-00001D000000}">
      <text>
        <r>
          <rPr>
            <b/>
            <sz val="9"/>
            <color indexed="81"/>
            <rFont val="Tahoma"/>
            <family val="2"/>
          </rPr>
          <t>Author:</t>
        </r>
        <r>
          <rPr>
            <sz val="9"/>
            <color indexed="81"/>
            <rFont val="Tahoma"/>
            <family val="2"/>
          </rPr>
          <t xml:space="preserve">
1
</t>
        </r>
      </text>
    </comment>
    <comment ref="K148" authorId="0" shapeId="0" xr:uid="{00000000-0006-0000-0800-00001E000000}">
      <text>
        <r>
          <rPr>
            <b/>
            <sz val="9"/>
            <color indexed="81"/>
            <rFont val="Tahoma"/>
            <family val="2"/>
          </rPr>
          <t>Author:</t>
        </r>
        <r>
          <rPr>
            <sz val="9"/>
            <color indexed="81"/>
            <rFont val="Tahoma"/>
            <family val="2"/>
          </rPr>
          <t xml:space="preserve">
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116" authorId="0" shapeId="0" xr:uid="{00000000-0006-0000-0900-000001000000}">
      <text>
        <r>
          <rPr>
            <b/>
            <sz val="9"/>
            <color indexed="81"/>
            <rFont val="Tahoma"/>
            <family val="2"/>
          </rPr>
          <t>Author:</t>
        </r>
        <r>
          <rPr>
            <sz val="9"/>
            <color indexed="81"/>
            <rFont val="Tahoma"/>
            <family val="2"/>
          </rPr>
          <t xml:space="preserve">
4 cái</t>
        </r>
      </text>
    </comment>
    <comment ref="I116" authorId="0" shapeId="0" xr:uid="{00000000-0006-0000-0900-000002000000}">
      <text>
        <r>
          <rPr>
            <b/>
            <sz val="9"/>
            <color indexed="81"/>
            <rFont val="Tahoma"/>
            <family val="2"/>
          </rPr>
          <t>Author:</t>
        </r>
        <r>
          <rPr>
            <sz val="9"/>
            <color indexed="81"/>
            <rFont val="Tahoma"/>
            <family val="2"/>
          </rPr>
          <t xml:space="preserve">
4 cái</t>
        </r>
      </text>
    </comment>
    <comment ref="K116" authorId="0" shapeId="0" xr:uid="{00000000-0006-0000-0900-000003000000}">
      <text>
        <r>
          <rPr>
            <b/>
            <sz val="9"/>
            <color indexed="81"/>
            <rFont val="Tahoma"/>
            <family val="2"/>
          </rPr>
          <t>Author:</t>
        </r>
        <r>
          <rPr>
            <sz val="9"/>
            <color indexed="81"/>
            <rFont val="Tahoma"/>
            <family val="2"/>
          </rPr>
          <t xml:space="preserve">
4 cái</t>
        </r>
      </text>
    </comment>
    <comment ref="H118" authorId="0" shapeId="0" xr:uid="{00000000-0006-0000-0900-000004000000}">
      <text>
        <r>
          <rPr>
            <b/>
            <sz val="9"/>
            <color indexed="81"/>
            <rFont val="Tahoma"/>
            <family val="2"/>
          </rPr>
          <t>Author:</t>
        </r>
        <r>
          <rPr>
            <sz val="9"/>
            <color indexed="81"/>
            <rFont val="Tahoma"/>
            <family val="2"/>
          </rPr>
          <t xml:space="preserve">
40 cây
</t>
        </r>
      </text>
    </comment>
    <comment ref="I118" authorId="0" shapeId="0" xr:uid="{00000000-0006-0000-0900-000005000000}">
      <text>
        <r>
          <rPr>
            <b/>
            <sz val="9"/>
            <color indexed="81"/>
            <rFont val="Tahoma"/>
            <family val="2"/>
          </rPr>
          <t>Author:</t>
        </r>
        <r>
          <rPr>
            <sz val="9"/>
            <color indexed="81"/>
            <rFont val="Tahoma"/>
            <family val="2"/>
          </rPr>
          <t xml:space="preserve">
40 cây
</t>
        </r>
      </text>
    </comment>
    <comment ref="K118" authorId="0" shapeId="0" xr:uid="{00000000-0006-0000-0900-000006000000}">
      <text>
        <r>
          <rPr>
            <b/>
            <sz val="9"/>
            <color indexed="81"/>
            <rFont val="Tahoma"/>
            <family val="2"/>
          </rPr>
          <t>Author:</t>
        </r>
        <r>
          <rPr>
            <sz val="9"/>
            <color indexed="81"/>
            <rFont val="Tahoma"/>
            <family val="2"/>
          </rPr>
          <t xml:space="preserve">
40 cây
</t>
        </r>
      </text>
    </comment>
    <comment ref="H120" authorId="0" shapeId="0" xr:uid="{00000000-0006-0000-0900-000007000000}">
      <text>
        <r>
          <rPr>
            <b/>
            <sz val="9"/>
            <color indexed="81"/>
            <rFont val="Tahoma"/>
            <family val="2"/>
          </rPr>
          <t>Author:</t>
        </r>
        <r>
          <rPr>
            <sz val="9"/>
            <color indexed="81"/>
            <rFont val="Tahoma"/>
            <family val="2"/>
          </rPr>
          <t xml:space="preserve">
4 cái</t>
        </r>
      </text>
    </comment>
    <comment ref="I120" authorId="0" shapeId="0" xr:uid="{00000000-0006-0000-0900-000008000000}">
      <text>
        <r>
          <rPr>
            <b/>
            <sz val="9"/>
            <color indexed="81"/>
            <rFont val="Tahoma"/>
            <family val="2"/>
          </rPr>
          <t>Author:</t>
        </r>
        <r>
          <rPr>
            <sz val="9"/>
            <color indexed="81"/>
            <rFont val="Tahoma"/>
            <family val="2"/>
          </rPr>
          <t xml:space="preserve">
4 cái</t>
        </r>
      </text>
    </comment>
    <comment ref="K120" authorId="0" shapeId="0" xr:uid="{00000000-0006-0000-0900-000009000000}">
      <text>
        <r>
          <rPr>
            <b/>
            <sz val="9"/>
            <color indexed="81"/>
            <rFont val="Tahoma"/>
            <family val="2"/>
          </rPr>
          <t>Author:</t>
        </r>
        <r>
          <rPr>
            <sz val="9"/>
            <color indexed="81"/>
            <rFont val="Tahoma"/>
            <family val="2"/>
          </rPr>
          <t xml:space="preserve">
4 cái</t>
        </r>
      </text>
    </comment>
    <comment ref="H121" authorId="0" shapeId="0" xr:uid="{00000000-0006-0000-0900-00000A000000}">
      <text>
        <r>
          <rPr>
            <b/>
            <sz val="9"/>
            <color indexed="81"/>
            <rFont val="Tahoma"/>
            <family val="2"/>
          </rPr>
          <t>Author:</t>
        </r>
        <r>
          <rPr>
            <sz val="9"/>
            <color indexed="81"/>
            <rFont val="Tahoma"/>
            <family val="2"/>
          </rPr>
          <t xml:space="preserve">
6 cái</t>
        </r>
      </text>
    </comment>
    <comment ref="I121" authorId="0" shapeId="0" xr:uid="{00000000-0006-0000-0900-00000B000000}">
      <text>
        <r>
          <rPr>
            <b/>
            <sz val="9"/>
            <color indexed="81"/>
            <rFont val="Tahoma"/>
            <family val="2"/>
          </rPr>
          <t>Author:</t>
        </r>
        <r>
          <rPr>
            <sz val="9"/>
            <color indexed="81"/>
            <rFont val="Tahoma"/>
            <family val="2"/>
          </rPr>
          <t xml:space="preserve">
6 cái</t>
        </r>
      </text>
    </comment>
    <comment ref="K121" authorId="0" shapeId="0" xr:uid="{00000000-0006-0000-0900-00000C000000}">
      <text>
        <r>
          <rPr>
            <b/>
            <sz val="9"/>
            <color indexed="81"/>
            <rFont val="Tahoma"/>
            <family val="2"/>
          </rPr>
          <t>Author:</t>
        </r>
        <r>
          <rPr>
            <sz val="9"/>
            <color indexed="81"/>
            <rFont val="Tahoma"/>
            <family val="2"/>
          </rPr>
          <t xml:space="preserve">
6 cái</t>
        </r>
      </text>
    </comment>
    <comment ref="H122" authorId="0" shapeId="0" xr:uid="{00000000-0006-0000-0900-00000D000000}">
      <text>
        <r>
          <rPr>
            <b/>
            <sz val="9"/>
            <color indexed="81"/>
            <rFont val="Tahoma"/>
            <family val="2"/>
          </rPr>
          <t>Author:</t>
        </r>
        <r>
          <rPr>
            <sz val="9"/>
            <color indexed="81"/>
            <rFont val="Tahoma"/>
            <family val="2"/>
          </rPr>
          <t xml:space="preserve">
3 cái</t>
        </r>
      </text>
    </comment>
    <comment ref="I122" authorId="0" shapeId="0" xr:uid="{00000000-0006-0000-0900-00000E000000}">
      <text>
        <r>
          <rPr>
            <b/>
            <sz val="9"/>
            <color indexed="81"/>
            <rFont val="Tahoma"/>
            <family val="2"/>
          </rPr>
          <t>Author:</t>
        </r>
        <r>
          <rPr>
            <sz val="9"/>
            <color indexed="81"/>
            <rFont val="Tahoma"/>
            <family val="2"/>
          </rPr>
          <t xml:space="preserve">
3 cái</t>
        </r>
      </text>
    </comment>
    <comment ref="K122" authorId="0" shapeId="0" xr:uid="{00000000-0006-0000-0900-00000F000000}">
      <text>
        <r>
          <rPr>
            <b/>
            <sz val="9"/>
            <color indexed="81"/>
            <rFont val="Tahoma"/>
            <family val="2"/>
          </rPr>
          <t>Author:</t>
        </r>
        <r>
          <rPr>
            <sz val="9"/>
            <color indexed="81"/>
            <rFont val="Tahoma"/>
            <family val="2"/>
          </rPr>
          <t xml:space="preserve">
3 cái</t>
        </r>
      </text>
    </comment>
    <comment ref="H123" authorId="0" shapeId="0" xr:uid="{00000000-0006-0000-0900-000010000000}">
      <text>
        <r>
          <rPr>
            <b/>
            <sz val="9"/>
            <color indexed="81"/>
            <rFont val="Tahoma"/>
            <family val="2"/>
          </rPr>
          <t>Author:</t>
        </r>
        <r>
          <rPr>
            <sz val="9"/>
            <color indexed="81"/>
            <rFont val="Tahoma"/>
            <family val="2"/>
          </rPr>
          <t xml:space="preserve">
2 cái</t>
        </r>
      </text>
    </comment>
    <comment ref="I123" authorId="0" shapeId="0" xr:uid="{00000000-0006-0000-0900-000011000000}">
      <text>
        <r>
          <rPr>
            <b/>
            <sz val="9"/>
            <color indexed="81"/>
            <rFont val="Tahoma"/>
            <family val="2"/>
          </rPr>
          <t>Author:</t>
        </r>
        <r>
          <rPr>
            <sz val="9"/>
            <color indexed="81"/>
            <rFont val="Tahoma"/>
            <family val="2"/>
          </rPr>
          <t xml:space="preserve">
2 cái</t>
        </r>
      </text>
    </comment>
    <comment ref="K123" authorId="0" shapeId="0" xr:uid="{00000000-0006-0000-0900-000012000000}">
      <text>
        <r>
          <rPr>
            <b/>
            <sz val="9"/>
            <color indexed="81"/>
            <rFont val="Tahoma"/>
            <family val="2"/>
          </rPr>
          <t>Author:</t>
        </r>
        <r>
          <rPr>
            <sz val="9"/>
            <color indexed="81"/>
            <rFont val="Tahoma"/>
            <family val="2"/>
          </rPr>
          <t xml:space="preserve">
2 cái</t>
        </r>
      </text>
    </comment>
    <comment ref="H124" authorId="0" shapeId="0" xr:uid="{00000000-0006-0000-0900-000013000000}">
      <text>
        <r>
          <rPr>
            <b/>
            <sz val="9"/>
            <color indexed="81"/>
            <rFont val="Tahoma"/>
            <family val="2"/>
          </rPr>
          <t>Author:</t>
        </r>
        <r>
          <rPr>
            <sz val="9"/>
            <color indexed="81"/>
            <rFont val="Tahoma"/>
            <family val="2"/>
          </rPr>
          <t xml:space="preserve">
3 cái</t>
        </r>
      </text>
    </comment>
    <comment ref="I124" authorId="0" shapeId="0" xr:uid="{00000000-0006-0000-0900-000014000000}">
      <text>
        <r>
          <rPr>
            <b/>
            <sz val="9"/>
            <color indexed="81"/>
            <rFont val="Tahoma"/>
            <family val="2"/>
          </rPr>
          <t>Author:</t>
        </r>
        <r>
          <rPr>
            <sz val="9"/>
            <color indexed="81"/>
            <rFont val="Tahoma"/>
            <family val="2"/>
          </rPr>
          <t xml:space="preserve">
3 cái</t>
        </r>
      </text>
    </comment>
    <comment ref="K124" authorId="0" shapeId="0" xr:uid="{00000000-0006-0000-0900-000015000000}">
      <text>
        <r>
          <rPr>
            <b/>
            <sz val="9"/>
            <color indexed="81"/>
            <rFont val="Tahoma"/>
            <family val="2"/>
          </rPr>
          <t>Author:</t>
        </r>
        <r>
          <rPr>
            <sz val="9"/>
            <color indexed="81"/>
            <rFont val="Tahoma"/>
            <family val="2"/>
          </rPr>
          <t xml:space="preserve">
3 cái</t>
        </r>
      </text>
    </comment>
    <comment ref="H125" authorId="0" shapeId="0" xr:uid="{00000000-0006-0000-0900-000016000000}">
      <text>
        <r>
          <rPr>
            <b/>
            <sz val="9"/>
            <color indexed="81"/>
            <rFont val="Tahoma"/>
            <family val="2"/>
          </rPr>
          <t>Author:</t>
        </r>
        <r>
          <rPr>
            <sz val="9"/>
            <color indexed="81"/>
            <rFont val="Tahoma"/>
            <family val="2"/>
          </rPr>
          <t xml:space="preserve">
6</t>
        </r>
      </text>
    </comment>
    <comment ref="I125" authorId="0" shapeId="0" xr:uid="{00000000-0006-0000-0900-000017000000}">
      <text>
        <r>
          <rPr>
            <b/>
            <sz val="9"/>
            <color indexed="81"/>
            <rFont val="Tahoma"/>
            <family val="2"/>
          </rPr>
          <t>Author:</t>
        </r>
        <r>
          <rPr>
            <sz val="9"/>
            <color indexed="81"/>
            <rFont val="Tahoma"/>
            <family val="2"/>
          </rPr>
          <t xml:space="preserve">
6</t>
        </r>
      </text>
    </comment>
    <comment ref="K125" authorId="0" shapeId="0" xr:uid="{00000000-0006-0000-0900-000018000000}">
      <text>
        <r>
          <rPr>
            <b/>
            <sz val="9"/>
            <color indexed="81"/>
            <rFont val="Tahoma"/>
            <family val="2"/>
          </rPr>
          <t>Author:</t>
        </r>
        <r>
          <rPr>
            <sz val="9"/>
            <color indexed="81"/>
            <rFont val="Tahoma"/>
            <family val="2"/>
          </rPr>
          <t xml:space="preserve">
6</t>
        </r>
      </text>
    </comment>
    <comment ref="H126" authorId="0" shapeId="0" xr:uid="{00000000-0006-0000-0900-000019000000}">
      <text>
        <r>
          <rPr>
            <b/>
            <sz val="9"/>
            <color indexed="81"/>
            <rFont val="Tahoma"/>
            <family val="2"/>
          </rPr>
          <t>Author:</t>
        </r>
        <r>
          <rPr>
            <sz val="9"/>
            <color indexed="81"/>
            <rFont val="Tahoma"/>
            <family val="2"/>
          </rPr>
          <t xml:space="preserve">
8</t>
        </r>
      </text>
    </comment>
    <comment ref="I126" authorId="0" shapeId="0" xr:uid="{00000000-0006-0000-0900-00001A000000}">
      <text>
        <r>
          <rPr>
            <b/>
            <sz val="9"/>
            <color indexed="81"/>
            <rFont val="Tahoma"/>
            <family val="2"/>
          </rPr>
          <t>Author:</t>
        </r>
        <r>
          <rPr>
            <sz val="9"/>
            <color indexed="81"/>
            <rFont val="Tahoma"/>
            <family val="2"/>
          </rPr>
          <t xml:space="preserve">
8</t>
        </r>
      </text>
    </comment>
    <comment ref="K126" authorId="0" shapeId="0" xr:uid="{00000000-0006-0000-0900-00001B000000}">
      <text>
        <r>
          <rPr>
            <b/>
            <sz val="9"/>
            <color indexed="81"/>
            <rFont val="Tahoma"/>
            <family val="2"/>
          </rPr>
          <t>Author:</t>
        </r>
        <r>
          <rPr>
            <sz val="9"/>
            <color indexed="81"/>
            <rFont val="Tahoma"/>
            <family val="2"/>
          </rPr>
          <t xml:space="preserve">
8</t>
        </r>
      </text>
    </comment>
    <comment ref="H127" authorId="0" shapeId="0" xr:uid="{00000000-0006-0000-0900-00001C000000}">
      <text>
        <r>
          <rPr>
            <b/>
            <sz val="9"/>
            <color indexed="81"/>
            <rFont val="Tahoma"/>
            <family val="2"/>
          </rPr>
          <t>Author:</t>
        </r>
        <r>
          <rPr>
            <sz val="9"/>
            <color indexed="81"/>
            <rFont val="Tahoma"/>
            <family val="2"/>
          </rPr>
          <t xml:space="preserve">
1
</t>
        </r>
      </text>
    </comment>
    <comment ref="I127" authorId="0" shapeId="0" xr:uid="{00000000-0006-0000-0900-00001D000000}">
      <text>
        <r>
          <rPr>
            <b/>
            <sz val="9"/>
            <color indexed="81"/>
            <rFont val="Tahoma"/>
            <family val="2"/>
          </rPr>
          <t>Author:</t>
        </r>
        <r>
          <rPr>
            <sz val="9"/>
            <color indexed="81"/>
            <rFont val="Tahoma"/>
            <family val="2"/>
          </rPr>
          <t xml:space="preserve">
1
</t>
        </r>
      </text>
    </comment>
    <comment ref="K127" authorId="0" shapeId="0" xr:uid="{00000000-0006-0000-0900-00001E000000}">
      <text>
        <r>
          <rPr>
            <b/>
            <sz val="9"/>
            <color indexed="81"/>
            <rFont val="Tahoma"/>
            <family val="2"/>
          </rPr>
          <t>Author:</t>
        </r>
        <r>
          <rPr>
            <sz val="9"/>
            <color indexed="81"/>
            <rFont val="Tahoma"/>
            <family val="2"/>
          </rPr>
          <t xml:space="preserve">
1
</t>
        </r>
      </text>
    </comment>
  </commentList>
</comments>
</file>

<file path=xl/sharedStrings.xml><?xml version="1.0" encoding="utf-8"?>
<sst xmlns="http://schemas.openxmlformats.org/spreadsheetml/2006/main" count="13402" uniqueCount="1620">
  <si>
    <t>Cái</t>
  </si>
  <si>
    <t>Dầu diesel (DO)</t>
  </si>
  <si>
    <t>Lít</t>
  </si>
  <si>
    <t>1.31.53.019.SIN.00.000</t>
  </si>
  <si>
    <t>Dầu Sinopec L-TSA46</t>
  </si>
  <si>
    <t>STT</t>
  </si>
  <si>
    <t>ĐVT</t>
  </si>
  <si>
    <t>Nhớt thủy lực Shell Tellus S2 MX 46</t>
  </si>
  <si>
    <t>CÔNG TY NHIỆT ĐIỆN DUYÊN HẢI</t>
  </si>
  <si>
    <t xml:space="preserve">    PHÂN XƯỞNG VẬN HÀNH 1</t>
  </si>
  <si>
    <t>MÃ VẬT TƯ</t>
  </si>
  <si>
    <t>TÊN QUY CÁCH VẬT TƯ</t>
  </si>
  <si>
    <t>Theo...........................số ...............ngày ....tháng ....năm .....của ................................</t>
  </si>
  <si>
    <t>Xuất tại kho:</t>
  </si>
  <si>
    <t xml:space="preserve">Họ tên người nhận hàng: </t>
  </si>
  <si>
    <t>Lý do xuất kho: Phục vục công tác vận hành NMNĐ DH1 (SXKD 2019 – DH1)</t>
  </si>
  <si>
    <t>1.31.53.026.SIN.00.000</t>
  </si>
  <si>
    <t>Lõi</t>
  </si>
  <si>
    <t>I. VẬT TƯ DẦU NHỚT BÔI TRƠN</t>
  </si>
  <si>
    <t>II. VẬT TƯ LỌC DẦU NHỚT, LỌC NƯỚC</t>
  </si>
  <si>
    <t>III. VẬT TƯ CHAI KHÍ, HẠT NHỰA, DẦU DO, HÓA CHẤT VÀ CÁC VẬT TƯ PHỤ KHÁC</t>
  </si>
  <si>
    <t>Lọc dầu bôi trơn quạt tăng áp FGD và lọc dầu bôi trơn quạt sục khí FGD, người để xuất Phan Minh Hải</t>
  </si>
  <si>
    <t>Lọc dầu điều khiển trạm dầu quạt tăng áp FGD, người để xuất Phan Minh hải</t>
  </si>
  <si>
    <t>5.17.80.214.GER.00.000</t>
  </si>
  <si>
    <t>1.41.44.056.VIE.00.000</t>
  </si>
  <si>
    <t>1.31.53.048.THA.00.000</t>
  </si>
  <si>
    <t>Loại lọc: Made By HYDAC, DF W/HC 160 TE 25C 11/B6(1305789), Factory No: F1321599, Year: 37(W)/13(Y)
- Presure: 42Mpa, L: 02</t>
  </si>
  <si>
    <t>- Type: DF W/HC160TE25C11/-B6;
- Filtration rating: 25µm
- Presure: 42MPa;
- T Max: 100 0C;
- T Min: -10 0C</t>
  </si>
  <si>
    <t>5.17.80.090.CHN.02.000</t>
  </si>
  <si>
    <t>5.17.80.095.CHN.01.000</t>
  </si>
  <si>
    <t>5.17.80.213.GER.00.000</t>
  </si>
  <si>
    <t>5.17.50.009.CHN.01.000</t>
  </si>
  <si>
    <t>Lọc đầu thoát bơm rửa HP GGH - DH1, người để xuất Phan Minh Hải</t>
  </si>
  <si>
    <t>Lõi lọc đầu thoát bơm rửa HP GGH FGD - DH1, người để xuất Phan Minh Hải</t>
  </si>
  <si>
    <t>Lõi lọc an toàn RO1 - DH1, người để xuất Phan Minh Hải</t>
  </si>
  <si>
    <t>Tồn tại kho P.KHVT  (tính tới ngày 15 của tháng hiện tại)</t>
  </si>
  <si>
    <t>Dầu bôi trơn gối đỡ chặn động cơ bơm hấp thụ FGD Phan Minh Hải 500 lít</t>
  </si>
  <si>
    <t>Lọc dầu điều khiển quạt tăng áp FGD - DH1, Model: SGF-H330x20, Filter element: LH0330D020BN3HC, Filtration rating: 20µm</t>
  </si>
  <si>
    <t>Lõi lọc an toàn RO2-DH1, Lõi lọc an toàn CRHFPP040500NC VL, lọc: polypropylene,VL Oring: Buna-N, L: 1016mm, ĐK 152.4mm, Cấp lọc: 05µm</t>
  </si>
  <si>
    <t>Lõi lọc nhớt cho hệ thống PAF DH3, mã bộ lọc SGF-H160x20F, mã lõi lọc: LH0160D020BN3HC, cấp lọc 20mm</t>
  </si>
  <si>
    <t>1.11.01.002.VIE.00.000</t>
  </si>
  <si>
    <t>Thang nhôm chữ A</t>
  </si>
  <si>
    <t>Cây</t>
  </si>
  <si>
    <t>Dầu Shell Omala S2 GX 1000</t>
  </si>
  <si>
    <t>Dầu Shell Turbo T32 (209l/phuy)</t>
  </si>
  <si>
    <t>Dầu bôi trơn gối đỡ dẫn hướng, gối chặn GGH - FGD Phan Minh Hải (Bổ sung châm thêm 2 tổ máy 50 lít/năm)</t>
  </si>
  <si>
    <t>1.31.03.032.VIE.00.000</t>
  </si>
  <si>
    <t>Dầu Shell Rimula R4X 15W-40</t>
  </si>
  <si>
    <t>Lê Viết Châu</t>
  </si>
  <si>
    <t>1.26.86.107.VIE.00.000</t>
  </si>
  <si>
    <t>Bình khí N2 chuẩn; Nồng độ N2 99,999%; dung tích 10L; Áp suất khí 150 bar; NSX: Leeden Nox.</t>
  </si>
  <si>
    <t>Chai</t>
  </si>
  <si>
    <t>1.31.63.003.USA.00.000</t>
  </si>
  <si>
    <t>Nhớt làm mát máy nén khí Ultra coolant Ingersoll Rand</t>
  </si>
  <si>
    <t>Dầu nhờn Total Preslia 46</t>
  </si>
  <si>
    <t>- Dầu bôi trơn gối đỡ cho các bơm, bổ sung cho khớp nối bơm XLNHH, XLNT</t>
  </si>
  <si>
    <t>1.41.44.073.VIE.00.000</t>
  </si>
  <si>
    <t>Shell Omala S2 GX 220</t>
  </si>
  <si>
    <t>Lọc dầu mã P/N :92888262, Lọc dầu hồi trục vít máy nén khí</t>
  </si>
  <si>
    <t>cái</t>
  </si>
  <si>
    <t>Lọc khí Sotras E7-44 (SM 9976), Filter element: Sotras, SM 9976, orking, pressure: 0.8MPa, Filtration Level: 1µm</t>
  </si>
  <si>
    <t>Lọc khí P/N: 39903265</t>
  </si>
  <si>
    <t>Lọc khí P/N 39903281</t>
  </si>
  <si>
    <t>Lọc tách dầu máy nén khí Ingersoll Rand, mã CCN 54509435</t>
  </si>
  <si>
    <t>Lõi lọc tách dầu; Filter element: SM9952, Working pressure: 0.8MPa, Filtration Level: 0.01µm, Remaining Oil Content: 0.01PPm, Capacity: 90m3/min, Differential pressure: &lt; 0.3bar</t>
  </si>
  <si>
    <t>5.17.30.231.CHN.00.000</t>
  </si>
  <si>
    <t>Kg</t>
  </si>
  <si>
    <t>1.61.26.003.VIE.00.000</t>
  </si>
  <si>
    <t>Sodium Hypochloride (NaClO 10%) lỏng</t>
  </si>
  <si>
    <t>1.61.16.003.VIE.00.000</t>
  </si>
  <si>
    <t>NH3 lỏng</t>
  </si>
  <si>
    <t>Khử NOx, người đề xuất Bùi Hoài Tâm (900 tấn)</t>
  </si>
  <si>
    <t>1.61.16.008.VIE.00.000</t>
  </si>
  <si>
    <t>Natri Hidroxit (NaOH 32%)</t>
  </si>
  <si>
    <t>Tấm</t>
  </si>
  <si>
    <t>Vệ sinh dầu đề xuất 100 tấm</t>
  </si>
  <si>
    <t>Bùi Hoài Tâm</t>
  </si>
  <si>
    <t>1.31.53.024.VIE.00.000</t>
  </si>
  <si>
    <t>Dầu Total Preslia VG68</t>
  </si>
  <si>
    <t>1.31.73.139.SIN.00.000</t>
  </si>
  <si>
    <t>Dầu Shell Omala S4 GXV 220</t>
  </si>
  <si>
    <t>1.51.05.179.ESP.00.000</t>
  </si>
  <si>
    <t>Mỡ bôi trơn Quakertek™ ALC-00HV,  Colour: Black, Base oil, viscosity at 40°C, ASTM D-445, mm²/s: Aluminium, NLGT Grade: 00, Worked penetration 60 strokes ASTM D-217, 1/10mm: 405,</t>
  </si>
  <si>
    <t>1.31.73.044.SIN.00.000</t>
  </si>
  <si>
    <t xml:space="preserve">Dầu Sinopec L-CKD 320 </t>
  </si>
  <si>
    <t>1.31.73.071.SIN.00.000</t>
  </si>
  <si>
    <t xml:space="preserve">Dầu Sinopec L-CKD 150; Singapore </t>
  </si>
  <si>
    <t>Đầu bôi trơn VRL của máy nghiền,</t>
  </si>
  <si>
    <t>Nguyễn Quang Đàm</t>
  </si>
  <si>
    <t>5.17.80.089.CHN.01.000</t>
  </si>
  <si>
    <t>Lõi lọc thủy lực cho bộ lọc dầu Duplex Filter 22PD; KT: 60x245mm</t>
  </si>
  <si>
    <t>5.17.30.132.CHN.01.000</t>
  </si>
  <si>
    <t>Lọc dầu động cơ chính máy nghiền, loại máy nghiền MGS-4766, mã lọc: SPL-15 Oil Filter Mesh Disc
- Inner diameter: 20mm
- Outer diameter: 40mm
- Rated Flow: 2m3/h
- Materials: copper mesh
- Precise: 500 mesh
- Số lượng đĩa lọc trên mỗi bộ: 30 cái</t>
  </si>
  <si>
    <t>5.17.20.095.CHN.01.000</t>
  </si>
  <si>
    <t>Model: KANG HUA WU-250x100FJ</t>
  </si>
  <si>
    <t>5.17.20.043.CHN.01.000
5.17.30.260.CHN.00.000</t>
  </si>
  <si>
    <t>Lõi Lọc dầu, Model: SFX 240x20, Filtration rating: 20µm</t>
  </si>
  <si>
    <t>Lõi Lọc dầu điều khiển quạt PAF, FDF DH1, người đề xuất Nguyễn Quang Đàm</t>
  </si>
  <si>
    <t>Lõi Lọc dầu động cơ chính mill DH1, người đề xuất Nguyễn Quang Đàm</t>
  </si>
  <si>
    <t>Lõi Lọc dầu đầu hút bơm dầu LP mill DH1, người đề xuất Nguyễn Quang Đàm</t>
  </si>
  <si>
    <t>Lõi Lọc dầu LP/HP Máy nghiền, người đề xuất Nguyễn Quang Đàm</t>
  </si>
  <si>
    <t>Lọc dầu trạm dầu bôi trơn hộp giảm tốc chính Máy nghiền DH1, người đề xuất Nguyễn Quang Đàm</t>
  </si>
  <si>
    <t>Bi Nghiền than ĐK 50</t>
  </si>
  <si>
    <t>Bổ sung bi các máy nghiền</t>
  </si>
  <si>
    <t>Phan Minh Hải</t>
  </si>
  <si>
    <t>Bổ sung dầu thủy lực van bướm đầu thoát bơm hấp thụ Phan Minh Hải 100 lít</t>
  </si>
  <si>
    <t>- Bơm hấp thụ, người để xuất Phan Minh hải (450 lít/năm)</t>
  </si>
  <si>
    <t xml:space="preserve">
- TBNT, người đề xuất Phan Minh Hải </t>
  </si>
  <si>
    <t>Người đề xuất</t>
  </si>
  <si>
    <t>CÔNG TY NHIỆT ĐIỆN
 DUYÊN HẢI</t>
  </si>
  <si>
    <t>Không có dữ liệu</t>
  </si>
  <si>
    <t>5.17.20.052.GER.00.000</t>
  </si>
  <si>
    <t>5.17.20.065.CHN.00.000</t>
  </si>
  <si>
    <t>5.17.60.014.USA.00.000</t>
  </si>
  <si>
    <t>5.17.60.016.USA.01.000</t>
  </si>
  <si>
    <t>5.17.20.051.USA.00.000</t>
  </si>
  <si>
    <t>5.17.30.238.CHN.00.000</t>
  </si>
  <si>
    <t>5.17.20.171.CHN.01.000</t>
  </si>
  <si>
    <t>Tấm thấm dầu Polypropylen; Kích thước: 41x46cm, dày 5mm; Màu sắc: màu trắng; Quy cách: 100 tấm/thùng</t>
  </si>
  <si>
    <t>- Dầu DO cho lò hơi phụ</t>
  </si>
  <si>
    <t>30,00</t>
  </si>
  <si>
    <t>6,00</t>
  </si>
  <si>
    <t>5.17.50.017.CHN.00.000</t>
  </si>
  <si>
    <t>Lõi lọc an toàn,Model: CRHFPP0402000NC,VL lọc: polypropylene,VL Oring: Buna-N,L: 1016mm, ĐK:152.4mm,Cấp lọc: 20 µm,Hãng:Membrane Solution</t>
  </si>
  <si>
    <t>250 (tồn kho mã mới)</t>
  </si>
  <si>
    <t xml:space="preserve">Không có </t>
  </si>
  <si>
    <t>- Cung cấp HT XLN thải, XLNHH không đề xuất</t>
  </si>
  <si>
    <t>2865,00</t>
  </si>
  <si>
    <t>5.17.20.053.CHN.00.000</t>
  </si>
  <si>
    <t>Lõi lọc đầu hút bơm dầu ngày HFO 300m3 DH1, Type: SDSGLQ-68T- 40, Flow: 68m3/h, Precise: 40mesh, Caliber: 150mm, Filtration area: 0.43m2, Working pressure: &lt;0.1MPa</t>
  </si>
  <si>
    <t>1.61.06.038.VIE.00.000</t>
  </si>
  <si>
    <t>HCL 31%</t>
  </si>
  <si>
    <t>- Cung cấp HT XLN, người đề xuất Bùi Hoài Tâm</t>
  </si>
  <si>
    <t>4.89.00.005.CHN.00.000</t>
  </si>
  <si>
    <t>Cung cấp HT XLN, người đề xuất Bùi Hoài Tâm</t>
  </si>
  <si>
    <t>15,157.544</t>
  </si>
  <si>
    <t>Nguyễn Khắc Bảo</t>
  </si>
  <si>
    <t>1.61.86.518.VIE.00.000</t>
  </si>
  <si>
    <t>Hoá chất- Ammonium hydroxite 20% P (NH4OH)</t>
  </si>
  <si>
    <t>Cung cấp hệ thống XLN Lò</t>
  </si>
  <si>
    <t>Vũ Văn Tiến</t>
  </si>
  <si>
    <t>1.31.53.022.VIE.00.000</t>
  </si>
  <si>
    <t>Dầu Total Preslia VG32</t>
  </si>
  <si>
    <t>Bổ sung dầu bôi trơn tuabin chính, BFPT, bơm cấp điện</t>
  </si>
  <si>
    <t>1.61.86.566.VIE.02.000</t>
  </si>
  <si>
    <t>PAC 12% lỏng, màu trắng hoặc vàng nhạt dùng cho xử lý nước cấp</t>
  </si>
  <si>
    <t xml:space="preserve">Cung cấp XLN HH </t>
  </si>
  <si>
    <t>4.94.80.285.VIE.00.000</t>
  </si>
  <si>
    <t>Vải lau màu</t>
  </si>
  <si>
    <t>8.95.80.006.VIE.00.000</t>
  </si>
  <si>
    <t>Bao tải loại 50kg</t>
  </si>
  <si>
    <t>Phục vụ công tác trục vớt trứng nước và sứa biển tại BTHT DH1</t>
  </si>
  <si>
    <t>Nhớt làm mát máy nén khí Ultra coolant Ingersoll Rand đề xuất bổ sung cho các mnk và thay cho MNK A,E</t>
  </si>
  <si>
    <t>1.31.53.023.VIE.00.000</t>
  </si>
  <si>
    <t xml:space="preserve">Lọc dầu hồi trục vít máy nén khí Ingersoll Rand,  thay cho MNK  C </t>
  </si>
  <si>
    <t>5.17.60.109.ITA.00.000</t>
  </si>
  <si>
    <t>4.89.00.005.CHN.01.000</t>
  </si>
  <si>
    <t>Bùi Hoài Tâm
Nguyễn Quang Đàm</t>
  </si>
  <si>
    <t>1.41.44.082.VIE.00.000</t>
  </si>
  <si>
    <t xml:space="preserve">Dầu Total Azolla ZS46 </t>
  </si>
  <si>
    <t>Dầu điều khiển Bypass LP-HP Tuabin</t>
  </si>
  <si>
    <t>Dầu bôi trơn gối đỡ chặn bơm ngưng</t>
  </si>
  <si>
    <t>1.31.53.034.ENG.00.000</t>
  </si>
  <si>
    <t>Dầu Lanxess Turbofluid 46SJ; Quy cách: 230 kg/phuy</t>
  </si>
  <si>
    <t>Dầu bôi trơn Shell Turbo T46</t>
  </si>
  <si>
    <t>Bôi trơn gỗi đỡ chặn động cơ bơm tuần hoàn</t>
  </si>
  <si>
    <t>1.26.86.009.VIE.00.000</t>
  </si>
  <si>
    <t>Khí CO2 99.93% (nạp 22kg/chai), 
chai loại 40l</t>
  </si>
  <si>
    <t xml:space="preserve">Thông thổi khí Máy phát </t>
  </si>
  <si>
    <t>Nguyễn Hữu Danh</t>
  </si>
  <si>
    <t>Lọc khí đầu vào MNK (lọc dài) ( Mã VT: 39903265)</t>
  </si>
  <si>
    <t>Lọc khí đầu vào MNK (lọc ngắn) ( Mã VT: 39903281)</t>
  </si>
  <si>
    <t xml:space="preserve">Cái </t>
  </si>
  <si>
    <t>thay cho MNK D,E,G ( cảnh báo thay)</t>
  </si>
  <si>
    <t>4.59.90.026.VIE.00.000</t>
  </si>
  <si>
    <t>Dầu Máy Biến Áp T2 (kunlun KI25X 170kg)</t>
  </si>
  <si>
    <t>Huỳnh Duy Luân</t>
  </si>
  <si>
    <t xml:space="preserve">thay cho MNK D,E,G ( cảnh báo thay)
Thay cho MNK D ( cảnh </t>
  </si>
  <si>
    <t>Lê Hoàng Qui</t>
  </si>
  <si>
    <t>Trương Quốc Hiếu</t>
  </si>
  <si>
    <t>Không có mã</t>
  </si>
  <si>
    <t>Thông thổi trạm điều chế H2, người đề xuất Lê Viết Châu
Đề xuất phục vụ công tác thông thổi thổi cuộn dây stator</t>
  </si>
  <si>
    <t xml:space="preserve">Bổ sung cho các bơm định lượng hoá chất, quạt 
Động cơ vần trục máy nghiền, HGT phân ly máy nghiền </t>
  </si>
  <si>
    <t>Bổ sung dầu điều khiển thủy lực EH tuabin chỉnh và tuabin bơm cấp BFPT do mức dầu thấp</t>
  </si>
  <si>
    <t>Thay dầu gối đỡ dẫn hướng GGH FGD S1, S2</t>
  </si>
  <si>
    <t>1.41.44.085.VIE.00.000</t>
  </si>
  <si>
    <t>Nhớt thủy lực Shell Tellus S2 MX 68</t>
  </si>
  <si>
    <t>Thay dầu thủy lực xích cào thải xỉ SSC S1, S2</t>
  </si>
  <si>
    <t>5.17.50.021.CHN.01.000</t>
  </si>
  <si>
    <t>Lõi lọc rửa ngược nước làm mát stator máy phát: MSL-125</t>
  </si>
  <si>
    <t>5.17.30.216.CHN.00.000</t>
  </si>
  <si>
    <t>Lõi Lọc nước làm mát stator MF - DH1, Mã bộ lọc WFF-125-1, Mã lõi lọc MSL-125, Filtration rating: 05µm, Áp, suất làm việc 1.0MPa, Mỗi bộ có 31 lõi lọc</t>
  </si>
  <si>
    <t>Thay lọc rửa ngược cho hệ thống nước stator máy phát S1, S2</t>
  </si>
  <si>
    <t>Thay lọc chính bộ lọc nước stator máy phát S1</t>
  </si>
  <si>
    <t>5.17.30.049.CHN.00.000</t>
  </si>
  <si>
    <t xml:space="preserve">Lõi lọc làm việc cho bộ dẫn động thủy lực, của bơm cấp nước lò bằng Turbine, Model: DP2B01EA10V/-W	</t>
  </si>
  <si>
    <t>Thay thế lọc cho bộ dẫn động thủy lực, của bơm cấp nước lò bằng Turbine</t>
  </si>
  <si>
    <t>Nguyễn Văn Cường</t>
  </si>
  <si>
    <t>Dung môi Jotun Thinner No.17 (thùng 5 lít)</t>
  </si>
  <si>
    <t>1.71.77.029.VIE.00.000</t>
  </si>
  <si>
    <t>Sơn xà gồ nhà xe VH1 ( 15 lít trả kho)</t>
  </si>
  <si>
    <t>1.31.68.011.JPN.00.000</t>
  </si>
  <si>
    <t>Dầu máy lạnh Sunoco Suniso 5GS VG100</t>
  </si>
  <si>
    <t>1.31.73.047.SIN.00.000</t>
  </si>
  <si>
    <t>Dầu Total Carter EP 680</t>
  </si>
  <si>
    <t>Chưa có dữ liệu</t>
  </si>
  <si>
    <t>Đỗ Hiếu Liêm</t>
  </si>
  <si>
    <t>Lọc tách axit máy lọc dầu EH</t>
  </si>
  <si>
    <t>Tách axit dầu EH</t>
  </si>
  <si>
    <t>Lọc khí đầu vào máy nén khí Ingersoll Rand M250 và M350, người đề xuất Bùi Hoài Tâm thay cho mnk #4 do vận hành đến thời gian cần thay thế).</t>
  </si>
  <si>
    <t>Lọc khí đầu vào máy nén khí Ingersoll Rand M250 và M350, người đề xuất Bùi Hoài Tâm (thay cho MNK thay cho mnk F, D)</t>
  </si>
  <si>
    <t xml:space="preserve">Lọc tách dầu máy nén khí Ingersoll Rand M350, (mã CCN 54509435), thay cho MNK : A,C,D,E,F,G,H,I. Do đến hạn thay. </t>
  </si>
  <si>
    <t>8.32.92.343.CHN.01.000</t>
  </si>
  <si>
    <t>Bút thử điện đa cấp SEW 275HP (240V-275kV, loại không tiếp xúc)</t>
  </si>
  <si>
    <t>Trạng bị cho cương vị lò phó, máy nghiền, ESP, FGD, TBTH, TBNT, TPĐ, IC, XLNHH, Trợ thủ</t>
  </si>
  <si>
    <t>- Dầu DO MF Diezel, người đề xuất Lê Viết Châu (200 lít)</t>
  </si>
  <si>
    <t>Lõi lọc an toàn RO2-DH1, người để xuất Phan Minh Hải</t>
  </si>
  <si>
    <t xml:space="preserve">Động cơ vần trục máy nghiền, HGT phân ly máy nghiền </t>
  </si>
  <si>
    <t>Dầu bôi trơn HGT băng tải máy cấp than nguyên</t>
  </si>
  <si>
    <t>Hộp giảm tốc APH 1A;
Trạm dầu LH/HP máy nghiền;
HGT bơm rửa cao áp APH</t>
  </si>
  <si>
    <t>Phân xưởng Vận hành 1</t>
  </si>
  <si>
    <t>3.34.50.061.CHN.00.000</t>
  </si>
  <si>
    <t>SWITCH TP-LINK TL-SF1008D – 8PORT 10/100MBPS + ADAPTER NGUỒN</t>
  </si>
  <si>
    <t>3.62.92.068.ROU.00.000</t>
  </si>
  <si>
    <t>Nguồn PLC PS307 24 V/5 A SIMATIC S7-300 Regulated power supply PS307 input: 120/230 V AC, output: 24 V / 5 A DC</t>
  </si>
  <si>
    <t>3.65.01.449.GER.00.000</t>
  </si>
  <si>
    <t>Card của PLC EM 231 AI4 x 12Bit SIEMENS 6ES7 231-0HC22-0XA0</t>
  </si>
  <si>
    <t>3.65.01.451.GER.00.000</t>
  </si>
  <si>
    <t>Card của PLC EM 235 AI4/AQ1 x 12 Bit SIEMENS 6ES7 235-OKD22-0XA0</t>
  </si>
  <si>
    <t>3.65.01.504.CHN.00.000</t>
  </si>
  <si>
    <t>Card của PLC, SIMATIC S7-200 CN analog input EM 231, only for S7-22X CPU, 4 AI, 0-10V DC, 12 bit converter this S7-200 CN product only has CE approval, 6ES7231-0HC22-0XA8</t>
  </si>
  <si>
    <t>3.50.91.999.CHN.67.000</t>
  </si>
  <si>
    <t>Đế sạc pin 20V INGCO - FCLI2001</t>
  </si>
  <si>
    <t>3.50.91.999.CHN.69.000</t>
  </si>
  <si>
    <t>Pin Lithium 20V/4AH INGCO - FBLI2002</t>
  </si>
  <si>
    <t>3.50.91.999.CHN.70.000</t>
  </si>
  <si>
    <t>Pin Lithium 20V/2AH INGCO - FBLI2001</t>
  </si>
  <si>
    <t>3.95.01.066.CHN.00.000</t>
  </si>
  <si>
    <t>Pin bộ đàm Motorola GP3188 NNTN4497</t>
  </si>
  <si>
    <t>4.94.06.158.CHN.00.000</t>
  </si>
  <si>
    <t>Pin Lithium ER14250S 3.6V, NSX: Great Power</t>
  </si>
  <si>
    <t>Thay thế cho hệ thống điều khiển HVAC</t>
  </si>
  <si>
    <t>Thay thế cho hệ thống điều khiển Polihsing</t>
  </si>
  <si>
    <t xml:space="preserve">SCTX hệ thống điều khiển PLC </t>
  </si>
  <si>
    <t>Thay thế cho các cương vị hư hỏng pin</t>
  </si>
  <si>
    <t>Thay thế cho các PLC của Schneider</t>
  </si>
  <si>
    <t>Trần Phước Nhân</t>
  </si>
  <si>
    <t>Thay cho diesel S1, S2, diesel PCCC</t>
  </si>
  <si>
    <t>4.84.24.028.VIE.00.000</t>
  </si>
  <si>
    <t>4.94.60.167.VIE.00.000</t>
  </si>
  <si>
    <t>4.94.50.360.VIE.00.000</t>
  </si>
  <si>
    <t>4.94.50.051.VIE.00.000</t>
  </si>
  <si>
    <t>4.94.50.073.VIE.00.000</t>
  </si>
  <si>
    <t>8.35.65.155.VIE.00.000</t>
  </si>
  <si>
    <t>8.35.65.155.VIE.02.000</t>
  </si>
  <si>
    <t>8.35.65.200.VIE.01.000</t>
  </si>
  <si>
    <t>8.35.65.153.VIE.00.000</t>
  </si>
  <si>
    <t>8.35.65.247.VIE.00.000</t>
  </si>
  <si>
    <t>8.35.65.151.VIE.00.000</t>
  </si>
  <si>
    <t>Bản lề tủ điện FL201; Chất liệu hợp kim kẽm; Kích thước 73,7x23,2mm;</t>
  </si>
  <si>
    <t>Băng keo giấy 2cm</t>
  </si>
  <si>
    <t>Băng keo giấy 5 cm</t>
  </si>
  <si>
    <t>Bút lông dầu nhỏ màu xanh</t>
  </si>
  <si>
    <t>Bút xóa nước TL CP 02</t>
  </si>
  <si>
    <t>Cọ lăn sơn 10cm</t>
  </si>
  <si>
    <t>Cọ lăn sơn 21cm</t>
  </si>
  <si>
    <t>Cọ lăn sơn 6 cm</t>
  </si>
  <si>
    <t>Cọ sơn 2,5cm</t>
  </si>
  <si>
    <t>Cọ sơn: 4cm</t>
  </si>
  <si>
    <t>Cọ sơn 5cm</t>
  </si>
  <si>
    <t>Cai</t>
  </si>
  <si>
    <t>Cu2</t>
  </si>
  <si>
    <t>Cay</t>
  </si>
  <si>
    <t>1.41.84.018.THA.00.000</t>
  </si>
  <si>
    <t>Dầu nhả rỉ sét RP7 300ml</t>
  </si>
  <si>
    <t>Cha</t>
  </si>
  <si>
    <t>4.90.01.156.CHN.00.000</t>
  </si>
  <si>
    <t>Keo silicon A500</t>
  </si>
  <si>
    <t>3.30.10.428.VIE.00.000</t>
  </si>
  <si>
    <t>Ổ cắm Mã sản phẩm: OC3KD</t>
  </si>
  <si>
    <t>4.94.06.056.VIE.00.000</t>
  </si>
  <si>
    <t>Pin vuông 9 V</t>
  </si>
  <si>
    <t>4.25.23.012.VIE.00.000</t>
  </si>
  <si>
    <t>Sơn chống rỉ màu vàng 542- BT</t>
  </si>
  <si>
    <t>4.25.01.209.VIE.00.000</t>
  </si>
  <si>
    <t>Sơn phủ xanh, Bạch Tuyết, Mã màu: Yamaha 715</t>
  </si>
  <si>
    <t>Bổ sung và thay dầu hộp giảm tốc chính Máy nghiền</t>
  </si>
  <si>
    <t>Thay dầu trạm dầu bôi trơn động cơ chính Máy nghiền, quạt gió chèn</t>
  </si>
  <si>
    <t>Dầu bôi trơn quạt FDF, PAF, BF</t>
  </si>
  <si>
    <t>Thay dầu máy nén chiller C</t>
  </si>
  <si>
    <t>Thay dầu máy nén khí phun dầu VRL và ống dẫn dòng</t>
  </si>
  <si>
    <t>Thay dầu gối đỡ dẫn hướng APH</t>
  </si>
  <si>
    <t>1.31.73.073.SIN.00.000</t>
  </si>
  <si>
    <t>Dầu Sinopec L-DAB 100; Singapore</t>
  </si>
  <si>
    <t>Thay dầu trạm dầu thủy lực SSC</t>
  </si>
  <si>
    <t>5.17.80.218.CHN.00.000</t>
  </si>
  <si>
    <t>Lọc từ. Bộ lọc từ nam châm thanh. Nam châm Kích thước: D25x90mm. Lực từ: 8000- 9000 Gauss. Cố định một đầu trên thanh inox KT 25x180mm</t>
  </si>
  <si>
    <t>Lọc từ đường dầu hồi trạm dầu LP/HP máy nghiền, quạt gió người đề xuất Nguyễn Quang Đàm</t>
  </si>
  <si>
    <t>5.17.20.081.USA.02.000</t>
  </si>
  <si>
    <t>Lọc dầu hộp giảm tốc, Bộ lọc dầu - Filter P173789,H= 362mm,D= 121MM,d1=79mm,d2 = 86mm</t>
  </si>
  <si>
    <t>Lõi lọc an toàn RO1, RO2-DH1</t>
  </si>
  <si>
    <t>Lọc tách cặn máy lọc dầu EH</t>
  </si>
  <si>
    <t>Bảo dưỡng các thiết bị C&amp;I</t>
  </si>
  <si>
    <t>Thực hiện công tác chống thấm các tủ điện</t>
  </si>
  <si>
    <t>Thực hiện công tác 5S</t>
  </si>
  <si>
    <t>Phục vụ công tác vận hành</t>
  </si>
  <si>
    <t>Sơn các thiết bị dưới 2m theo chỉ đạo BGĐ</t>
  </si>
  <si>
    <t>Phục vụ công tác VSCN</t>
  </si>
  <si>
    <t>Lọc dầu Sotras E7-44 (SM 9976)</t>
  </si>
  <si>
    <t>5.17.20.095.CHN.02.000</t>
  </si>
  <si>
    <t>Lõi lọc dầu, Model: WU-250x100FJ.</t>
  </si>
  <si>
    <t>5.17.20.170.CHN.01.000</t>
  </si>
  <si>
    <t>Lõi lọc dầu. Type: SDSGLQ-68T-40, Flow: 68m3/h, Precise: 40mesh Caliber: 150mm, Filtration area: 0.43m2, Working pressure: &lt;0.1MPa</t>
  </si>
  <si>
    <t>Lõi lọc dầu, Type: SDSGLQ-5.5T-40, Flow: 5.5m3/h, Precise: 40mesh Caliber: 65mm, Filtration area: 0.071m2, Working pressure: &lt;0.1MPa</t>
  </si>
  <si>
    <t>5.17.20.177.CHN.00.000</t>
  </si>
  <si>
    <t>Lõi lọc tách dầu. Vật liệu lọc: polypropylene kết hợp với vật liệu hấp thụ dầu; ĐK: ngoài Φ240mm, trong Φ60mm; Chiều cao: 1.000 mm; KT lỗ: 100 micro</t>
  </si>
  <si>
    <t>5.17.20.231.CHN.00.000</t>
  </si>
  <si>
    <t>Lõi lọc dầu bôi trơn tuabin, Mã lõi lọc: QF1600KM2510BS. Cấp lọc: 25 μm</t>
  </si>
  <si>
    <t>5.17.20.237.CHN.02.000</t>
  </si>
  <si>
    <t>Lõi lọc dầu, Type: SDSGLQ-6T-40, Flow: 6m3/h, Precise: 40mesh, Caliber: 65mm, Filtration area: 0.085m2, Working pressure: &lt;0.1MPa</t>
  </si>
  <si>
    <t>5.17.20.237.CHN.03.000</t>
  </si>
  <si>
    <t>Lõi lọc dầu, Type: SDSGLQ-44T-40, Flow: 44m3/h, Precise: 40mesh, Caliber: 80mm, Filtration area: 0.15m2, Working pressure: &lt;0.1MPa</t>
  </si>
  <si>
    <t>5.17.20.237.CHN.04.000</t>
  </si>
  <si>
    <t>Lõi lọc dầu, Type: SDSGLQ-5.5T-40, Flow: 5.5m3/h, Precise: 40mesh, Caliber: 50mm, Filtration area: 0.045m2, Working pressure: &lt;0.1MPa</t>
  </si>
  <si>
    <t>Lõi lọc làm việc cho bộ dẫn động thủy lực, của bơm cấp nước lò bằng Turbine, Model: DP2B01EA10V/-W</t>
  </si>
  <si>
    <t>5.17.30.050.CHN.00.000</t>
  </si>
  <si>
    <t>Lõi lọc làm việc cho bộ dẫn động thủy lực, Model: DP6SH201EA 10V/-W</t>
  </si>
  <si>
    <t>5.17.30.123.CHN.00.000</t>
  </si>
  <si>
    <t>Lõi lọc bơm,Nhà SX: Dongfang, Model: DP1A401EA03V/-W</t>
  </si>
  <si>
    <t>5.17.30.124.CHN.00.000</t>
  </si>
  <si>
    <t>Lõi lọc bơm rửa nước tái chế, Nhà SX: Dongfang, Model: DP1A401EA01V/-F</t>
  </si>
  <si>
    <t>5.17.30.126.CHN.00.000</t>
  </si>
  <si>
    <t>Lõi lọc, Nhà SX: Demalong, Mã: DQ680 3 GAH1.5C</t>
  </si>
  <si>
    <t>5.17.30.127.CHN.00.000</t>
  </si>
  <si>
    <t>Lõi lọc, Nhà SX: Demalong, Mã: DQ830 2 GAH3.5C</t>
  </si>
  <si>
    <t>5.17.30.128.CHN.02.000</t>
  </si>
  <si>
    <t>Lõi Lọc dầu, Mã lọc: Hydraulic, oil filter HDX 40x20, Filtration rating 20µm</t>
  </si>
  <si>
    <t>Lọc dầu động cơ chính máy nghiền, loại máy nghiền MGS-4766, mã lọc: SPL-15 Oil Filter Mesh Disc- Inner diameter: 20mm- Outer diameter</t>
  </si>
  <si>
    <t>5.17.30.132.CHN.02.000</t>
  </si>
  <si>
    <t>Lõi lọc nhớt cho hệ thống APH, mã bộ lọc SPL-32 Oil Filter Mesh Disc, Inner diameter: 30mm,</t>
  </si>
  <si>
    <t>5.17.30.214.ITA.01.000</t>
  </si>
  <si>
    <t>Lõi lọc dầu - Pressure Filter Model SH 75009, Cho Mã lọc: DFDK BH/HC 110 QAC 3 C11, Filtration rating: 03µm</t>
  </si>
  <si>
    <t>5.17.30.218.CHN.00.000</t>
  </si>
  <si>
    <t>Lõi Lọc dầu đầu thoát bơm dầu kích trục tuabin DH1, Mã bộ lọc 707FH3260GA10DN40H7F3.5C, Mã lọc: DQ8302GA10H35C, Filtration: 10µm</t>
  </si>
  <si>
    <t>5.17.30.232.CHN.00.000</t>
  </si>
  <si>
    <t>Lõi lọc dầu HFO từ cảng cấp vào bồn dầu 5000m3 DH1, Type: SDSGLQ-250T-40, Flow: 250m3/h, Precise: 40mesh, Caliber: 250mm, Filtration area: 1.16m2, Working pressure: 0.1MPa</t>
  </si>
  <si>
    <t>5.17.30.233.CHN.01.000</t>
  </si>
  <si>
    <t>Lõi lọc dầu, Type: SDSGLQ-120T-40, Flow: 120m3/h, Precise: 40mesh, Caliber: 200mm, Filtration area: 0.67m2, Working pressure: &lt;0.1MPa</t>
  </si>
  <si>
    <t>5.17.30.259.ITA.00.000</t>
  </si>
  <si>
    <t>Lõi lọc dầu. Pressure Filter Model SH 75009 V. Pmax = 3045 PSID Collapse- Tmax = 248 độ C. Cấp độ lọc: 3 Micron.- Kích thước: 1.85″ OD x 0.87″ ID Top x 6.02″</t>
  </si>
  <si>
    <t>5.17.30.261.GER.00.000</t>
  </si>
  <si>
    <t>Lõi lọc dầu Model 0160 D 025 W/H. Loại lọc:  DF W/HC 160 TE 25C 11/B6(1305789)</t>
  </si>
  <si>
    <t>5.17.50.021.CHN.00.000</t>
  </si>
  <si>
    <t>Lõi lọc Mã: MSL-125; NSX: Xinxiyang Huayu Filter</t>
  </si>
  <si>
    <t>Lõi lọc, Mã bộ lọc WFF-125-1, Mã lõi lọc MSL-125, Áp suất thiết kế 1 Mpa, Nhiệt độ thiết kế 70 độ C</t>
  </si>
  <si>
    <t>5.17.80.048.CHN.00.000</t>
  </si>
  <si>
    <t>Lõi lọc thủy lực R928022276</t>
  </si>
  <si>
    <t>5.17.80.048.EUR.00.000</t>
  </si>
  <si>
    <t>Lõi lọc dầu thủy lực Model: 2.0130 H10XL-A00-0- M, Model: R928022276 Filtration rating: 10µm</t>
  </si>
  <si>
    <t>5.17.80.090.CHN.03.000</t>
  </si>
  <si>
    <t>Lọc dầu trạm dầu bôi trơn quạt sục khí FGD - DH1, Model: SMF-D100x20C, Filter element: LH0160D020BN3HC, Filtration rating: 20µm</t>
  </si>
  <si>
    <t>5.17.80.212.CHN.00.000</t>
  </si>
  <si>
    <t>Lõi Lọc dầu trạm dầu bôi trơn điều khiển quạt PAF, FDF- DH1, Model: 22PD220QBT1KG161, Filter element: Parker-G01938Q, Filtration rating: 20µm</t>
  </si>
  <si>
    <t>5.17.80.212.CZE.00.000</t>
  </si>
  <si>
    <t>Lõi lọc dầu, Pressure Filter Model SH 51003, Cho bộ lọc Model: 22PD220QBT1KG161, Filtration rating: 20µm</t>
  </si>
  <si>
    <t>5.17.80.217.ITA.00.000</t>
  </si>
  <si>
    <t>Lõi lọc dầu, Mã bộ lọc MPF1842VF1A03HBP01, Mã lõi lọc: MF1802A03HVP01</t>
  </si>
  <si>
    <t>Chưa có mã</t>
  </si>
  <si>
    <t>BIỂU TỔNG HỢP NHU CẦU VẬT TƯ THIẾT BỊ SCTX</t>
  </si>
  <si>
    <t>THÁNG 08 NĂM 2024</t>
  </si>
  <si>
    <t>Theo kế hoạch sữa chữa Tháng 8 năm 2024</t>
  </si>
  <si>
    <t>QLVT.20</t>
  </si>
  <si>
    <t>Số: 08VH1</t>
  </si>
  <si>
    <t>Kế hoạch trong năm</t>
  </si>
  <si>
    <t>Vệ sinh thiết bị</t>
  </si>
  <si>
    <t xml:space="preserve">  3.50.91.999.CHN.55.000</t>
  </si>
  <si>
    <t>Card PCI hệ thống Boiler Leakage 32-way 12-bit IMHz storage AD IM on-board RAM working mode: timer, external trigger, external clock. Switching value: 24 channelsprogrammable; Model: AC6682</t>
  </si>
  <si>
    <t>3.50.40.338.ITA.00.000</t>
  </si>
  <si>
    <t>Relay 220VDC: Model: RPYA004 220LT; Coil: 220VDC</t>
  </si>
  <si>
    <t>5.35.70.062.CHN.00.000</t>
  </si>
  <si>
    <t>Timer: Model: 3RP2576-1NW30; Nguồn cấp: 24-240VDC</t>
  </si>
  <si>
    <t xml:space="preserve">SCTX hệ thống boiler leakage </t>
  </si>
  <si>
    <t>Lắp mạch liên động cứng bơm AOP</t>
  </si>
  <si>
    <t>Kính bảo hộ</t>
  </si>
  <si>
    <t>8.90.60.004.CHN.00.000</t>
  </si>
  <si>
    <t>Triệu Tuyết Nhung</t>
  </si>
  <si>
    <t>Đôi</t>
  </si>
  <si>
    <t>Trang bị phương tiện cá nhân năm 2023, 2024. Trang bị phục vụ vận hành tại cương vị</t>
  </si>
  <si>
    <t>Xà phòng Cỏ May 100gr</t>
  </si>
  <si>
    <t>4.94.80.344.VIE.00.000</t>
  </si>
  <si>
    <t>Viên</t>
  </si>
  <si>
    <t xml:space="preserve">Trang bị phương tiện cá nhân năm 2023, 2024. </t>
  </si>
  <si>
    <t>Cặp</t>
  </si>
  <si>
    <t>8.90.10.075.VIE.00.000</t>
  </si>
  <si>
    <t>Găng tay sợi cotton phủ hạt nhựa 70g</t>
  </si>
  <si>
    <t>Nút bịt tai chống ồn 3M1290</t>
  </si>
  <si>
    <t>8.90.20.009.CHN.00.000</t>
  </si>
  <si>
    <t>Khẩu trang có màng lọc chống bụi, chống hóa chất</t>
  </si>
  <si>
    <t>8.90.41.050.CHN.01.000</t>
  </si>
  <si>
    <t xml:space="preserve">Trang bị phương tiện cá nhân năm 2024. </t>
  </si>
  <si>
    <t>Lọc và bổ sung dầu cho OLTC MBA T2</t>
  </si>
  <si>
    <t>Trả phiếu: ứng dầu ngày 4/3/2023 Thiện Nhân
Ứng dầu ngày 27/4/2023 Phan Trần Thanh Thư</t>
  </si>
  <si>
    <t>Trả phiếu: ứng dầu Trọng Tín, Văn Hưởng, Thanh Điền
Ứng dầu ngày: 6/8; 4/9,22/9/2023</t>
  </si>
  <si>
    <t>Bổ sung dầu EH S2
Trả phiếu ứng ngày 23/4/2023</t>
  </si>
  <si>
    <t xml:space="preserve">Luỹ kế số lượng đã sử dụng </t>
  </si>
  <si>
    <t xml:space="preserve">Số lượng còn lại so với kế hoạc năm </t>
  </si>
  <si>
    <t>Số lượng yêu cầu trong tháng</t>
  </si>
  <si>
    <t>Số lượng tồn kho</t>
  </si>
  <si>
    <t>Mục đích, vị trí sử dụng</t>
  </si>
  <si>
    <t>Phục vụ vận hành</t>
  </si>
  <si>
    <t>Phục vụ công tác VSCN 
( 2 cái làm phiếu trả kho)</t>
  </si>
  <si>
    <t>Cuộn</t>
  </si>
  <si>
    <t>Dây thừng 10mm</t>
  </si>
  <si>
    <t>4.86.81.274.VIE.00.000</t>
  </si>
  <si>
    <t>Bổ sung dầu Tuabin chính S1, S2
trả phiếu ứng 14/3/2024
20 lít Hoàng Tú ứng ngày 03/1/2024</t>
  </si>
  <si>
    <t>1.41.84.020.CHN.01.000</t>
  </si>
  <si>
    <t>Công tác sửa chữa tủ chữa cháy</t>
  </si>
  <si>
    <t>Phục vụ vận hành, và thực hiện 5s</t>
  </si>
  <si>
    <t>Thực hiện 5s, và sơn lại chỗ bị bong sơn</t>
  </si>
  <si>
    <t>Vệ sinh tủ điện và phục vụ vận hành</t>
  </si>
  <si>
    <t>Cồn</t>
  </si>
  <si>
    <t>Vệ sinh khu vực làm việc</t>
  </si>
  <si>
    <t>THÁNG 09 NĂM 2024</t>
  </si>
  <si>
    <t>Lọc tách dầu máy nén khí Ingersoll Rand, mã CCN 22219174</t>
  </si>
  <si>
    <t>8.90.50.033.VIE.00.000</t>
  </si>
  <si>
    <t>8.90.80.041.VIE.00.000</t>
  </si>
  <si>
    <t>Giày BHLĐ ABC</t>
  </si>
  <si>
    <t>Quần áo đi mưa</t>
  </si>
  <si>
    <t>Bộ</t>
  </si>
  <si>
    <t>8.90.10.089.JPN.00.000</t>
  </si>
  <si>
    <t>Ủng cách điện</t>
  </si>
  <si>
    <t>Trang bị cho cương vị Trực chính điện phục vụ vận hành</t>
  </si>
  <si>
    <t>4.94.06.093.SIN.00.000</t>
  </si>
  <si>
    <t>4.94.06.094.SIN.00.000</t>
  </si>
  <si>
    <t>Pin AA Energizer (pin 2A)</t>
  </si>
  <si>
    <t>Pin AAA Energizer (pin 3A)</t>
  </si>
  <si>
    <t>Cuộn rào chắn</t>
  </si>
  <si>
    <t>Phục vụ vận hành tại cương vị</t>
  </si>
  <si>
    <t>Cào trang</t>
  </si>
  <si>
    <t xml:space="preserve">Bổ sung cho các bơm định lượng hoá chất, quạt </t>
  </si>
  <si>
    <t>Thay dầu bôi trơn gỗi đỡ chặn động cơ bơm tuần hoàn 2A, 2B</t>
  </si>
  <si>
    <t>1.41.44.077.VIE.00.000</t>
  </si>
  <si>
    <t>Nhớt thủy lực Shell Tellus S2 MX 32</t>
  </si>
  <si>
    <t>Dầu thủy lực tấm chắn đầu vào bơm tuần hoàn</t>
  </si>
  <si>
    <t>1.41.44.038.VIE.00.000</t>
  </si>
  <si>
    <t>Nhớt thủy lực Shell Tellus S2 M 46</t>
  </si>
  <si>
    <t xml:space="preserve">Bổ sung dầu thủy lực van bướm đầu thoát bơm hấp thụ, van bướm đầu thoát bơm tuần hoàn.
</t>
  </si>
  <si>
    <t>1.31.73.125.VIE.00.000</t>
  </si>
  <si>
    <t>Shell Omala S2 GX 320</t>
  </si>
  <si>
    <t xml:space="preserve">Thay dầu bôi trơn HGT bơm chân không bình ngưng
</t>
  </si>
  <si>
    <t>5.17.30.214.CHN.00.000</t>
  </si>
  <si>
    <t>Mã lọc: HYDAC - DFDK BH/HC 110 QAC 3 C11, Element filter type: 0110D003BN4HC
Filtration rating: 03µm</t>
  </si>
  <si>
    <t>Lõi Lọc dầu cấp trạm dầu bypass HP/LP - DH1</t>
  </si>
  <si>
    <t>5.17.30.236.GER.00.000</t>
  </si>
  <si>
    <t>Mã lọc: HYDAC - RFM BN/HC165 BD3C10
Element filter type: 0165R003BN4HC
Filtration rating: 03µm
NSX: HYDAC- Germany</t>
  </si>
  <si>
    <t>Lõi Lọc dầu hồi trạm dầu bypass HP/LP - DH1</t>
  </si>
  <si>
    <t>5.17.30.215.CHN.00.000</t>
  </si>
  <si>
    <t>Mã bộ lọc: P/N HH8314F40KTXAM1
Mã lõi lọc: PALL - HC8314FKT39H
Áp suất: 400psi</t>
  </si>
  <si>
    <t>Lõi Lọc dầu chèn MF - DH1</t>
  </si>
  <si>
    <t>5.17.30.131.GER.00.000</t>
  </si>
  <si>
    <t>Mã lọc: Element filter type: EATON - 300373</t>
  </si>
  <si>
    <t>Lõi Lọc dầu bôi trơn bơm cấp điện</t>
  </si>
  <si>
    <t>5.17.30.221.CHN.00.000</t>
  </si>
  <si>
    <t>Mã lọc: DEA- DS103EA100V/-W
Đầu nối vặn bằng ren trong</t>
  </si>
  <si>
    <t>Lõi Lọc dầu đầu hút bơm dầu EH chính DH1</t>
  </si>
  <si>
    <t>3.30.14.357.CHN.00.000</t>
  </si>
  <si>
    <t>Cầu chì LFMX 125 V, 0.5A Littelfuse</t>
  </si>
  <si>
    <t>3.30.14.463.CHN.02.000</t>
  </si>
  <si>
    <t>Cầu chì ống 6x30mm, 6A, 250V, NSX: Zhenjiang Xinqu</t>
  </si>
  <si>
    <t>3.30.14.465.CHN.00.000</t>
  </si>
  <si>
    <t>Cầu chì ống 5x20mm, 1A, 100 cái/hộp, NSX: Zhenjiang Xinqu</t>
  </si>
  <si>
    <t>3.30.14.465.CHN.02.000</t>
  </si>
  <si>
    <t>Cầu chì ống 5x20mm, 5A, 100 cái/hộp; Zhenjiang Xinqu</t>
  </si>
  <si>
    <t>3.30.14.471.MEX.00.000</t>
  </si>
  <si>
    <t>Cầu chì sử dụng cho hệ thống DCS Micro-Fuse;0.6A;125V; 1X00030H05; NSX: Emerson</t>
  </si>
  <si>
    <t>3.30.20.026.CHN.00.000</t>
  </si>
  <si>
    <t>Cầu chì LFMX, 1/2A, 125V</t>
  </si>
  <si>
    <t>3.46.19.059.GER.00.000</t>
  </si>
  <si>
    <t>Module Relay EMUG45 4REL/KSR-G 24/21 – 2943767</t>
  </si>
  <si>
    <t>3.50.91.220.GER.01.000</t>
  </si>
  <si>
    <t>Module mở rộng Digital DO, 6ES7223-1HF22-0XA8 SIMATIC S7-200CN, hãng: Siemens</t>
  </si>
  <si>
    <t>3.50.91.462.CHN.00.000</t>
  </si>
  <si>
    <t>Signal Conditioner NPGL-C11111DKF, hãng: NewPwr</t>
  </si>
  <si>
    <t>3.50.91.747.CHN.00.000</t>
  </si>
  <si>
    <t>Power Switch Box Champion Ovation TSW-12A-2P-8C; U: 120VAC/240VAC Emerson</t>
  </si>
  <si>
    <t>3.65.01.427.CHN.11.000</t>
  </si>
  <si>
    <t>Card Mạng D43042 DELL</t>
  </si>
  <si>
    <t>3.65.01.584.CHN.00.000</t>
  </si>
  <si>
    <t>Card đồ họa CN-0G742V-69702-36Q-673B-A00 AMD</t>
  </si>
  <si>
    <t>3.50.91.934.CHN.01.000</t>
  </si>
  <si>
    <t>Nguồn máy tính Model: AC 275AM-00 - P/N PCB013 - AC INPUT 100-200V; 50-60Hz; 5.0A DELL</t>
  </si>
  <si>
    <t>SCTX hệ thống DCS</t>
  </si>
  <si>
    <t>SCTX hệ thống điều khiển bơm cấp điện</t>
  </si>
  <si>
    <t>SCTX hệ thống điều khiển PLC</t>
  </si>
  <si>
    <t xml:space="preserve">Phục vụ công tác VSCN </t>
  </si>
  <si>
    <t>1.31.73.046.VIE.00.000</t>
  </si>
  <si>
    <t>Dầu Total Carter EP 460</t>
  </si>
  <si>
    <t>Thay dầu bôi trơn HGT xích cào làm sạch máy cấp than nguyên của máy nghiền 2A, 2B, 2C, 2E, 2F</t>
  </si>
  <si>
    <t>Mã sản phẩm: UCD-02, Chất liệu: Cao su
- Điện áp thử nghiệm: 30kV/1 phút.
- Điện áp sử dụng: 30KVkV
- Biên bản thí nghiệm có kết quả đạt.</t>
  </si>
  <si>
    <t>Model : STHC-30, Đường kính cánh : 300 (mm)
- Điện áp: 220 (V)
- Công suất: 380 (W)
- Lưu lượng gió: 3.400 (m3/h)
- Vòng tua: 2800 (v/p)
- Cột áp: 350 (Pa)
- Độ ồn: 80 (dB)</t>
  </si>
  <si>
    <t>Model: Fluke 62 Max
Phạm vi nhiệt độ hồng ngoại: 550°C;
Biên bản kiểm định có kết quả đạt.</t>
  </si>
  <si>
    <t>Quạt Hút Xách Tay Công Nghiệp</t>
  </si>
  <si>
    <t>Súng đo nhiệt độ</t>
  </si>
  <si>
    <t>Phục vụ vận hành tại Phân xưởng</t>
  </si>
  <si>
    <t>Thay dầu hộp giảm tốc phân ly ( Trả phiếu ứng)</t>
  </si>
  <si>
    <t>Số: 09VH1</t>
  </si>
  <si>
    <t>Theo kế hoạch sửa chữa Tháng 9 năm 2024</t>
  </si>
  <si>
    <t>THÁNG 10 NĂM 2024</t>
  </si>
  <si>
    <t>Theo kế hoạch sửa chữa Tháng 10 năm 2024</t>
  </si>
  <si>
    <t>Dầu bôi trơn HGT vòi thổi bụi Lò hơi.</t>
  </si>
  <si>
    <t xml:space="preserve">Dầu bôi trơn gối chặn,  gối dẫn hướng APH Lò hơi  </t>
  </si>
  <si>
    <t xml:space="preserve">Dầu bôi tởn HGT băng tải máy cấp than nguyên
</t>
  </si>
  <si>
    <t>Dầu LCKD: 200LIT/PHUY</t>
  </si>
  <si>
    <t>Dầu total: 208l/phuy</t>
  </si>
  <si>
    <t>Dầu sell: 209l/phuy</t>
  </si>
  <si>
    <t>1.41.44.044.SIN.00.000</t>
  </si>
  <si>
    <t>Dầu Shell Tellus S2 M68</t>
  </si>
  <si>
    <t>Trạm dầu thủy lực dẫn động xích cào thuyền xỉ Lò hơi</t>
  </si>
  <si>
    <t>Lõi lọc dầu, Filter Model: SRLF-240x20. Filter element SFX-240x20.</t>
  </si>
  <si>
    <t>5.17.20.156.CHN.01.000</t>
  </si>
  <si>
    <t>3.65.01.293.GER.00.000</t>
  </si>
  <si>
    <t>Card kết nối 6GK7443-1EX30-0XE0</t>
  </si>
  <si>
    <t>3.51.01.100.GER.00.000</t>
  </si>
  <si>
    <t>Module Digital Input SIMATIC S7-300, Digital input SM 321, isolated, 16 DI, 24 V DC, 1x 20-pole</t>
  </si>
  <si>
    <t>3.65.01.038.CHN.01.000</t>
  </si>
  <si>
    <t>Card mạng máy tính  (Dual Port 1G Copper NIC) - KCC-REM-BCM-95720A2003G - Model: BCM95720A2003G</t>
  </si>
  <si>
    <t>3.65.01.290.CHN.01.000</t>
  </si>
  <si>
    <t>AI (Analog Input) Analog Input module (14-Bit);EM: 1C31224G01 Emerson Process Management; NSX: Emerson</t>
  </si>
  <si>
    <t>3.65.01.456.GER.00.000</t>
  </si>
  <si>
    <t>Card analog Input Siemens AI2 x 12Bit, 6ES7 331  7KB02 0AB0</t>
  </si>
  <si>
    <t>3.50.91.935.CHN.11.000</t>
  </si>
  <si>
    <t>Nguồn máy tính Model: Dell F495E-S0. - Input: 100-240V, 50/60Hz. Max AC current 6.5A-3A - Output: +12V, 41.25A ; +12Vsb, 3.0A 495W</t>
  </si>
  <si>
    <t>3.51.01.121.CHN.00.000</t>
  </si>
  <si>
    <t>PLC  điều khiển APH</t>
  </si>
  <si>
    <t>3.15.97.590.CHN.00.000</t>
  </si>
  <si>
    <t>Cáp kết nối module DO, Model: 5A26148</t>
  </si>
  <si>
    <t>3.53.84.174.ITA.00.000</t>
  </si>
  <si>
    <t>Biến dòng E83 E83-2050, Input: 0-5A, 0-10A, 0-15A, 0-20A, 0-25A, 0-30A, 0-50A Output: 4-20 mA, Nguồn cấp:10-40Vdc.</t>
  </si>
  <si>
    <t>3.50.91.714.AUT.00.000</t>
  </si>
  <si>
    <t>Bộ nguồn 24VDC model: Sitop PSU300S 6EP1436-2BA10; input: 3AC 400- 500V/1.2-lA/50-60Hz; output: DC24V/20A AMB; NSX: Siemens</t>
  </si>
  <si>
    <t>3.51.01.098.TPE.00.000</t>
  </si>
  <si>
    <t>Bộ nguồn Power Supply Unit VM600 rack power supply</t>
  </si>
  <si>
    <t>4.94.06.020.SIN.01.000</t>
  </si>
  <si>
    <t>Pin cho PLC 6ES7971-0BA00 3,6V Lithium Battery; Siemens</t>
  </si>
  <si>
    <t>SCTX hệ thống PLC</t>
  </si>
  <si>
    <t>SCTX hệ thống điều khiển PLC APH</t>
  </si>
  <si>
    <t>4.25.01.179.VIE.03.000</t>
  </si>
  <si>
    <t>Sơn phủ xanh, Bạch Tuyết, Mã màu:Vert 618</t>
  </si>
  <si>
    <t>Thùng</t>
  </si>
  <si>
    <t>4.25.01.176.VIE.01.000</t>
  </si>
  <si>
    <t>Sơn phủ đỏ, Bạch Tuyết, Mã màu: 344</t>
  </si>
  <si>
    <t>kg</t>
  </si>
  <si>
    <t>8.35.85.152.VIE.00.000</t>
  </si>
  <si>
    <t>Sủi cạo sơn cán gỗ. bản 50mm</t>
  </si>
  <si>
    <t>Sơn các thiết bị theo chỉ đạo BGĐ</t>
  </si>
  <si>
    <t>4.25.01.208.VIE.00.000</t>
  </si>
  <si>
    <t>Sơn dầu đen, Bạch Tuyết, Mã màu: 200</t>
  </si>
  <si>
    <t>5.17.80.208.CHN.00.000</t>
  </si>
  <si>
    <t>Lõi lọc dầu, Mã bộ lọc SMF - D100X20C, Mã lõi lọc: LH0160D020BN3HC, ID 15010401029</t>
  </si>
  <si>
    <t>5.17.30.082.CHN.00.000</t>
  </si>
  <si>
    <t>Lõi lọc làm việc cho bộ dẫn động thủy lực, Model: DP6SH201EA01V/-F</t>
  </si>
  <si>
    <t>1.61.86.630.KOR.01.000</t>
  </si>
  <si>
    <t>H-Form Cation Exchange resin: hạt nhựa chuyên dùng cho hệ thống polishing.Quy cách: 25 lít/ bao</t>
  </si>
  <si>
    <t>1.61.86.578.GER.00.000</t>
  </si>
  <si>
    <t>Hạt nhựa trao đổi Cation, Dạng: H+, NSX: Lanxess</t>
  </si>
  <si>
    <t>M3</t>
  </si>
  <si>
    <t>1.31.53.018.SIN.00.000</t>
  </si>
  <si>
    <t>Dầu Shell Turbo T32</t>
  </si>
  <si>
    <t>Dầu Shell Tellus S2 M46</t>
  </si>
  <si>
    <t>Dự phòng phục vụ vận hành</t>
  </si>
  <si>
    <t>Sơn định kỳ nơi vị hen rỉ</t>
  </si>
  <si>
    <t>ứng sơn ngày 26/7/2024 Nguyễn Tấn An</t>
  </si>
  <si>
    <t>Ống nhựa 49</t>
  </si>
  <si>
    <t>mét</t>
  </si>
  <si>
    <t>Co 49</t>
  </si>
  <si>
    <t>T49</t>
  </si>
  <si>
    <t>Keo nhựa ống PVC Bình Minh</t>
  </si>
  <si>
    <t>3.51.01.126.CHN.00.000</t>
  </si>
  <si>
    <t>PLC , Model: S7-200 CN, CPU 224 CN, AC/DC/RLY, Article number: 214-1BD23-0XB8</t>
  </si>
  <si>
    <t xml:space="preserve">Ngày 09/9/2024 Bảo VH1 ứng hêt số lượng </t>
  </si>
  <si>
    <t>8.90.10.070.VIE.01.000</t>
  </si>
  <si>
    <t>8.90.80.258.VIE.00.000</t>
  </si>
  <si>
    <t>8.90.80.259.VIE.00.000</t>
  </si>
  <si>
    <t>8.90.80.260.VIE.00.000</t>
  </si>
  <si>
    <t>8.90.20.031.VIE.00.000</t>
  </si>
  <si>
    <t>3.06.20.005.VIE.00.000</t>
  </si>
  <si>
    <t>3.70.01.329.CHN.00.000</t>
  </si>
  <si>
    <t>8.65.84.064.CHN.00.000</t>
  </si>
  <si>
    <t>8.75.80.093.CHN.00.000</t>
  </si>
  <si>
    <t>8.75.80.094.CHN.00.000</t>
  </si>
  <si>
    <t>8.75.80.095.CHN.00.000</t>
  </si>
  <si>
    <t>8.75.80.096.CHN.00.000</t>
  </si>
  <si>
    <t>8.34.18.018.CHN.00.000</t>
  </si>
  <si>
    <t>Ủng cách điện, Mã sản phẩm: UCD-02, Chất liệu: Cao su</t>
  </si>
  <si>
    <t>Dây vải phản quang 3M bản rộng 2,5cm, Chiều rộng: 2,5cm, Chất liệu: Vải phản quang</t>
  </si>
  <si>
    <t>Dây cảnh báo màu vàng-đen, Cuộn rào cảnh báo vàng đen, Cuộn rào cảnh báo vàng đen; Chiều dài: 100 mét; Chiều cao: 80 mm; Chất liệu: nhựa PP; Màu sắc: Vàng đen, Số mặt In đều 2 mặt</t>
  </si>
  <si>
    <t>Dây cảnh báo màu trắng-đỏ, Cuộn băng rào vùng làm việc, Chất liệu: nhựa PP, Màu sắc: Bảng nền trắng, chữ đỏ, Kích thước dài 100m, rộng 8cm</t>
  </si>
  <si>
    <t>Rào chắn di động, chất liệu: combosite. Chiều cao: 1.200 mm, Chiều rộng kéo dãn: 2.500 mm, Màu sắc: Đỏ - trắng.</t>
  </si>
  <si>
    <t>Giá đỡ bình khí công nghiệp, MODEL SG- G4B4L01, Loại 4 bình: Chiều dài: 1200mm, Chiều sâu: 300mm, Chiều cao: 1000mm</t>
  </si>
  <si>
    <t>Quạt Hút Xách Tay Công Nghiệp, Model : STHC-30, Đường kính cánh : 300 (mm)</t>
  </si>
  <si>
    <t>Súng đo nhiệt độ hồng ngoại model: Fluke 62 Max; Phạm vi nhiệt độ hồng ngoại: 550°C; NSX: Fluke</t>
  </si>
  <si>
    <t>Máy đo khí độc cầm tay (Máy đo 4 loại khí tiêu chuẩn), Model: SKY3000-WH-M4, Loại máy đo khí cầm tay. Đo 4 loại khí: H2S, CO, O2, EX</t>
  </si>
  <si>
    <t>Máy đo đơn khí (NH3), Model: MicMeta-WH-NH3, Dải đo: 0-100ppm; độ phân giải: 0.1ppm; Sensor và ic được nhập khẩu từ US</t>
  </si>
  <si>
    <t>Máy đo đơn khí (NO), Model: MicMeta-WH-NO, Dải đo: 0-250ppm; độ phân giải: 0.1ppm; Sensor và ic được nhập khẩu từ US</t>
  </si>
  <si>
    <t>Máy đo đơn khí (CO2), Model: SKY3000-WH-CO2, Dải đo: 0-100%VOL; độ phân giải: 0.01%VOL; Sensor và ic được nhập khẩu từ UK</t>
  </si>
  <si>
    <t>Tời quay, Model: TR00530, Chiều dài cuộn dây: 30M bằng vật liệu thép không rỉ phi 4. Tải trọng làm việc: 250 Kg. Đáp ứng tiêu chuẩn: EN795:2012, EN363:2008,EN365:2004; Có hộp số trợ lực</t>
  </si>
  <si>
    <t>3.97.35.052.CHN.00.000</t>
  </si>
  <si>
    <t>Quạt hút SUNON DP200A; 220/240V AC- 50/60Hz; 0.14A; 120x120x38mm</t>
  </si>
  <si>
    <t>Ngày 27/8/2024 Bảo VH1 ứng hết số lượng</t>
  </si>
  <si>
    <t>THÁNG 11 NĂM 2024</t>
  </si>
  <si>
    <t>Theo kế hoạch sửa chữa Tháng 11 năm 2024</t>
  </si>
  <si>
    <t>Lọc khí bộ sấy Sotras SM 9976 thay cho bộ sấy 1,2,3 do tới thời gian thay thế</t>
  </si>
  <si>
    <t>Lọc khí đầu vào máy nén khí Ingersoll Rand M250 và M350, người đề xuất Bùi Hoài Tâm thay cho MNK 1, A, C, G, H do vận hành đến thời gian cần thay thế).</t>
  </si>
  <si>
    <t>Lọc khí đầu vào máy nén khí Ingersoll Rand M250 và M350, người đề xuất Bùi Hoài Tâm (thay cho MNK thay cho mnk 1A, C, G, H), vận hành đã đến thời gian thay thế.</t>
  </si>
  <si>
    <t>Lõi lọc tách dầu bộ sấy khí nén điều khiển và tro bay thay cho bộ sấy 1,2,3,A,B,C,E,F,G,H,I,J do tới thời gian thay thế.</t>
  </si>
  <si>
    <t>5.17.90.025.CHN.00.000</t>
  </si>
  <si>
    <t xml:space="preserve"> Lõi lọc an toàn RO, 600 FlowPure-HF Cartridge Filter, Model: CRHFPP040500EC, Cấp lọc: 05µm</t>
  </si>
  <si>
    <t>Lõi lọc an toàn RO1 - DH1 đã chuyển qua dùng loại 5um, không còn dùng loại này</t>
  </si>
  <si>
    <t>5.17.90.026.CHN.00.000</t>
  </si>
  <si>
    <t>Lõi lọc an toàn RO, 600 FlowPure-HF Cartridge Filter, Model: CRHFPP040500NC, Cấp lọc: 05µm</t>
  </si>
  <si>
    <t>Lõi lọc an toàn, RO1, RO2-DH1</t>
  </si>
  <si>
    <t>Lê Viết Châu
Chờ nhập kho trả phiếu tiếp</t>
  </si>
  <si>
    <t>Bổ sung dầu thủy lực van bướm đầu thoát bơm hấp thụ Phan Minh Hải 20 lít/ tổ máy</t>
  </si>
  <si>
    <t>Lọc dầu bôi trơn quạt tăng áp FGD và lọc dầu bôi trơn quạt sục khí FGD</t>
  </si>
  <si>
    <t xml:space="preserve">Trạm dầu bôi trơn quạt khói IDF;
</t>
  </si>
  <si>
    <t>Lõi Lọc dầu trạm dầu bôi trơn quạt PAF, FDF, IDF DH1</t>
  </si>
  <si>
    <t>5.17.80.215.GER.00.000</t>
  </si>
  <si>
    <t>Lõi Lọc dầu thủy lực trạm dầu dẫn động xích cào SSC - DH1, Lõi lọc dầu thủy lực, Rexroth filter element 2.0130 H10XL-A00 0- M, Model R928022276, Filtration rating 10µm</t>
  </si>
  <si>
    <t>Lõi Lọc dầu thủy lực trạm dầu dẫn động xích cào SSC - DH1, người đề xuất Nguyễn Quang Đàm</t>
  </si>
  <si>
    <t>Lõi lọc nhớt cho hệ thống APH, mã bộ lọc SPL-32 Oil Filter Mesh Disc
- Inner diameter: 30mm
- Outer diameter: 65mm
- Rated Flow: 8m3/h
- Materials: copper mesh
- Precise: 400 mesh
-Số lượng đĩa lọc trên mỗi bộ: 30 cái</t>
  </si>
  <si>
    <t>5.17.20.081.CHN.00.000</t>
  </si>
  <si>
    <t>Bộ lọc dầu - Hydralic Filter P173789,H= 362mm,D= 121MM,d1=79mm,d2 = 86mm</t>
  </si>
  <si>
    <t>Lõi Lọc dầu gối đỡ APH - DH1, người đề xuất Nguyễn Quang Đàm</t>
  </si>
  <si>
    <t>Shell Tellus S2 MX46</t>
  </si>
  <si>
    <t>1.31.53.049.USA.00.000</t>
  </si>
  <si>
    <t>Dầu Universal 1 HG Hydraulic</t>
  </si>
  <si>
    <t>lít</t>
  </si>
  <si>
    <t>Thay dầu HGT bơm định lượng hóa chất - hệ thống tái sinh hạt</t>
  </si>
  <si>
    <t>5.17.30.224.CHN.00.000</t>
  </si>
  <si>
    <t>Lõi Lọc dầu EH vào cơ cấu chấp hành cụm van tuabin chính DH1, Mã lọc: 0110D010BN3HC, Filtration rating: 10µm</t>
  </si>
  <si>
    <t>Lõi Lọc dầu EH vào cơ cấu chấp hành cụm van tuabin chính DH1,</t>
  </si>
  <si>
    <t>5.17.30.217.CHN.00.000</t>
  </si>
  <si>
    <t>Mã bộ lọc: JIUJIANG 707- 97C1623FW25HF80DQ F06P
Mã lõi lọc: QF9733W25HO7C -DQ
Lưu lượng định mức: 1800L/min
Kích thước lỗ lọc: 25μm
Áp suất làm việc: 1.6MPa
Cảnh báo chênh áp: 0.06MPa
Áp suất mở van bypass: &gt;0.07MPa
Tổn thất áp suất qua lọc: &lt;0.03MPa</t>
  </si>
  <si>
    <t>Lõi Lọc dầu bôi trơn BFPT - DH1</t>
  </si>
  <si>
    <t>3.96.40.423.CHN.00.000</t>
  </si>
  <si>
    <t>PIN VERTEXT STANDARD FNB-V134LI</t>
  </si>
  <si>
    <t>8.32.92.075.CHN.00.000</t>
  </si>
  <si>
    <t>Bút thử điện 0-500v</t>
  </si>
  <si>
    <t>8.32.92.365.CHN.00.000</t>
  </si>
  <si>
    <t>Bút thử điện Junsun</t>
  </si>
  <si>
    <t>8.72.20.070.CHN.02.000</t>
  </si>
  <si>
    <t>Ăngten máy bộ đàm Motorola XiR P3688</t>
  </si>
  <si>
    <t>8.72.20.070.MAS.02.000</t>
  </si>
  <si>
    <t>Ăng ten cho máy bộ đàm Motorola XiR P3688</t>
  </si>
  <si>
    <t>8.72.20.078.CHN.01.000</t>
  </si>
  <si>
    <t>Ăng ten cho máy bộ đàm Vertex Standard ATU-16C, UHF 400-420 Mhz; NSX: Vertex</t>
  </si>
  <si>
    <t>8.72.20.083.CHN.01.000</t>
  </si>
  <si>
    <t>Pin cho bộ đàm Motorola CP1668</t>
  </si>
  <si>
    <t>8.72.20.083.MAS.00.000</t>
  </si>
  <si>
    <t>Bộ đàm Motorala CP1668</t>
  </si>
  <si>
    <t>8.72.35.434.CHN.00.000</t>
  </si>
  <si>
    <t>ANTEN BỘ ĐÀM VERTEX STANDARD ATU-16C, Loại Anten: Xoắn, Chiều Dài: 14 Cm, Màu: Nâu</t>
  </si>
  <si>
    <t>8.90.10.078.CHN.00.000</t>
  </si>
  <si>
    <t>Thảm cách điện hạ áp từ 1-10KV, Chất liệu cao su, Kích cỡ: 0.65m x 1m x 0,6</t>
  </si>
  <si>
    <t>8.88.01.154.CHN.80.000</t>
  </si>
  <si>
    <t>máy đánh bóng Rotobic 2000 or similar (Floor polisher)-CCDC DH3</t>
  </si>
  <si>
    <t>4.20.72.016.VIE.00.000</t>
  </si>
  <si>
    <t>Kính cường lực màu trắng trong, đường kính 70mm, dày 5mm, chịu nhiệt 150 độ C, áp lực 10Mpa</t>
  </si>
  <si>
    <t>4.25.01.241.VIE.01.000</t>
  </si>
  <si>
    <t>Sơn epoxy Jotun Jotamastic 90, Aluminium màu nhôm</t>
  </si>
  <si>
    <t>4.25.01.273.VIE.01.000</t>
  </si>
  <si>
    <t>Sơn chịu nhiệt Violet Dream, mã màu 4488 (chịu nhiệt độ trên 200 độ C)</t>
  </si>
  <si>
    <t>4.25.01.276.VIE.00.000</t>
  </si>
  <si>
    <t>Sơn dầu Jotun Alkyd Pilot II Màu đen</t>
  </si>
  <si>
    <t>4.25.01.279.VIE.00.000</t>
  </si>
  <si>
    <t>Sơn epoxy Jotun TANKGUARD HD Comp A, màu xám</t>
  </si>
  <si>
    <t>4.25.01.280.VIE.00.000</t>
  </si>
  <si>
    <t>Sơn epoxy Jotun TANKGUARD HD Comp B, màu xám</t>
  </si>
  <si>
    <t>4.25.01.315.VIE.00.000</t>
  </si>
  <si>
    <t>Sơn Jotamatic THM1602</t>
  </si>
  <si>
    <t>4.25.03.099.VIE.00.000</t>
  </si>
  <si>
    <t>Sơn màu nhôm THM3691B</t>
  </si>
  <si>
    <t>4.25.23.050.VIE.00.000</t>
  </si>
  <si>
    <t>Sơn chống rỉ sét Expo Xám Lucky</t>
  </si>
  <si>
    <t>4.25.33.023.SIN.00.000</t>
  </si>
  <si>
    <t>Sơn chịu nhiệt. Seamaster 400 độ C, Quy cách: 5L/thùng</t>
  </si>
  <si>
    <t>3.50.91.764.USA.00.000</t>
  </si>
  <si>
    <t>PLC Power Supply Adapter Series 90-70 Programable Controller Genius</t>
  </si>
  <si>
    <t>3.50.91.781.FRA.01.000</t>
  </si>
  <si>
    <t>Isolated process analog transmitters Serial N: JK3000A1-P Power Supply: 20/240VDC 80/256VAC</t>
  </si>
  <si>
    <t>3.50.91.706.CHN.00.000</t>
  </si>
  <si>
    <t>MAU Media Attachment Unit;PM: 1C31181G01; NSX: Emerson</t>
  </si>
  <si>
    <t>3.50.91.707.CHN.00.000</t>
  </si>
  <si>
    <t>MAU Personality Module;Remote IO MAU 1C31204G01; NSX: Emerson</t>
  </si>
  <si>
    <t>3.50.91.711.CHN.00.000</t>
  </si>
  <si>
    <t>MAU Electronic Module;Remote IO MAU 1C31179G01; NSX: Emerson</t>
  </si>
  <si>
    <t>CCDC</t>
  </si>
  <si>
    <t>Vật tư tiêu hao</t>
  </si>
  <si>
    <t>Thay cho MNK #3,J do đến thời gian thay thế</t>
  </si>
  <si>
    <t>Hạt Cation (25 lít/bao)</t>
  </si>
  <si>
    <t>Bổ sung hạt HT tái sinh hạt nhựa</t>
  </si>
  <si>
    <t>Shell Omala S2 G320 (GX320)</t>
  </si>
  <si>
    <t>Thay dầu bơm chân không bình ngưng</t>
  </si>
  <si>
    <t>Shell Omala S2 GX1000</t>
  </si>
  <si>
    <t>Thay dầu gối đỡ chặn GGH FGD</t>
  </si>
  <si>
    <t>1.31.73.041.CHN.00.000
1.31.73.073.SIN.00.000</t>
  </si>
  <si>
    <t>Dầu Sinopec L-DAB 100</t>
  </si>
  <si>
    <t>Thay dầu MNK phun dầu VRL</t>
  </si>
  <si>
    <t>5.17.20.238.USA.00.000</t>
  </si>
  <si>
    <t>Lọc gió, Filter Element type: HY-PRO HP76L4-12MB</t>
  </si>
  <si>
    <t>Thay lọc máy lọc dầu EH</t>
  </si>
  <si>
    <t>5.17.20.224.USA.02.000</t>
  </si>
  <si>
    <t>Lọc dầu, Filter Element type: HY-PRO ICB600524-A</t>
  </si>
  <si>
    <t>Thay lọc tách axit máy lọc dầu EH</t>
  </si>
  <si>
    <t>Lõi lọc tách dầu, Filter Element type: HY-PRO ATCF-1061</t>
  </si>
  <si>
    <t>5.17.20.210.USA.01.000</t>
  </si>
  <si>
    <t>5.17.20.225.USA.00.000</t>
  </si>
  <si>
    <t>Lõi lọc tinh tách cặn. Mã hiệu: HP107L18-1MV</t>
  </si>
  <si>
    <t>Thay lọc tách cặn máy lọc dầu EH</t>
  </si>
  <si>
    <t>5.17.20.211.USA.00.000</t>
  </si>
  <si>
    <t>Lọc dầu, Filter Element type: VPATOF-51348</t>
  </si>
  <si>
    <t>8.88.01.147.CHN.68.000</t>
  </si>
  <si>
    <t>Tuốc nơ vít (Phillips Stumpy Screwdriver No.2)-CCDC DH3</t>
  </si>
  <si>
    <t>8.88.01.147.CHN.70.000</t>
  </si>
  <si>
    <t>Tuốc nơ vít philip (Offset Screwdriver ‑ 150mm Phillips No. 1 and 2 Tips)-CCDC DH3</t>
  </si>
  <si>
    <t>8.88.01.147.CHN.81.000</t>
  </si>
  <si>
    <t>Tuốc nơ vít ngắn (Stumpy Phillips Screwdriver)-CCDC DH3</t>
  </si>
  <si>
    <t>CCDC phục vụ công tác vận hành</t>
  </si>
  <si>
    <t>Thay dầu thủy lực trạm dầu băng cào thuyền xỉ S2</t>
  </si>
  <si>
    <t>Kim Duy Tính</t>
  </si>
  <si>
    <t>Châm bổ sung cho bồn dầu tuabin chính S2</t>
  </si>
  <si>
    <t>Lê Quang Huy</t>
  </si>
  <si>
    <t>Nguyễn Quang Đàm
Trần Trọng Tín (400lit)</t>
  </si>
  <si>
    <t>Trần Trọng Tín (400lit)</t>
  </si>
  <si>
    <t>Bổ sung và thay dầu hộp giảm tốc chính Máy nghiền ứng 400lit</t>
  </si>
  <si>
    <t>Động cơ vần trục máy nghiền, HGT phân ly máy nghiền ( Tín ứng 20lit)</t>
  </si>
  <si>
    <t>Thay cho bộ phân ly dãy xử lý #2 hệ thống XL NTND</t>
  </si>
  <si>
    <t>Kiều Minh Chí</t>
  </si>
  <si>
    <t>Số: 11VH1</t>
  </si>
  <si>
    <t xml:space="preserve">Phục vụ vận hành </t>
  </si>
  <si>
    <t>Trang bị tại cương vị phục vụ vận hành</t>
  </si>
  <si>
    <t>3.66.81.052.VIE.00.000</t>
  </si>
  <si>
    <t>Đèn sạc tự động KT-2200 EL, Kentom-220VAC- 2x6W</t>
  </si>
  <si>
    <t>8.72.20.013.CHN.02.000</t>
  </si>
  <si>
    <t>Đế sạc cho bộ đàm Vertex Standard VX-451</t>
  </si>
  <si>
    <t>Sơn bảo dưỡng thiết bị</t>
  </si>
  <si>
    <t>phục vụ sơn bảo dưỡng</t>
  </si>
  <si>
    <t>4.25.23.019.VIE.00.000</t>
  </si>
  <si>
    <t>Sơn chóng rỉ Bạch Tuyết màu xám (3kg/thùng)</t>
  </si>
  <si>
    <t>Trang bị tại phục vụ vận hành</t>
  </si>
  <si>
    <t>THÁNG 12 NĂM 2024</t>
  </si>
  <si>
    <t>Ủng cách điện Mã SP: YS-112-01-11, Điện áp thử nghiệm: 30kV/3 phút, Điện áp sử dụng 26.5kVSize: 31.0</t>
  </si>
  <si>
    <t>Trả Phiếu cho Sơn Thái đã ứng</t>
  </si>
  <si>
    <t>Sơn Thái</t>
  </si>
  <si>
    <t>8.90.20.003.VIE.00.000</t>
  </si>
  <si>
    <t>Phao cứu sinh</t>
  </si>
  <si>
    <t>Trả Phiếu Thái Ba Tài ứng</t>
  </si>
  <si>
    <t>Thái Bá Tài</t>
  </si>
  <si>
    <t>1.71.87.092.VIE.01.000</t>
  </si>
  <si>
    <t>Nạp lại bình bình chữa cháy MFZ4</t>
  </si>
  <si>
    <t>Trả Phiếu ứng diễn tập và 65 bình của Bảo</t>
  </si>
  <si>
    <t>Thông thổi trạm điều chế H2, người đề xuất Lê Viết Châu
Đề xuất phục vụ công tác thông thổi thổi cuộn dây stator
Trả 7 chai cho Nguyên</t>
  </si>
  <si>
    <t>Trả phiếu Đình Nam ứng</t>
  </si>
  <si>
    <t>4.31.69.051.VIE.00.000</t>
  </si>
  <si>
    <t>Dây rút nhựa trắng 4x200 (bịch 100 sợi)</t>
  </si>
  <si>
    <t>Bịt</t>
  </si>
  <si>
    <t>Máy nghiền sài cho cột mẫu than</t>
  </si>
  <si>
    <t>Phục vụ tiểu tu tổ máy S1</t>
  </si>
  <si>
    <t>Lọc khí bộ sấy Sotras SM 9976 thay cho bộ sấy A,B,A,E,F,I,J vận hành đến thời gian thay thế</t>
  </si>
  <si>
    <t>Lọc khí đầu vào máy nén khí Ingersoll Rand M250 và M350, người đề xuất Bùi Hoài Tâm thay cho MNK 1, 3, C do vận hành đến thời gian cần thay thế).</t>
  </si>
  <si>
    <t>Lọc khí đầu vào máy nén khí Ingersoll Rand M250 và M350, người đề xuất Bùi Hoài Tâm (thay cho MNK thay cho mnk A, C), vận hành đã đến thời gian thay thế.</t>
  </si>
  <si>
    <t>Lọc tách dầu máy nén khí Ingersoll Rand M250, (mã CCN 22219174) thay cho MNK 3 vận hành đã đến thời gian thay thế.</t>
  </si>
  <si>
    <t>Khử NOx, người đề xuất Bùi Hoài Tâm (800 tấn)</t>
  </si>
  <si>
    <t>- Cung cấp HT XLN thải</t>
  </si>
  <si>
    <t>Hóa chất-Khí hóa lỏng (NH3)</t>
  </si>
  <si>
    <t>- Dầu bôi trơn cho động cơ MF Diezel</t>
  </si>
  <si>
    <t>- Dầu DO MF Diezel, người đề xuất Lê Viết Châu</t>
  </si>
  <si>
    <t xml:space="preserve">
Trạm dầu bôi trơn động cơ chính Máy nghiền,  quạt gió chèn 
</t>
  </si>
  <si>
    <t>Bổ sung hộp giảm tốc chính Máy nghiền</t>
  </si>
  <si>
    <t>Dầu bôi trơn HGT bơm chân không bình ngưng</t>
  </si>
  <si>
    <t>Trạm dầu van bướm đầu thoát bơm tuần hoàn 2A</t>
  </si>
  <si>
    <t>3.52.01.264.AUT.00.000</t>
  </si>
  <si>
    <t>SITOP PSU300M 6EP1436-3BA10. SITOP PSU8200 24 V/20 A Stabilized power supply input: 3 AC 400-500 V output: 24 V DC/20 A</t>
  </si>
  <si>
    <t>4.94.68.008.VIE.00.000</t>
  </si>
  <si>
    <t>Đĩa DVD Maxell 4.7G (10 cái/ hộp)</t>
  </si>
  <si>
    <t>3.80.89.527.CHN.02.000</t>
  </si>
  <si>
    <t>Bộ nguồn: - Type: PRO ECO3 120W 24V 5A; - Order No: 1469530000; - Version: Power supply; - Switch-mode power supply unit, 24V</t>
  </si>
  <si>
    <t>Tiểu tu  hệ thống điều khiển Bypass HP</t>
  </si>
  <si>
    <t>Tiểu tu  hệ thống điều khiển Bypass HP&amp;LP</t>
  </si>
  <si>
    <t>Ghi dữ liệu hiệu suất</t>
  </si>
  <si>
    <t>5.17.30.213.CHN.01.000</t>
  </si>
  <si>
    <t>Lõi lọc dầu, Model: DQ600KW25H1.0</t>
  </si>
  <si>
    <t>Vũ Văn Tiến ứng ngày 5/12/20224</t>
  </si>
  <si>
    <t>Vũ Văn Tiến YY3</t>
  </si>
  <si>
    <t>Thay cho bộ phân ly dãy xử lý #2 
hệ thống XL NTND</t>
  </si>
  <si>
    <t>can 20 lít</t>
  </si>
  <si>
    <t>Đựng lại dầu đã thay</t>
  </si>
  <si>
    <t>Dầu LCKD/SINOPEC: 200LIT/PHUY</t>
  </si>
  <si>
    <t>Lọc từ đường dầu hồi trạm dầu LP/HP máy nghiền, người đề xuất Nguyễn Quang Đàm</t>
  </si>
  <si>
    <t>Dung môi jotun Thinnerr NO.17</t>
  </si>
  <si>
    <t>giấy chà nhám P.800</t>
  </si>
  <si>
    <t>giấy chà nhám P.240</t>
  </si>
  <si>
    <t>sơn các cữa khu vực PDKTT</t>
  </si>
  <si>
    <t>vệ sinh sơn các cữa khu vực PDKTT</t>
  </si>
  <si>
    <t xml:space="preserve">Tờ </t>
  </si>
  <si>
    <t>Thông thổi khí Máy phát
Tấn Đạt 25c</t>
  </si>
  <si>
    <t>1.31.53.021.VIE.00.000</t>
  </si>
  <si>
    <t>Dầu nhờn Total Preslia 68</t>
  </si>
  <si>
    <t>- Cung cấp HT XLN, tái sinh hạt, người đề xuất Bùi Hoài Tâm</t>
  </si>
  <si>
    <t>- Cung cấp HT XLN thải, tái sinh hạt</t>
  </si>
  <si>
    <t xml:space="preserve"> Cung cấp cho XLN lò</t>
  </si>
  <si>
    <t>- Cung cấp HT XLN</t>
  </si>
  <si>
    <t>T3</t>
  </si>
  <si>
    <t>T4</t>
  </si>
  <si>
    <t>Trạm dầu bôi trơn quạt khói IDF;Trạm dầu bôi trơn quạt khói IDF;</t>
  </si>
  <si>
    <t>Dầu bôi trơn gối đỡ dẫn hướng, gối chặn GGH - FGD 
'Bổ sung dầu thủy lực van bướm đầu thoát bơm hấp thụ</t>
  </si>
  <si>
    <t>1.31.73.072.SIN.00.000</t>
  </si>
  <si>
    <t xml:space="preserve">Dầu Sinopec L-CKD 220 </t>
  </si>
  <si>
    <t>Thay dầu HGT lưới quay rác bơm tuần hoàn S1/S2-DH1</t>
  </si>
  <si>
    <t xml:space="preserve">5.17.30.291.CHN.00.000	</t>
  </si>
  <si>
    <t>Lõi lọc dầu Mã: S03013/3 (thay cho lọc 92888262)</t>
  </si>
  <si>
    <t>5.17.30.290.CHN.00.000</t>
  </si>
  <si>
    <t>Lọc tách dầu Oil Separator Filter, Mã: SS4753L (thay cho lọc 54509435)</t>
  </si>
  <si>
    <t xml:space="preserve">Trạm dầu bôi trơn động cơ chính Máy nghiền,  quạt gió chèn 
Dầu bôi trơn gối đỡ chặn động cơ bơm hấp thụ FGD </t>
  </si>
  <si>
    <t>- Quạt sục khí FGD</t>
  </si>
  <si>
    <t>5.17.80.213.GER.00.000
5.17.80.214.GER.00.000</t>
  </si>
  <si>
    <t>SCTX hệ thống TSI</t>
  </si>
  <si>
    <t>T5</t>
  </si>
  <si>
    <t>5.17.70.012.CHN.00.000</t>
  </si>
  <si>
    <t>5.17.70.013.CHN.00.000</t>
  </si>
  <si>
    <t>Lõi lọc khí Air Filter Mã:SP3836P</t>
  </si>
  <si>
    <t>Lõi lọc khí Air Filter Mã: SP3836P ( lọc dài, thay thế cho  Lọc khí P/N: 39903265)</t>
  </si>
  <si>
    <t>Lõi lọc khí Air Filter Mã: SP3818P ( lọc ngắn, thay thế cho Lọc khí P/N 39903281)</t>
  </si>
  <si>
    <t>Dầu bôi trơn quạt FDF, PAF
Trạm dầu bôi trơn quạt tăng áp Booter fan FGD</t>
  </si>
  <si>
    <t>3.20.84.029.000.00.000</t>
  </si>
  <si>
    <t>Đầu cos kim rỗng 1.5mm2 (100 cái/bịch)</t>
  </si>
  <si>
    <t>3.20.84.219.VIE.00.000</t>
  </si>
  <si>
    <t>Đầu cos 10-8</t>
  </si>
  <si>
    <t>3.20.84.330.CHN.00.000</t>
  </si>
  <si>
    <t>Đầu cos Y SV 1,25-3</t>
  </si>
  <si>
    <t>T6</t>
  </si>
  <si>
    <t>1.31.53.059.USA.00.000</t>
  </si>
  <si>
    <t>Nhớt làm mát máy nén khí (Ultra coolant Ingersoll Rand, CNN:38459582), Máy nén khí: ML350-2S</t>
  </si>
  <si>
    <t>Trả kho 600lit ứng</t>
  </si>
  <si>
    <t>5.17.80.093.CHN.00.000</t>
  </si>
  <si>
    <t>Lõi lọc nhớt cho hệ thống APH DH3, mã bộ lọc SPL-32, mã lõi lọc: 142012, kích thước lỗ lọc: 0.04mm, áp suất 0.8Mpa, nhiệt độ 85°C</t>
  </si>
  <si>
    <t xml:space="preserve">Lọc dầu điều khiển trạm dầu quạt tăng áp FGD, </t>
  </si>
  <si>
    <t xml:space="preserve">Lọc đầu thoát bơm rửa HP GGH - DH1, </t>
  </si>
  <si>
    <t>Bổ sung dầu điều khiển Bypass LP-HP Tuabin</t>
  </si>
  <si>
    <t>T8</t>
  </si>
  <si>
    <t xml:space="preserve">1.41.44.056.HKG.00.000	</t>
  </si>
  <si>
    <t>Trạm dầu Căng băng SSC</t>
  </si>
  <si>
    <t>T9</t>
  </si>
  <si>
    <t>Dầu bôi trơn VRL của máy nghiền,</t>
  </si>
  <si>
    <t>T10</t>
  </si>
  <si>
    <t>5.17.80.215.GER.00.000
5.17.80.048.EUR.00.000</t>
  </si>
  <si>
    <t>5.17.80.090.CHN.02.000
5.17.80.090.CHN.00.000</t>
  </si>
  <si>
    <t>5.17.80.095.CHN.01.000
5.17.80.062.CHN.00.000</t>
  </si>
  <si>
    <t>T11</t>
  </si>
  <si>
    <t>Lọc khí đầu vào (lọc dài) máy nén khí Ingersoll Rand M250 và M350: thay cho mnk 4,C,F,I,J tới thời gian cần thay</t>
  </si>
  <si>
    <t>Lọc tách dầu Oil Separator Filter Mã SS4743L (thay cho lọc 2221974)</t>
  </si>
  <si>
    <t xml:space="preserve">Lọc tách dầu Oil Separator Filter Mã SS4743L : thay cho mnk 1 tới thời gian cần thay. </t>
  </si>
  <si>
    <t>Bổ sung bi các máy nghiền  1E</t>
  </si>
  <si>
    <t>Bổ sung dầu cho trạm dầu thủy lực van bướm đầu thoát bơm tuần hoàn 1A, 1B</t>
  </si>
  <si>
    <t>3.20.84.031.000.00.000</t>
  </si>
  <si>
    <t>Đầu cos pin rỗng E1508 (bịch 100 cái)</t>
  </si>
  <si>
    <t>1.61.86.421.MAS.00.000</t>
  </si>
  <si>
    <t>Nước làm mát Turbocool Ready Mix</t>
  </si>
  <si>
    <t xml:space="preserve">nước làm mát thay cho Diesel S1/S2  </t>
  </si>
  <si>
    <t>Thay dầu HGT chính máy nghiền</t>
  </si>
  <si>
    <t>T12</t>
  </si>
  <si>
    <t>5.17.20.224.USA.00.000</t>
  </si>
  <si>
    <t>Lõi lọc tách axit. Mã hiệu: ICB600524-A</t>
  </si>
  <si>
    <t>Thay lọc tách cặn máy lọc dầu EH di động Hy-pro</t>
  </si>
  <si>
    <t>Thay lọc tách axit cho máy lọc dầu EH di động Hy-pro</t>
  </si>
  <si>
    <t>Thay lọcdầu cho máy lọc dầu EH di động Hy-pro</t>
  </si>
  <si>
    <t>Phục vụ công tác rửa ngược máy phát</t>
  </si>
  <si>
    <t>Động cơ vần trục máy nghiền, HGT phân ly máy nghiền 
Dầu bôi tởn HGT băng tải máy cấp than nguyên</t>
  </si>
  <si>
    <t>Dầu bôi trơn EA utra plus open gear clubricant</t>
  </si>
  <si>
    <t>Lõi Lọc dầu trạm dầu bôi trơn quạt PAF, FDF, IDF DH1
Lõi Lọc dầu điều khiển quạt PAF, FDF DH1, người đề xuất Nguyễn Quang Đàm</t>
  </si>
  <si>
    <t>4.59.90.026.VIE.01.000</t>
  </si>
  <si>
    <t>Bi nghiền than phi 50, độ cứng ≥ 55 HRC</t>
  </si>
  <si>
    <t>Lọc dầu hồi trục vít máy nén khí Ingersoll Rand:06 cái thay cho MNK 4,C,D</t>
  </si>
  <si>
    <t>8.35.85.060.CHN.02.000</t>
  </si>
  <si>
    <t>Chén đánh rỉ 65mm</t>
  </si>
  <si>
    <t>8.35.85.190.VIE.00.000</t>
  </si>
  <si>
    <t>Con lăn sơn 5cm</t>
  </si>
  <si>
    <t>8.35.65.154.VIE.00.000</t>
  </si>
  <si>
    <t>Cọ sơn 3,8cm</t>
  </si>
  <si>
    <t>8.15.31.072.KOR.00.000</t>
  </si>
  <si>
    <t>Đá cắt inox 100x1.6x16mm, Sunflex</t>
  </si>
  <si>
    <t>8.15.31.075.KOR.00.000</t>
  </si>
  <si>
    <t>Đá cắt inox 125x1.6x22.23mm</t>
  </si>
  <si>
    <t>Số: VH1</t>
  </si>
  <si>
    <t>Theo kế hoạch sửa chữa Tháng 12 năm 2025</t>
  </si>
  <si>
    <t>T1</t>
  </si>
  <si>
    <t>T2</t>
  </si>
  <si>
    <t>T7</t>
  </si>
  <si>
    <t>THÁNG 1 NĂM 2026</t>
  </si>
  <si>
    <t>Nhớt làm mát máy nén khí Ultra coolant Ingersoll Rand: thay cho MNK2 ( 120 lít), Máy nén khí I (140 lit) và dự phòng tại chỗ (40 lít).</t>
  </si>
  <si>
    <t>Lọc khí bộ sấy Sotras SM 9976 thay cho bộ sấy MNK: thay cho bộ sấy 2,3 đã đến thời gian cần thay.</t>
  </si>
  <si>
    <t>Lọc khí đầu vào (lọc dài) máy nén khí Ingersoll Rand M250 và M350: thay cho MKN D đến thời gian cần thay.</t>
  </si>
  <si>
    <t>Lọc khí đầu vào (lọc ngắn ) máy nén khí Ingersoll Rand M250 và M350:  thay cho MNK D đến thời gian cần</t>
  </si>
  <si>
    <t xml:space="preserve"> Lọc tách dầu MNK tro bay ML350 (SS4753L):  thay cho máy nén khí I, D đến thời gian cần thay</t>
  </si>
  <si>
    <t>Lõi lọc tách dầu bộ sấy khí nén điều khiển và tro bay: thay cho bộ sấy 1,2,3 B,C,E,F,G,H,I,J đến thời gian cần thay</t>
  </si>
  <si>
    <t>Trả phiếu</t>
  </si>
  <si>
    <t>Thực hiện công tác 5S, bảo dưỡng thiết bị.</t>
  </si>
  <si>
    <t>3.51.02.493.CHN.00.000</t>
  </si>
  <si>
    <t>Bộ chuyển nguồn 24VDC; Model: DRDN40-24</t>
  </si>
  <si>
    <t>SCTX hệ thống PLC XLNT Xỉ đáy lò + XLNT</t>
  </si>
  <si>
    <t>3.51.02.492.CHN.00.000</t>
  </si>
  <si>
    <t>Bộ chuyển nguồn 24VDC; Model: DR-RDN20</t>
  </si>
  <si>
    <t>SCTX hệ thống PLC XLNHH, Tro bay S1, Tro Bay S2, Chèn APH</t>
  </si>
  <si>
    <t>3.50.91.998.CHN.01.000</t>
  </si>
  <si>
    <t>Bộ nguồn; Model: 1X00781H01L</t>
  </si>
  <si>
    <t>3.52.01.512.THA.00.000</t>
  </si>
  <si>
    <t>Bộ nguồn; Model: QUNIT-PS/1AC/24DC/20</t>
  </si>
  <si>
    <t>3.52.01.511.THA.00.000</t>
  </si>
  <si>
    <t>Bộ nguồn; Model: QUINT-PS/1AC/24DC/10</t>
  </si>
  <si>
    <t>SCTX hệ thống ETS</t>
  </si>
  <si>
    <t>3.46.15.506.GER.00.000</t>
  </si>
  <si>
    <t>Cầu dao tự động; Model: 3RV2011-1DA10</t>
  </si>
  <si>
    <t>SCTX hệ thống Bypass HP-LP</t>
  </si>
  <si>
    <t>3.20.84.057.CHN.02.000</t>
  </si>
  <si>
    <t>Đầu cốt tròn phủ nhựa 1.25-6 (mỗi bịch 100 cái)</t>
  </si>
  <si>
    <t>3.20.84.221.000.00.000</t>
  </si>
  <si>
    <t>Đầu cos SC 10-10</t>
  </si>
  <si>
    <t>3.20.84.237.CHN.00.000</t>
  </si>
  <si>
    <t>Đầu cos chĩa VF 2-4S (bịch 100 cái)</t>
  </si>
  <si>
    <t>3.20.84.250.000.00.000</t>
  </si>
  <si>
    <t>Đầu cos khuyên 2,5mm2 (bịch 100 cái)</t>
  </si>
  <si>
    <t>3.20.84.308.CHN.00.000</t>
  </si>
  <si>
    <t>Đầu cốt khuyên RV-2.5 (bịch 100 cái)</t>
  </si>
  <si>
    <t>3.20.84.331.CHN.02.000</t>
  </si>
  <si>
    <t>Đầu cốt chẻ Y phủ nhựa 2-4 (mỗi bịch 100 cái)</t>
  </si>
  <si>
    <t>3.20.84.365.CHN.00.000</t>
  </si>
  <si>
    <t>Đầu cos ghim FDD2-250/China</t>
  </si>
  <si>
    <t>3.20.84.519.CHN.03.000</t>
  </si>
  <si>
    <t>Đầu cos pin dẹp 1.25-14 (mỗi bịch 100 cái); Knipex</t>
  </si>
  <si>
    <t>3.20.84.519.CHN.05.000</t>
  </si>
  <si>
    <t>Đầu cos pin dẹp 2-10 (mỗi bịch 100 cái); Knipex</t>
  </si>
  <si>
    <t>3.20.84.519.CHN.13.000</t>
  </si>
  <si>
    <t>Đầu cos pin dẹp 5.5-18 (mỗi bịch 100 cái); Knipex</t>
  </si>
  <si>
    <t>3.20.84.519.CHN.16.000</t>
  </si>
  <si>
    <t>Đầu cos pin rỗng 16-12 (mỗi bịch 100 cái); Knipex</t>
  </si>
  <si>
    <t>1.31.03.119.IND.00.000</t>
  </si>
  <si>
    <t xml:space="preserve">Số lượng còn lại so với kế hoạch năm </t>
  </si>
  <si>
    <t>Theo kế hoạch sửa chữa Tháng 02 năm 2026</t>
  </si>
  <si>
    <t>THÁNG 2 NĂM 2026</t>
  </si>
  <si>
    <t>Nhớt làm mát máy nén khí Ultra coolant Ingersoll Rand:  Máy nén khí I (140 lit) và dự phòng tại chỗ (40 lít).</t>
  </si>
  <si>
    <t>Dầu máy biến áp Kunlun KI25X; Quy cách: 170kg/phuy</t>
  </si>
  <si>
    <t>Bổ sung cho các MBA ESP S2</t>
  </si>
  <si>
    <t>Lọc khí đầu vào (lọc dài) máy nén khí Ingersoll Rand M250 và M350: 01 cái thay cho MNK D</t>
  </si>
  <si>
    <t>Lọc khí đầu vào (lọc ngắn ) máy nén khí Ingersoll Rand M250 và M350:   01 cái thay cho MNK D</t>
  </si>
  <si>
    <t>5.17.30.294.CHN.00.000</t>
  </si>
  <si>
    <t>Lọc tách dầu Oil Separator Filter Mã SS4743L : 01 cái thay cho MNK 2</t>
  </si>
  <si>
    <t xml:space="preserve"> Lọc tách dầu MNK tro bay ML350 (SS4753L)  02 cái thay cho MNK D,I</t>
  </si>
  <si>
    <t>Thay dầu hộp giảm tốc phân ly S2</t>
  </si>
  <si>
    <t>Thay thế cho máy phát diesel trạm bơm nước thô, Diesel chữa cháy</t>
  </si>
  <si>
    <t>1.61.86.345.CHN.00.000</t>
  </si>
  <si>
    <t>4.94.50.359.VIE.00.000</t>
  </si>
  <si>
    <t>4.94.60.361.VIE.00.000</t>
  </si>
  <si>
    <t>4.88.90.016.MAS.01.000</t>
  </si>
  <si>
    <t>4.94.80.775.VIE.00.000</t>
  </si>
  <si>
    <t>4.15.41.002.JPN.00.000</t>
  </si>
  <si>
    <t>4.31.69.045.VIE.00.000</t>
  </si>
  <si>
    <t>4.31.69.047.CHN.00.000</t>
  </si>
  <si>
    <t>4.31.69.041.VIE.00.000</t>
  </si>
  <si>
    <t>4.31.69.058.VIE.00.000</t>
  </si>
  <si>
    <t>4.90.01.114.GER.00.000</t>
  </si>
  <si>
    <t>4.90.01.092.VIE.00.000</t>
  </si>
  <si>
    <t>4.90.01.157.VIE.00.000</t>
  </si>
  <si>
    <t>4.94.80.728.RUS.00.000</t>
  </si>
  <si>
    <t>4.25.01.237.VIE.00.000</t>
  </si>
  <si>
    <t>4.25.01.211.VIE.00.000</t>
  </si>
  <si>
    <t>4.25.01.207.VIE.00.000</t>
  </si>
  <si>
    <t>4.25.01.176.VIE.00.000</t>
  </si>
  <si>
    <t>4.25.01.177.VIE.00.000</t>
  </si>
  <si>
    <t>4.25.01.179.VIE.01.000</t>
  </si>
  <si>
    <t>5.32.77.281.CHN.00.000</t>
  </si>
  <si>
    <t>8.10.86.005.VIE.02.000</t>
  </si>
  <si>
    <t>4.69.13.007.CHN.00.000</t>
  </si>
  <si>
    <t>4.69.13.002.CHN.00.000</t>
  </si>
  <si>
    <t>4.69.35.044.VIE.00.000</t>
  </si>
  <si>
    <t>4.61.06.082.VIE.00.000</t>
  </si>
  <si>
    <t>4.69.35.046.VIE.01.000</t>
  </si>
  <si>
    <t xml:space="preserve">Acetone </t>
  </si>
  <si>
    <t>Băng keo giấy 20mm</t>
  </si>
  <si>
    <t>Băng keo giấy 48mm</t>
  </si>
  <si>
    <t>Băng kín răng ống 0.075x1/ 2"x10m</t>
  </si>
  <si>
    <t>Bao tải</t>
  </si>
  <si>
    <t>Cặp bản lề cửa Inox (2 chiếc)</t>
  </si>
  <si>
    <t>Cuộn băng rào vùng làm việc, Chất liệu: nhựa PP, Màu sắc: Bảng nền trắng, chữ đỏ. Kích thước dài 100m , rộng 8cm</t>
  </si>
  <si>
    <t>Đất sét công nghiệp</t>
  </si>
  <si>
    <t>Dây rút nhựa 10x650mm (bịch 100 sợi)</t>
  </si>
  <si>
    <t>Dây rút nhựa 2x250mm(bịch 100 sợi)</t>
  </si>
  <si>
    <t>Dây rút nhựa 3x100mm (bịch 100 sợi)</t>
  </si>
  <si>
    <t>Dây rút nhựa 8x400mm</t>
  </si>
  <si>
    <t>Keo</t>
  </si>
  <si>
    <t>Keo bọt nở Apollo Foam 750ml dạng vòi</t>
  </si>
  <si>
    <t xml:space="preserve">Keo dán đa năng siêu dính </t>
  </si>
  <si>
    <t>Keo silicon A500 Apollo Oxime (300ml)</t>
  </si>
  <si>
    <t>Keo trám khe kết dính đàn hồi cao đa công dụng, gốc PUR</t>
  </si>
  <si>
    <t xml:space="preserve">Keo Vá Tường Đa Năng </t>
  </si>
  <si>
    <t>Phin lọc chống hóa chất dùng cho mặt nạ phòng độc Sorbent</t>
  </si>
  <si>
    <t>Sơn ALKYD màu xám, 3Kg/ hộp. NSX: Bạch Tuyết</t>
  </si>
  <si>
    <t>Sơn dầu xám, Bạch Tuyết, Mã màu: 122</t>
  </si>
  <si>
    <t>Sơn dầu xanh lá, Bạch Tuyết, Mã màu:Vert 617</t>
  </si>
  <si>
    <t>Sơn phủ đỏ,Bạch Tuyết,Mã màu: 344,16kg/thùng</t>
  </si>
  <si>
    <t>Sơn phủ vàng cam,Bạch Tuyết,Mã màu:544,16kg/thùng</t>
  </si>
  <si>
    <t>Sơn phủ xanh,Bạch Tuyết,Mã màu: Yamaha lợt 714,16kg/thùng</t>
  </si>
  <si>
    <t>Sponge ball-φ32</t>
  </si>
  <si>
    <t>Tắc kê nhựa 6mm + Vít</t>
  </si>
  <si>
    <t>Tắc kê nhựa 8mm + Vít</t>
  </si>
  <si>
    <t>Tấm nhôm alu</t>
  </si>
  <si>
    <t>Vít bắn tôn đầu lục giác M6x50mm</t>
  </si>
  <si>
    <t>Vít bắn tôn đầu lục giác, Mạ kẽm nhúng nóng BTEKS 12- 4X20HGS , mũi có ren ốc để bắn Ø6,5x20mm</t>
  </si>
  <si>
    <t>Vít bắt tôn đuôi én đầu dù, Dài 20mm</t>
  </si>
  <si>
    <t>Cuồn</t>
  </si>
  <si>
    <t>Bịch</t>
  </si>
  <si>
    <t>Túi</t>
  </si>
  <si>
    <t>tuýp</t>
  </si>
  <si>
    <t xml:space="preserve">Dầu Sinopec L-CKD 320 
</t>
  </si>
  <si>
    <t>Thay lọc dầu đầu thoát bơm trạm dầu thủy lực van bướm đầu thoát bơm tuần hoàn 2A, 2B</t>
  </si>
  <si>
    <t>Thay lọc dầu cấp trạm dầu thủy lực điều khiển bypass LP/HP tổ máy S2</t>
  </si>
  <si>
    <t>3.46.15.505.GER.00.000</t>
  </si>
  <si>
    <t>Cầu dao tự động; Model: 1D20UL</t>
  </si>
  <si>
    <t>Lắp đặt theo PAKT</t>
  </si>
  <si>
    <t>3.52.01.424.CHN.00.000</t>
  </si>
  <si>
    <t>Bộ nguồn Model: ABL1RPM24062</t>
  </si>
  <si>
    <t>SCTX hệ thống điều khiển</t>
  </si>
  <si>
    <t>3.52.01.235.CHN.01.000</t>
  </si>
  <si>
    <t>Bộ nguồn Model: LRS-50-24</t>
  </si>
  <si>
    <t>.50.01.473.CHN.00.000</t>
  </si>
  <si>
    <t>Bộ nguồn DRDN20-24</t>
  </si>
  <si>
    <t>3.51.01.092.GER.00.000</t>
  </si>
  <si>
    <t>Module DO IMATIC S7-300, Digital output SM 322, Isolated 16 DO, relay contacts, 1x 20-pole - Siemens</t>
  </si>
  <si>
    <t>3.20.84.031.CHN.00.000</t>
  </si>
  <si>
    <t>3.20.84.032.000.00.000</t>
  </si>
  <si>
    <t>Đầu cos pin rỗng E4009 (bịch 100 cái)</t>
  </si>
  <si>
    <t>3.30.14.237.VIE.00.000</t>
  </si>
  <si>
    <t>Cầu chì 1A</t>
  </si>
  <si>
    <t>3.30.14.086.VIE.00.000</t>
  </si>
  <si>
    <t>Cầu chì 2A</t>
  </si>
  <si>
    <t>3.50.40.337.CHN.00.000</t>
  </si>
  <si>
    <t>Relay trung gian 220VDC. MM4P</t>
  </si>
  <si>
    <t>3.50.40.406.GER.00.000</t>
  </si>
  <si>
    <t>control relay 3RH2244-1AF00</t>
  </si>
  <si>
    <t>4.94.06.139.CHN.00.000</t>
  </si>
  <si>
    <t>Pin ALLEN BRADLEY 1756-BA2</t>
  </si>
  <si>
    <t>4.94.06.139.JPN.00.000</t>
  </si>
  <si>
    <t>1.41.84.031.VIE.00.000</t>
  </si>
  <si>
    <t>Nước rửa bo mạch A.P.C.O (Acrylic Lacquer) 300ml</t>
  </si>
  <si>
    <t>1.41.84.118.KOR.00.000</t>
  </si>
  <si>
    <t>Nước rửa bo mạch Loại: aerosol, Quy cách: 250g/chai</t>
  </si>
  <si>
    <t>8.35.75.002.JPN.00.000</t>
  </si>
  <si>
    <t>Giấy nhám mịn P600</t>
  </si>
  <si>
    <t>8.35.75.054.JPN.00.000</t>
  </si>
  <si>
    <t>Giấy nhám 240</t>
  </si>
  <si>
    <t>Dầu bôi trơn VRL của máy nghiền Còn ứng kho chưa trả,</t>
  </si>
  <si>
    <t>Lọc gió động cơ Diesel.  Air filter C03244</t>
  </si>
  <si>
    <t>Lọc nhiên liệu động cơ Diesel. Fuel filter C02773</t>
  </si>
  <si>
    <t>Lọc nhớt động cơ Diesel. Oil filter C04593</t>
  </si>
  <si>
    <t>Thay cho động cơ diesel chữa cháy</t>
  </si>
  <si>
    <t>1.31.53.047.SIN.00.000</t>
  </si>
  <si>
    <t>Dầu Sinopec L -TSA 32</t>
  </si>
  <si>
    <t>4.94.60.392.CHN.00.000</t>
  </si>
  <si>
    <t>4.94.80.708.USA.00.000</t>
  </si>
  <si>
    <t>4.94.80.819.MEX.00.000</t>
  </si>
  <si>
    <t>8.90.41.062.VIE.00.000</t>
  </si>
  <si>
    <t>5.17.20.081.USA.01.000</t>
  </si>
  <si>
    <t>5.17.20.237.CHN.00.000</t>
  </si>
  <si>
    <t>5.17.30.213.CHN.02.000</t>
  </si>
  <si>
    <t>5.17.30.217.CHN.01.000</t>
  </si>
  <si>
    <t>5.17.30.219.CHN.01.000</t>
  </si>
  <si>
    <t>5.17.30.221.CHN.02.000</t>
  </si>
  <si>
    <t>5.17.30.227.CHN.00.000</t>
  </si>
  <si>
    <t>5.17.30.259.ITA.10.000</t>
  </si>
  <si>
    <t>5.17.30.261.CHN.00.000</t>
  </si>
  <si>
    <t>5.17.30.273.CHN.00.000</t>
  </si>
  <si>
    <t>5.17.30.291.CHN.00.000</t>
  </si>
  <si>
    <t>5.17.30.292.USA.00.000</t>
  </si>
  <si>
    <t>5.17.30.295.CHN.00.000</t>
  </si>
  <si>
    <t>5.17.30.296.USA.00.000</t>
  </si>
  <si>
    <t>5.17.30.303.CHN.00.000</t>
  </si>
  <si>
    <t>5.17.30.306.USA.00.000</t>
  </si>
  <si>
    <t>5.17.30.307.CHN.00.000</t>
  </si>
  <si>
    <t>5.17.60.109.CHN.01.000</t>
  </si>
  <si>
    <t>5.17.70.014.CHN.00.000</t>
  </si>
  <si>
    <t>5.17.80.025.CHN.00.000</t>
  </si>
  <si>
    <t>5.17.80.062.CHN.00.000</t>
  </si>
  <si>
    <t>5.17.80.090.CHN.00.000</t>
  </si>
  <si>
    <t>5.17.80.216.ITA.00.000</t>
  </si>
  <si>
    <t>5.17.80.253.CHN.00.000</t>
  </si>
  <si>
    <t>5.17.80.254.CHN.00.000</t>
  </si>
  <si>
    <t>4.25.01.415.VIE.00.000</t>
  </si>
  <si>
    <t>4.25.01.416.VIE.00.000</t>
  </si>
  <si>
    <t>4.25.01.417.VIE.00.000</t>
  </si>
  <si>
    <t>4.25.01.418.VIE.00.000</t>
  </si>
  <si>
    <t>Núm lọc dùng cho bồn lọc trọng lực Chụp lọc đáy ME-BFSM12; Vật liệu ABS, kích thước lọc: 0.3mm; Lưu lượng: 2m3/hr;  Bước Ren: M32</t>
  </si>
  <si>
    <t>Phin lọc bụi 3M 2097 P100</t>
  </si>
  <si>
    <t>Phin lọc chống hóa chất dùng cho mặt nạ phòng độc</t>
  </si>
  <si>
    <t>Khẩu trang có màng lọc, chống hóa chất, chống bụi</t>
  </si>
  <si>
    <t>Lọc dầu, Bộ lọc dầu - Hydralic Filter P173789</t>
  </si>
  <si>
    <t>Lõi lọc dầu, Mã lọc: Reverse-washing filter ZCL-1-450B. Flow: 450 L/min. Working Pressure: 0.6MPa.  Filtration rating: 32µm</t>
  </si>
  <si>
    <t>Lọc gió,  Filter Element type: HY-PRO HP76L4-12MB</t>
  </si>
  <si>
    <t>Lõi Lọc dầu Mã bộ lọc 707FM1625H4W25HH10FO8S-DQ, Mã lõi lọc: DQ600KW25H1 0S, Lưu lượng định mức: 5000L Min</t>
  </si>
  <si>
    <t>Lõi Lọc dầu bôi trơn BFPT - DH1, Mã bộ lọc 97C1623FW25HF80DQ F06P, Mã lõi lọc: QF9733W25HO7C DQ, Lưu lượng định mức: 1800L min</t>
  </si>
  <si>
    <t>Lõi Lọc dầu: Mã bộ lọc: 97C1623FW25HF80DQ F06P, Mã lõi lọc: QF9733W25HO7C -DQ, Lưu lượng định mức: 1800L min</t>
  </si>
  <si>
    <t>Lõi Lọc dầu Mã bộ lọc: 707FM1641GA20DN50H1.5F1C, Mã lọc: DQ6803GA20H15C, Filtration rating: 20µm</t>
  </si>
  <si>
    <t>Lõi lọc dầu Mã lọc: DS103EA100V/-W, Đầu nối vặn bằng ren trong</t>
  </si>
  <si>
    <t>Lõi lọc dầu hồi sau bộ làm mát hệ thống dầu EH DH1, DR1A401EA03V/-W, Filtration rating: 03µm</t>
  </si>
  <si>
    <t>Lõi lọc dầu - Coreless Filter Model SH 87619, Sử dụng cho bộ lọc mã P/N HH8314F40KTXAM1, Áp suất: 400 psi</t>
  </si>
  <si>
    <t>Lõi lọc Model 0160D025W/H. Loại lọc:  DF W/HC 160 TE 25C 11/B6(1305789)</t>
  </si>
  <si>
    <t>Lõi lọc an toàn RO1, Model: CKHFP04P20NC, Vật liệu lọc: polypropylene, Vật liệu Oring: NBR, Chiều dài: 1016mm, Đường kính: 152,4mm, Cấp lọc: 20µm</t>
  </si>
  <si>
    <t>Lọc tách dầu Oil Separator Filter, Mã: SS4753L</t>
  </si>
  <si>
    <t>Lõi lọc dầu Mã: S03013/3</t>
  </si>
  <si>
    <t>Lõi lọc tách cặn dầu Filter Element type: HP107L18-1MV Filtration rating: 2.5µm, Beta (2.5µm) = 1000, Oil outlet: NAS&lt;5</t>
  </si>
  <si>
    <t>Lõi lọc dầu Model: SFX 240x20 Filtration rating: 20µm</t>
  </si>
  <si>
    <t>Lõi lọc dầu  Filter Element type: Airtech Oil Filter Part # ATOF-51348</t>
  </si>
  <si>
    <t>Lõi lọc dầu Element filter type: DL009001, 01-10µm, 0.6~1.6MPa Oil outlet: NAS&lt;5</t>
  </si>
  <si>
    <t>Lọc dầu Fuel filter  C02773</t>
  </si>
  <si>
    <t>Lõi lọc dầu, Mã lọc: 0F3-08-3RV-10 Đầu nối vặn bằng ren trong</t>
  </si>
  <si>
    <t>Lọc khí. Filter element: SM 9976, Working pressure: 0.8MPa, Filtration Level: 1µm, Capacity: 45m3/min, Differential pressure: &lt; 0.3bar</t>
  </si>
  <si>
    <t>Lõi lọc khí Air Filter Mã: SP3818P</t>
  </si>
  <si>
    <t>Lõi lọc khí Sotras SM 9976, Filter element: Sotras SM 9976, Working pressure: 0.8MPa, Filtration Level: 1µm</t>
  </si>
  <si>
    <t>Bộ lọc nhiên liệu37540 - 02100 Bypass oil Filter</t>
  </si>
  <si>
    <t>Lõi lọc SGF-H330x20 (P/N: YLXA-35)</t>
  </si>
  <si>
    <t>Lõi lọc dầu, Mã bộ lọc FHB3202SVF1A03NP01, Mã lõi lọc: HP3202A03VNP01, Áp suất 320 bar</t>
  </si>
  <si>
    <t>Lõi lọc tách axit: DEA- DL003001, 01-10µm, 0.6~1.6MPa, Acid numbers oil outlet: &lt;0.2mg KOH/g</t>
  </si>
  <si>
    <t>Lõi lọc gió Mã lọc:VICKERS - BR110+EF4-50 Air filter</t>
  </si>
  <si>
    <t>Sơn Mã màu: 144</t>
  </si>
  <si>
    <t>Sơn Mã màu 513 16kg/thùng</t>
  </si>
  <si>
    <t>Sơn Mã màu: Việt Nikko 675N, 16kg/thùng</t>
  </si>
  <si>
    <t>Sơn mã màu: 344</t>
  </si>
  <si>
    <t>Thay cho hệ thống XLN DH1</t>
  </si>
  <si>
    <t>Cấp phát cho cương vị tiếp xúc bụi</t>
  </si>
  <si>
    <t>Cấp phát cho cương vị tiếp xúc hóa chất</t>
  </si>
  <si>
    <t>Cấp phát phục vụ vận hành hệ thống hóa chất</t>
  </si>
  <si>
    <t>Thay lọc dầu bôi trơn HGT chính máy nghiền</t>
  </si>
  <si>
    <t>Thay lọc dầu LP/HP hệ thống máy nghiền DH1</t>
  </si>
  <si>
    <t>Thay lõi lọc tách axit máy lọc dầu EH di động</t>
  </si>
  <si>
    <t>Thay lõi lọc tách cặn máy lọc dầu EH di động</t>
  </si>
  <si>
    <t>Thay lọc dầu TB DH1</t>
  </si>
  <si>
    <t>Thay lọc dầu kích tuabin chính</t>
  </si>
  <si>
    <t>Thay lõi lọc gió máy lọc dầu EH di động</t>
  </si>
  <si>
    <t>Thay lọc trạm dầu HPU trạm bơm tuần hoàn DH1</t>
  </si>
  <si>
    <t>Thay lọc dầu APH DH1</t>
  </si>
  <si>
    <t>Thay lọc dầu bôi trơn tuabin chính</t>
  </si>
  <si>
    <t>Thay lọc dầu bypass HP/LP DH1</t>
  </si>
  <si>
    <t>Thay lọc nước làm mát stator MF</t>
  </si>
  <si>
    <t>Thay lọc dầu bôi trơn BFPT DH1</t>
  </si>
  <si>
    <t>Thay lọc dầu EH</t>
  </si>
  <si>
    <t>Thay lọc dầu chèn MF DH1</t>
  </si>
  <si>
    <t>Thay lọc hệ thống nước rửa cao áp GGH FGD</t>
  </si>
  <si>
    <t>Thay lọc an toàn RO1 DH1</t>
  </si>
  <si>
    <t>Thay lọc tách dầu MNK tro bay ML350</t>
  </si>
  <si>
    <t>Thay lọc dầu MNK ĐK và tro bay MM250 và ML350</t>
  </si>
  <si>
    <t>Thay lọc tách cặn máy lọc dầu EH di động</t>
  </si>
  <si>
    <t>Thay lọc dầu máy lọc dầu EH di động</t>
  </si>
  <si>
    <t>Thay lọc nhiên liệu ĐC Diesel bơm PCCC DH1</t>
  </si>
  <si>
    <t>Thay lọc khí bộ sấy khí nén ĐK DH1</t>
  </si>
  <si>
    <t>Thay lọc gió MNK ML350 tro bay</t>
  </si>
  <si>
    <t>Thay lọc gió MNK MM250 và ML350 tro bay</t>
  </si>
  <si>
    <t>Thay lọc nhớt ĐC MF Diesel</t>
  </si>
  <si>
    <t>Thay lọc dầu SSC DH1</t>
  </si>
  <si>
    <t>Thay lọc dầu  quạt tăng áp FGD DH1</t>
  </si>
  <si>
    <t>Thay lọc dầu PAF, FDF DH1</t>
  </si>
  <si>
    <t>Thay lọc an toàn RO2 DH1</t>
  </si>
  <si>
    <t>Phục vụ sơn thiết bị có chiều cao &lt;2m</t>
  </si>
  <si>
    <t xml:space="preserve">Bổ sung cho các bơm định lượng hóa chất, quạt XLNHH, XLNT: không đề xuất
</t>
  </si>
  <si>
    <t>Nguyễn Quang Đàm
Vũ Văn Tiến</t>
  </si>
  <si>
    <t>Lọc dầu hồi trục vít máy nén khí Ingersoll Rand: thay cho MNK 3, B, E,F,G,I do đến thời gian cần thay</t>
  </si>
  <si>
    <t>Lõi lọc dầu Type: 1ZSC003676-AAV, sử dụng cho bộ lọc dầu Type: 1ZSC003676-AAE</t>
  </si>
  <si>
    <t>Thay cho OLTC TD922</t>
  </si>
  <si>
    <t>4.15.41.002.CHN.00.000</t>
  </si>
  <si>
    <t>Đất sét bịt tủ điện</t>
  </si>
  <si>
    <t>Bổ sung dầu cho trạm dầu thủy lực van bướm đầu thoát bơm tuần hoàn 1A, 1B, 2A, 2B</t>
  </si>
  <si>
    <t>Thay dầu HGT máy cấp S1, S2</t>
  </si>
  <si>
    <t>Dầu Shell Rimula R4X 15W40</t>
  </si>
  <si>
    <t>Thay dầu động cơ MF Diezel trạm bơm nước thô, MNK NH3</t>
  </si>
  <si>
    <t>Dầu bôi trơn Shell Turbo T32</t>
  </si>
  <si>
    <t>Thay cho các trạm dầu Quạt sục khí #2, 3, 5, 6</t>
  </si>
  <si>
    <t>3.50.91.000.GER.81.000</t>
  </si>
  <si>
    <t>PLC Short description: CPU 314C-2 DP; Article Number:: 6ES7 314-6CH04-0AB0; Firmware version: V3.3</t>
  </si>
  <si>
    <t>3.51.02.505.CHN.00.000</t>
  </si>
  <si>
    <t>PLC Model: 6ES7216-2BD23-0XB8; CPU 226 AC/DC/Relay 24 Inputs/16 Relays.</t>
  </si>
  <si>
    <t>3.52.01.519.CHN.00.000</t>
  </si>
  <si>
    <t>Bộ nguồn 24VDC PLC Model: NDR-120-24</t>
  </si>
  <si>
    <t>3.50.91.000.CHN.78.000</t>
  </si>
  <si>
    <t>Card truyền thông Short description: Profibus ET 200M Article Number: 6ES7153-2BA10-0XB0</t>
  </si>
  <si>
    <t>3.50.91.000.CHN.79.000</t>
  </si>
  <si>
    <t>Module mở rộng Short description: EM 223 CN DC/RLY; Article Number: 6ES7 223-1PH22-0XA8</t>
  </si>
  <si>
    <t>3.50.91.606.CHN.00.000</t>
  </si>
  <si>
    <t>Module cách ly CZ3035; Voltage: 20-35VDC; 1 input: 4-20mA,dc; 2 ouput : 4-20mA,dc; NSX: Chenzhu</t>
  </si>
  <si>
    <t>3.50.91.801.PHI.00.000</t>
  </si>
  <si>
    <t>Bộ nguồn các bộ controller P/N: 1X01046H01L; (DIN-RAIL POWER SUPPLY, 24VDC, 10A, 240W)</t>
  </si>
  <si>
    <t>1.61.86.001.VIE.00.000</t>
  </si>
  <si>
    <t>Cồn 90 độ</t>
  </si>
  <si>
    <t>1.61.86.344.TPE.00.000</t>
  </si>
  <si>
    <t>Aceton</t>
  </si>
  <si>
    <t>3.15.99.012.000.00.000</t>
  </si>
  <si>
    <t>Dây tiếp địa đồng 1x2.5mm2 (CVV - 2.5 (1x7/0.67) - 0.6kV)</t>
  </si>
  <si>
    <t>Mét</t>
  </si>
  <si>
    <t>3.20.25.062.KOR.00.000</t>
  </si>
  <si>
    <t>Hộp đấu nối điện; Model: BC-AGS-081807; NSX: BOXCO</t>
  </si>
  <si>
    <t>3.20.84.051.000.00.000</t>
  </si>
  <si>
    <t>Đầu cos tròn trần đồng R NB5.5-12 (bịch 100 cái)</t>
  </si>
  <si>
    <t>3.20.84.057.CHN.01.000</t>
  </si>
  <si>
    <t>Đầu cốt tròn phủ nhựa 1.25-4 (mỗi bịch 100 cái)</t>
  </si>
  <si>
    <t>3.20.84.057.VIE.01.000</t>
  </si>
  <si>
    <t>3.20.84.095.CHN.01.000</t>
  </si>
  <si>
    <t>Đầu cốt tròn phủ nhựa 5.5-10 (mỗi bịch 100 cái)</t>
  </si>
  <si>
    <t>3.20.84.095.CHN.02.000</t>
  </si>
  <si>
    <t>Đầu cốt tròn phủ nhựa 5.5-12 (mỗi bịch 100 cái)</t>
  </si>
  <si>
    <t>3.20.84.095.CHN.03.000</t>
  </si>
  <si>
    <t>Đầu cốt tròn phủ nhựa 5.5-5 (mỗi bịch 100 cái)</t>
  </si>
  <si>
    <t>3.20.84.095.CHN.04.000</t>
  </si>
  <si>
    <t>Đầu cốt tròn phủ nhựa 5.5-6 (mỗi bịch 100 cái)</t>
  </si>
  <si>
    <t>3.20.84.215.000.00.000</t>
  </si>
  <si>
    <t>Cos ép đồng 2 lỗ 185mm2</t>
  </si>
  <si>
    <t>3.20.84.227.VIE.00.000</t>
  </si>
  <si>
    <t>Đầu cos 6-6</t>
  </si>
  <si>
    <t>3.20.84.235.CHN.00.000</t>
  </si>
  <si>
    <t>Đầu cos chĩa phủ nhựa SV2-4 (bịch 100 cái)</t>
  </si>
  <si>
    <t>3.20.84.238.CHN.00.000</t>
  </si>
  <si>
    <t>Đầu cos chĩa VF 3.5-5 (bịch 100 cái)</t>
  </si>
  <si>
    <t>3.20.84.239.CHN.00.000</t>
  </si>
  <si>
    <t>Đầu cos chĩa VF1.25-3 (bịch 100 cái)</t>
  </si>
  <si>
    <t>3.20.84.241.CHN.00.000</t>
  </si>
  <si>
    <t>Đầu cos đĩa Y phủ nhựa VF2-3.4Y (bịch 100 cái)</t>
  </si>
  <si>
    <t>3.15.99.283.VIE.00.000</t>
  </si>
  <si>
    <t>Dây điện đơn mềm VCm-2.5 mm2, SKU: VCm-2.5 (Đỏ)</t>
  </si>
  <si>
    <t>3.63.57.457.VIE.00.000</t>
  </si>
  <si>
    <t>Đèn led pha (model: AJ-A416, 10W, Duhal)</t>
  </si>
  <si>
    <t>3.66.72.108.VIE.00.000</t>
  </si>
  <si>
    <t>Bóng đèn led Bulb Rạng Đông model: TR80N2 18W; Điện áp:220V/50Hz; Ánh sáng vàng; Quang thông: 1500 lm; Kích thước (ØxH):(80 x 145) mm; Loại đuôi:E27; NSX: Rang Dong</t>
  </si>
  <si>
    <t>THÁNG 3 NĂM 2026</t>
  </si>
  <si>
    <t>5.17.20.177.VIE.01.000</t>
  </si>
  <si>
    <t>Lõi lọc tách dầu ME-OP-24610</t>
  </si>
  <si>
    <t>Thay lọc tách dầu XLNT ND</t>
  </si>
  <si>
    <t>Theo kế hoạch sửa chữa Tháng 04 năm 2026</t>
  </si>
  <si>
    <t>THÁNG 4 NĂM 2026</t>
  </si>
  <si>
    <t>4.59.90.048.CHN.00.000</t>
  </si>
  <si>
    <t>Bi cao su làm sạch bình ngưng Cleaning Sponge Balls: Ball materia: Rubber, Φ: 32mm, Ball hardness: 35A</t>
  </si>
  <si>
    <t>Làm sạch ống Titan bình ngưng.</t>
  </si>
  <si>
    <t>Keo bọt FOAM Apollo, 750ml/chai</t>
  </si>
  <si>
    <t xml:space="preserve">Chai </t>
  </si>
  <si>
    <t>4.84.24.027.VIE.01.000</t>
  </si>
  <si>
    <t>Bản lề lá. Chất liệu: Inox 304; Kích thước: 35x100x3mm</t>
  </si>
  <si>
    <t>4.25.01.451.VIE.00.000</t>
  </si>
  <si>
    <t>Sơn dầu AC-310 (màu vàng)</t>
  </si>
  <si>
    <t>Hộp</t>
  </si>
  <si>
    <t>4.69.13.002.VIE.00.000</t>
  </si>
  <si>
    <t xml:space="preserve">Bộ </t>
  </si>
  <si>
    <t>4.69.13.007.VIE.00.000</t>
  </si>
  <si>
    <t xml:space="preserve">4.84.24.056.VIE.01.000 </t>
  </si>
  <si>
    <t>Bản lề lá, Mã sản phẩm: BLL-4x3x2, Inox 304</t>
  </si>
  <si>
    <t>4.31.69.047.VIE.00.000</t>
  </si>
  <si>
    <t>Dây rút nhựa 2x250mm</t>
  </si>
  <si>
    <t xml:space="preserve">4.90.01.156.VIE.00.000 </t>
  </si>
  <si>
    <t xml:space="preserve">4.61.06.096.VIE.00.000 </t>
  </si>
  <si>
    <t>Đất sét bịt tủ điện, NEOSEAL B3</t>
  </si>
  <si>
    <t>3.20.84.261.CHN.00.000</t>
  </si>
  <si>
    <t>Đầu cos pin rỗng 4mm2 E6012 (bịch 100 cái)</t>
  </si>
  <si>
    <t>3.20.84.263.000.00.000</t>
  </si>
  <si>
    <t>Đầu cos pin rỗng RV1.25-3S (bịch 100 cái)</t>
  </si>
  <si>
    <t>3.20.84.264.000.00.000</t>
  </si>
  <si>
    <t>Đầu cos pin rỗng RV1.25-4S (bịch 100 cái)</t>
  </si>
  <si>
    <t>3.20.84.274.CHN.00.000</t>
  </si>
  <si>
    <t>Đầu cos vòng phủ nhựa RV1.25-3, màu đỏ (bịch 100 cái)</t>
  </si>
  <si>
    <t>3.20.84.428.CHN.02.000</t>
  </si>
  <si>
    <t>Đầu cốt tròn phủ nhựa 2-4 (mỗi bịch 100 cái)</t>
  </si>
  <si>
    <t>3.20.84.428.CHN.03.000</t>
  </si>
  <si>
    <t>Đầu cốt tròn phủ nhựa 2-5 (mỗi bịch 100 cái)</t>
  </si>
  <si>
    <t>3.20.84.428.CHN.04.000</t>
  </si>
  <si>
    <t>Đầu cốt tròn phủ nhựa 2-6 (mỗi bịch 100 cái)</t>
  </si>
  <si>
    <t>3.50.91.850.CHN.00.000</t>
  </si>
  <si>
    <r>
      <t>Model: RWF40.000A97 hoặc tương đương.</t>
    </r>
    <r>
      <rPr>
        <sz val="10"/>
        <color theme="1"/>
        <rFont val="Arial"/>
        <family val="2"/>
      </rPr>
      <t xml:space="preserve">
</t>
    </r>
    <r>
      <rPr>
        <sz val="10"/>
        <color theme="1"/>
        <rFont val="Arial"/>
        <family val="2"/>
      </rPr>
      <t>Điện áp làm việc: AC110…240V; 48...63HZ 10VA</t>
    </r>
    <r>
      <rPr>
        <sz val="10"/>
        <color theme="1"/>
        <rFont val="Arial"/>
        <family val="2"/>
      </rPr>
      <t xml:space="preserve">
</t>
    </r>
    <r>
      <rPr>
        <sz val="10"/>
        <color theme="1"/>
        <rFont val="Arial"/>
        <family val="2"/>
      </rPr>
      <t>Relais 1..4 240V 2A</t>
    </r>
    <r>
      <rPr>
        <sz val="10"/>
        <color theme="1"/>
        <rFont val="Arial"/>
        <family val="2"/>
      </rPr>
      <t xml:space="preserve">
</t>
    </r>
    <r>
      <rPr>
        <sz val="10"/>
        <color theme="1"/>
        <rFont val="Arial"/>
        <family val="2"/>
      </rPr>
      <t>CosPhi &gt; 0,6</t>
    </r>
    <r>
      <rPr>
        <sz val="10"/>
        <color theme="1"/>
        <rFont val="Arial"/>
        <family val="2"/>
      </rPr>
      <t xml:space="preserve">
</t>
    </r>
    <r>
      <rPr>
        <sz val="10"/>
        <color theme="1"/>
        <rFont val="Arial"/>
        <family val="2"/>
      </rPr>
      <t xml:space="preserve">-20 T 50 </t>
    </r>
    <r>
      <rPr>
        <sz val="10"/>
        <color theme="1"/>
        <rFont val="Arial"/>
        <family val="2"/>
      </rPr>
      <t xml:space="preserve">
</t>
    </r>
    <r>
      <rPr>
        <sz val="10"/>
        <color theme="1"/>
        <rFont val="Arial"/>
        <family val="2"/>
      </rPr>
      <t>Cấp bảo vệ: IP65/IP20</t>
    </r>
  </si>
  <si>
    <r>
      <t>Model: XMTJ-9000 hoặc tương đương</t>
    </r>
    <r>
      <rPr>
        <sz val="10"/>
        <color theme="1"/>
        <rFont val="Arial"/>
        <family val="2"/>
      </rPr>
      <t xml:space="preserve">
</t>
    </r>
    <r>
      <rPr>
        <sz val="10"/>
        <color theme="1"/>
        <rFont val="Arial"/>
        <family val="2"/>
      </rPr>
      <t>Nguồn cấp: 220VAC</t>
    </r>
  </si>
  <si>
    <r>
      <t>Model: S311A-4-L hoặc tương đương</t>
    </r>
    <r>
      <rPr>
        <sz val="11"/>
        <color theme="1"/>
        <rFont val="Arial"/>
        <family val="2"/>
      </rPr>
      <t xml:space="preserve">
</t>
    </r>
    <r>
      <rPr>
        <sz val="11"/>
        <color theme="1"/>
        <rFont val="Arial"/>
        <family val="2"/>
      </rPr>
      <t>Nguồn cấp (Power supply): 10-40VDC, 19028VAC, 50/60Hz, max 3W</t>
    </r>
    <r>
      <rPr>
        <sz val="11"/>
        <color theme="1"/>
        <rFont val="Arial"/>
        <family val="2"/>
      </rPr>
      <t xml:space="preserve">
</t>
    </r>
    <r>
      <rPr>
        <sz val="11"/>
        <color theme="1"/>
        <rFont val="Arial"/>
        <family val="2"/>
      </rPr>
      <t>Input: Pt100 (2,3,4 dây), cặp nhiệt điện (K, J, R, S, B, N), 4-20mA, 0-10V</t>
    </r>
    <r>
      <rPr>
        <sz val="11"/>
        <color theme="1"/>
        <rFont val="Arial"/>
        <family val="2"/>
      </rPr>
      <t xml:space="preserve">
</t>
    </r>
    <r>
      <rPr>
        <sz val="11"/>
        <color theme="1"/>
        <rFont val="Arial"/>
        <family val="2"/>
      </rPr>
      <t>Output: 4-20mA, 0-10V, relay</t>
    </r>
    <r>
      <rPr>
        <sz val="11"/>
        <color theme="1"/>
        <rFont val="Arial"/>
        <family val="2"/>
      </rPr>
      <t xml:space="preserve">
</t>
    </r>
    <r>
      <rPr>
        <sz val="11"/>
        <color theme="1"/>
        <rFont val="Arial"/>
        <family val="2"/>
      </rPr>
      <t>Hỗ trợ truyền thông Modbus RTU RS485</t>
    </r>
    <r>
      <rPr>
        <sz val="11"/>
        <color theme="1"/>
        <rFont val="Arial"/>
        <family val="2"/>
      </rPr>
      <t xml:space="preserve">
</t>
    </r>
    <r>
      <rPr>
        <sz val="11"/>
        <color theme="1"/>
        <rFont val="Arial"/>
        <family val="2"/>
      </rPr>
      <t>Kích thước: 96 x 48 x 98 mmmm</t>
    </r>
    <r>
      <rPr>
        <sz val="11"/>
        <color theme="1"/>
        <rFont val="Arial"/>
        <family val="2"/>
      </rPr>
      <t xml:space="preserve">
</t>
    </r>
    <r>
      <rPr>
        <sz val="11"/>
        <color theme="1"/>
        <rFont val="Arial"/>
        <family val="2"/>
      </rPr>
      <t>Sai số: 0,1%</t>
    </r>
  </si>
  <si>
    <r>
      <t>Mã sản phẩm (Article Number): 6EP1334-2BA20</t>
    </r>
    <r>
      <rPr>
        <sz val="11"/>
        <color theme="1"/>
        <rFont val="Arial"/>
        <family val="2"/>
      </rPr>
      <t xml:space="preserve">
</t>
    </r>
    <r>
      <rPr>
        <sz val="11"/>
        <color theme="1"/>
        <rFont val="Arial"/>
        <family val="2"/>
      </rPr>
      <t xml:space="preserve">Nguồn cấp (Power supply): 120/230 VAC, 50/60Hz </t>
    </r>
    <r>
      <rPr>
        <sz val="11"/>
        <color theme="1"/>
        <rFont val="Arial"/>
        <family val="2"/>
      </rPr>
      <t xml:space="preserve">
</t>
    </r>
    <r>
      <rPr>
        <sz val="11"/>
        <color theme="1"/>
        <rFont val="Arial"/>
        <family val="2"/>
      </rPr>
      <t>Ngõ ra (Output): 24 V DC/10 A</t>
    </r>
  </si>
  <si>
    <r>
      <t xml:space="preserve">Mã sản phẩm (Article Number): 6EP1437-3BA00 </t>
    </r>
    <r>
      <rPr>
        <sz val="10"/>
        <color theme="1"/>
        <rFont val="Arial"/>
        <family val="2"/>
      </rPr>
      <t xml:space="preserve">
</t>
    </r>
    <r>
      <rPr>
        <sz val="10"/>
        <color theme="1"/>
        <rFont val="Arial"/>
        <family val="2"/>
      </rPr>
      <t>Nguồn cấp (Power supply input): 3P, 400-500 VAC, 50/60Hz</t>
    </r>
    <r>
      <rPr>
        <sz val="10"/>
        <color theme="1"/>
        <rFont val="Arial"/>
        <family val="2"/>
      </rPr>
      <t xml:space="preserve">
</t>
    </r>
    <r>
      <rPr>
        <sz val="10"/>
        <color theme="1"/>
        <rFont val="Arial"/>
        <family val="2"/>
      </rPr>
      <t>Ngõ ra (Output): 24 VDC/40 A</t>
    </r>
    <r>
      <rPr>
        <sz val="10"/>
        <color theme="1"/>
        <rFont val="Arial"/>
        <family val="2"/>
      </rPr>
      <t xml:space="preserve">
</t>
    </r>
    <r>
      <rPr>
        <sz val="10"/>
        <color theme="1"/>
        <rFont val="Arial"/>
        <family val="2"/>
      </rPr>
      <t>(Hàng hóa mua sắm sử dụng cho dòng SITOP modular 40 A stabilized)</t>
    </r>
  </si>
  <si>
    <t>3.52.01.325.CHN.00.000</t>
  </si>
  <si>
    <r>
      <t>Mã sản phẩm (Part Number): 1X00781H01L</t>
    </r>
    <r>
      <rPr>
        <sz val="10"/>
        <color theme="1"/>
        <rFont val="Arial"/>
        <family val="2"/>
      </rPr>
      <t xml:space="preserve">
</t>
    </r>
    <r>
      <rPr>
        <sz val="10"/>
        <color theme="1"/>
        <rFont val="Arial"/>
        <family val="2"/>
      </rPr>
      <t>DIN-RAIL; 24VDC; 10A; REV:2</t>
    </r>
    <r>
      <rPr>
        <sz val="10"/>
        <color theme="1"/>
        <rFont val="Arial"/>
        <family val="2"/>
      </rPr>
      <t xml:space="preserve">
</t>
    </r>
    <r>
      <rPr>
        <sz val="10"/>
        <color theme="1"/>
        <rFont val="Arial"/>
        <family val="2"/>
      </rPr>
      <t>Input: AC 100~240V (± 15%); 2.8-1.2A, 50-60Hz. DC: 110~150V (-20% +25%), 2.41.9A.</t>
    </r>
    <r>
      <rPr>
        <sz val="10"/>
        <color theme="1"/>
        <rFont val="Arial"/>
        <family val="2"/>
      </rPr>
      <t xml:space="preserve">
</t>
    </r>
    <r>
      <rPr>
        <sz val="10"/>
        <color theme="1"/>
        <rFont val="Arial"/>
        <family val="2"/>
      </rPr>
      <t>Output: DC: 24~28V; 10-9A continuous 15-13.5A for 4 seconds</t>
    </r>
  </si>
  <si>
    <t>3.51.02.170.CHN.00.000</t>
  </si>
  <si>
    <r>
      <t>Mã sản phẩm (Part Number): 5X00489G01 REV 04.</t>
    </r>
    <r>
      <rPr>
        <sz val="11"/>
        <color theme="1"/>
        <rFont val="Arial"/>
        <family val="2"/>
      </rPr>
      <t xml:space="preserve">
</t>
    </r>
    <r>
      <rPr>
        <sz val="11"/>
        <color theme="1"/>
        <rFont val="Arial"/>
        <family val="2"/>
      </rPr>
      <t>W.0# TM0031092</t>
    </r>
  </si>
  <si>
    <t>3.65.01.547.CHN.00.000</t>
  </si>
  <si>
    <r>
      <t>Model: VT3000-37</t>
    </r>
    <r>
      <rPr>
        <sz val="10"/>
        <color theme="1"/>
        <rFont val="Arial"/>
        <family val="2"/>
      </rPr>
      <t xml:space="preserve">
</t>
    </r>
    <r>
      <rPr>
        <sz val="10"/>
        <color theme="1"/>
        <rFont val="Arial"/>
        <family val="2"/>
      </rPr>
      <t>MNR: R900020298</t>
    </r>
  </si>
  <si>
    <t>Article Number: 6ES7195-7HD10-0XA0</t>
  </si>
  <si>
    <t>3.51.01.268.GER.00.000</t>
  </si>
  <si>
    <r>
      <t>Model: WS1521G</t>
    </r>
    <r>
      <rPr>
        <sz val="10"/>
        <color theme="1"/>
        <rFont val="Arial"/>
        <family val="2"/>
      </rPr>
      <t xml:space="preserve">
</t>
    </r>
    <r>
      <rPr>
        <sz val="10"/>
        <color theme="1"/>
        <rFont val="Arial"/>
        <family val="2"/>
      </rPr>
      <t>Input: 4-20mA</t>
    </r>
    <r>
      <rPr>
        <sz val="10"/>
        <color theme="1"/>
        <rFont val="Arial"/>
        <family val="2"/>
      </rPr>
      <t xml:space="preserve">
</t>
    </r>
    <r>
      <rPr>
        <sz val="10"/>
        <color theme="1"/>
        <rFont val="Arial"/>
        <family val="2"/>
      </rPr>
      <t>Output: 0-10VDC</t>
    </r>
  </si>
  <si>
    <r>
      <t>Mã sản phẩm (Article Number): 6ES7 321-1BL00-0AA0</t>
    </r>
    <r>
      <rPr>
        <sz val="10"/>
        <color theme="1"/>
        <rFont val="Arial"/>
        <family val="2"/>
      </rPr>
      <t xml:space="preserve">
</t>
    </r>
    <r>
      <rPr>
        <sz val="10"/>
        <color theme="1"/>
        <rFont val="Arial"/>
        <family val="2"/>
      </rPr>
      <t>Ngõ vào số (Digital Inputs): 32 (24VDC)</t>
    </r>
  </si>
  <si>
    <r>
      <t>Mã sản phẩm (Article Number): 6ES7 322-1HH01-0AA0</t>
    </r>
    <r>
      <rPr>
        <sz val="10"/>
        <color theme="1"/>
        <rFont val="Arial"/>
        <family val="2"/>
      </rPr>
      <t xml:space="preserve">
</t>
    </r>
    <r>
      <rPr>
        <sz val="10"/>
        <color theme="1"/>
        <rFont val="Arial"/>
        <family val="2"/>
      </rPr>
      <t>Ngõ ra số (Digital Outputs): 16 (Relay)</t>
    </r>
  </si>
  <si>
    <t>Mã sản phẩm (Model): TM3DM8R</t>
  </si>
  <si>
    <r>
      <t>Mã sản phẩm: G7E-DR20A</t>
    </r>
    <r>
      <rPr>
        <sz val="10"/>
        <color theme="1"/>
        <rFont val="Arial"/>
        <family val="2"/>
      </rPr>
      <t xml:space="preserve">
</t>
    </r>
    <r>
      <rPr>
        <sz val="10"/>
        <color theme="1"/>
        <rFont val="Arial"/>
        <family val="2"/>
      </rPr>
      <t>Ngõ vào số (Digital Inputs): 24 (24 VDC)</t>
    </r>
    <r>
      <rPr>
        <sz val="10"/>
        <color theme="1"/>
        <rFont val="Arial"/>
        <family val="2"/>
      </rPr>
      <t xml:space="preserve">
</t>
    </r>
    <r>
      <rPr>
        <sz val="10"/>
        <color theme="1"/>
        <rFont val="Arial"/>
        <family val="2"/>
      </rPr>
      <t>Ngõ ra số (Digital Outputs): 8 (Relay)</t>
    </r>
  </si>
  <si>
    <t>5.35.70.048.CHN.02.000</t>
  </si>
  <si>
    <r>
      <t>Mã sản phẩm: K7M-DR60U/DC</t>
    </r>
    <r>
      <rPr>
        <sz val="10"/>
        <color theme="1"/>
        <rFont val="Arial"/>
        <family val="2"/>
      </rPr>
      <t xml:space="preserve">
</t>
    </r>
    <r>
      <rPr>
        <sz val="10"/>
        <color theme="1"/>
        <rFont val="Arial"/>
        <family val="2"/>
      </rPr>
      <t>Nguồn cấp (Power Supply): 24VDC</t>
    </r>
    <r>
      <rPr>
        <sz val="10"/>
        <color theme="1"/>
        <rFont val="Arial"/>
        <family val="2"/>
      </rPr>
      <t xml:space="preserve">
</t>
    </r>
    <r>
      <rPr>
        <sz val="10"/>
        <color theme="1"/>
        <rFont val="Arial"/>
        <family val="2"/>
      </rPr>
      <t>Ngõ vào số (Digital Inputs): 36 (24 VDC)</t>
    </r>
    <r>
      <rPr>
        <sz val="10"/>
        <color theme="1"/>
        <rFont val="Arial"/>
        <family val="2"/>
      </rPr>
      <t xml:space="preserve">
</t>
    </r>
    <r>
      <rPr>
        <sz val="10"/>
        <color theme="1"/>
        <rFont val="Arial"/>
        <family val="2"/>
      </rPr>
      <t>Ngõ ra số (Digital Outputs): 24 (Relay)</t>
    </r>
  </si>
  <si>
    <r>
      <t>Mã sản phẩm (Article Number): 6ES7216-2AD23-0XB8</t>
    </r>
    <r>
      <rPr>
        <sz val="10"/>
        <color theme="1"/>
        <rFont val="Arial"/>
        <family val="2"/>
      </rPr>
      <t xml:space="preserve">
</t>
    </r>
    <r>
      <rPr>
        <sz val="10"/>
        <color theme="1"/>
        <rFont val="Arial"/>
        <family val="2"/>
      </rPr>
      <t>Nguồn cấp (Power Supply): 24 VDC</t>
    </r>
    <r>
      <rPr>
        <sz val="10"/>
        <color theme="1"/>
        <rFont val="Arial"/>
        <family val="2"/>
      </rPr>
      <t xml:space="preserve">
</t>
    </r>
    <r>
      <rPr>
        <sz val="10"/>
        <color theme="1"/>
        <rFont val="Arial"/>
        <family val="2"/>
      </rPr>
      <t>Ngõ vào số (Digital Inputs): 24 (24 VDC)</t>
    </r>
    <r>
      <rPr>
        <sz val="10"/>
        <color theme="1"/>
        <rFont val="Arial"/>
        <family val="2"/>
      </rPr>
      <t xml:space="preserve">
</t>
    </r>
    <r>
      <rPr>
        <sz val="10"/>
        <color theme="1"/>
        <rFont val="Arial"/>
        <family val="2"/>
      </rPr>
      <t>Ngõ ra số (Digital Outputs): 16 (Transistor)</t>
    </r>
  </si>
  <si>
    <r>
      <t>Mã sản phẩm (Model): TM221C16R</t>
    </r>
    <r>
      <rPr>
        <sz val="10"/>
        <color theme="1"/>
        <rFont val="Arial"/>
        <family val="2"/>
      </rPr>
      <t xml:space="preserve">
</t>
    </r>
    <r>
      <rPr>
        <sz val="10"/>
        <color theme="1"/>
        <rFont val="Arial"/>
        <family val="2"/>
      </rPr>
      <t>Nguồn cấp (Power Supply): 100-240VAC</t>
    </r>
    <r>
      <rPr>
        <sz val="10"/>
        <color theme="1"/>
        <rFont val="Arial"/>
        <family val="2"/>
      </rPr>
      <t xml:space="preserve">
</t>
    </r>
    <r>
      <rPr>
        <sz val="10"/>
        <color theme="1"/>
        <rFont val="Arial"/>
        <family val="2"/>
      </rPr>
      <t>Ngõ vào số (Digital Inputs): 9 (24 VDC)</t>
    </r>
    <r>
      <rPr>
        <sz val="10"/>
        <color theme="1"/>
        <rFont val="Arial"/>
        <family val="2"/>
      </rPr>
      <t xml:space="preserve">
</t>
    </r>
    <r>
      <rPr>
        <sz val="10"/>
        <color theme="1"/>
        <rFont val="Arial"/>
        <family val="2"/>
      </rPr>
      <t>Ngõ ra số (Digital Outputs): 7 (Relay)</t>
    </r>
  </si>
  <si>
    <r>
      <t>Mã sản phẩm (Model): TM221C24R</t>
    </r>
    <r>
      <rPr>
        <sz val="10"/>
        <color theme="1"/>
        <rFont val="Arial"/>
        <family val="2"/>
      </rPr>
      <t xml:space="preserve">
</t>
    </r>
    <r>
      <rPr>
        <sz val="10"/>
        <color theme="1"/>
        <rFont val="Arial"/>
        <family val="2"/>
      </rPr>
      <t>Nguồn cấp (Power Supply): 100-240VAC</t>
    </r>
    <r>
      <rPr>
        <sz val="10"/>
        <color theme="1"/>
        <rFont val="Arial"/>
        <family val="2"/>
      </rPr>
      <t xml:space="preserve">
</t>
    </r>
    <r>
      <rPr>
        <sz val="10"/>
        <color theme="1"/>
        <rFont val="Arial"/>
        <family val="2"/>
      </rPr>
      <t>Ngõ vào số (Digital Inputs): 14 (24 VDC)</t>
    </r>
    <r>
      <rPr>
        <sz val="10"/>
        <color theme="1"/>
        <rFont val="Arial"/>
        <family val="2"/>
      </rPr>
      <t xml:space="preserve">
</t>
    </r>
    <r>
      <rPr>
        <sz val="10"/>
        <color theme="1"/>
        <rFont val="Arial"/>
        <family val="2"/>
      </rPr>
      <t>Ngõ ra số (Digital Outputs): 10 (Relay)</t>
    </r>
  </si>
  <si>
    <t>3.70.01.182.CHN.00.000</t>
  </si>
  <si>
    <r>
      <t>Mã sản phẩm (Model): TM221C40R</t>
    </r>
    <r>
      <rPr>
        <sz val="10"/>
        <color theme="1"/>
        <rFont val="Arial"/>
        <family val="2"/>
      </rPr>
      <t xml:space="preserve">
</t>
    </r>
    <r>
      <rPr>
        <sz val="10"/>
        <color theme="1"/>
        <rFont val="Arial"/>
        <family val="2"/>
      </rPr>
      <t>Nguồn cấp (Power Supply): 100-240VAC</t>
    </r>
    <r>
      <rPr>
        <sz val="10"/>
        <color theme="1"/>
        <rFont val="Arial"/>
        <family val="2"/>
      </rPr>
      <t xml:space="preserve">
</t>
    </r>
    <r>
      <rPr>
        <sz val="10"/>
        <color theme="1"/>
        <rFont val="Arial"/>
        <family val="2"/>
      </rPr>
      <t>Ngõ vào số (Digital Inputs): 24 (24 VDC)</t>
    </r>
    <r>
      <rPr>
        <sz val="10"/>
        <color theme="1"/>
        <rFont val="Arial"/>
        <family val="2"/>
      </rPr>
      <t xml:space="preserve">
</t>
    </r>
    <r>
      <rPr>
        <sz val="10"/>
        <color theme="1"/>
        <rFont val="Arial"/>
        <family val="2"/>
      </rPr>
      <t>Ngõ ra số (Digital Outputs): 16 (14 Relay + 02 Transistor)</t>
    </r>
  </si>
  <si>
    <t>3.50.91.705.CHN.00.000</t>
  </si>
  <si>
    <t>Mã sản phẩm (Part Number): EM 1C31203G01</t>
  </si>
  <si>
    <t>Mã sản phẩm (Part Number): 1P00028G01 (Rev.09)</t>
  </si>
  <si>
    <r>
      <t>Mã sản phẩm (Article Number): 6ES7223-1PL32-0XB0</t>
    </r>
    <r>
      <rPr>
        <sz val="10"/>
        <color theme="1"/>
        <rFont val="Arial"/>
        <family val="2"/>
      </rPr>
      <t xml:space="preserve">
</t>
    </r>
    <r>
      <rPr>
        <sz val="10"/>
        <color theme="1"/>
        <rFont val="Arial"/>
        <family val="2"/>
      </rPr>
      <t>Ngõ vào số (Digital Inputs): 16 (24 VDC)</t>
    </r>
    <r>
      <rPr>
        <sz val="10"/>
        <color theme="1"/>
        <rFont val="Arial"/>
        <family val="2"/>
      </rPr>
      <t xml:space="preserve">
</t>
    </r>
    <r>
      <rPr>
        <sz val="10"/>
        <color theme="1"/>
        <rFont val="Arial"/>
        <family val="2"/>
      </rPr>
      <t>Ngõ ra số (Digital Outputs): 16 (Relay)</t>
    </r>
  </si>
  <si>
    <t>Mã sản phẩm (Part Number): 1C31194G01</t>
  </si>
  <si>
    <t>Mã sản phẩm (Part Number): 1C31197G01 REV07</t>
  </si>
  <si>
    <t>Lọc dầu hồi trục vít máy nén khí Ingersoll Rand:  08 cái thay cho MNK 2, 4, D, J</t>
  </si>
  <si>
    <t>Lọc tách dầu Oil Separator Filter Mã SS4743L : 01 cái thay cho MNK 4</t>
  </si>
  <si>
    <t xml:space="preserve"> Dầu Total Carter EP 460 </t>
  </si>
  <si>
    <t>Dầu bôi trơn HGT vòi thổi bụi Lò hơi, HGT xích cào làm sạch máy cấp, HGT vòi thổi bụi GGH</t>
  </si>
  <si>
    <t>Bổ sung cho các bơm định lượng hóa chất, quạt XLNHH, XLNT: không đề xuất</t>
  </si>
  <si>
    <t>Dầu bôi tởn HGT băng tải máy cấp than nguyên</t>
  </si>
  <si>
    <t>Vũ Văn Tiến trả phiếu</t>
  </si>
  <si>
    <t>Acetone 
 Quy cách: 500ml/chai</t>
  </si>
  <si>
    <t>Bàn chải sắt 7 hàng (12x35x240mm, sợi cước 15mm)</t>
  </si>
  <si>
    <t>Keo dán đa năng siêu dính chống nước công nghệ Nhật Bản, kết dính được hầu hết các loại vật liệu.</t>
  </si>
  <si>
    <t>Model: Sikaflex 134 
Keo trám khe kết dính đàn hồi cao đa công dụng, gốc PUR.
Keo bám dính tốt trên bề mặt bê tông, gạch, vữa, gỗ, kim loại, kính và nhựa một cách nhanh chóng dễ dàng và mang lại hiệu quả cao</t>
  </si>
  <si>
    <t xml:space="preserve">Keo Vá Tường Chống Thấm LKB 250gr 
Trám Trét Vết Nứt Khe Hở Tường - Chống Mốc Ẩm Làm Sạch Tường
Kích thước: 60 x 180 mm
Trọng lượng: 250g
Hạn sử dụng : 4 năm.
Bảo hành chất lượng trong 12 tháng.
Bộ sản phẩm bao gồm: 1 chai keo, 1 đầu xịt keo, 1 cọ trám. </t>
  </si>
  <si>
    <t>Dung tích 40 lít
Chất lượng: 99,93%
Chai nạp 22Kg</t>
  </si>
  <si>
    <t>Dung tích 40 lít
Nồng độ: 99,95%
Áp suất: 150Bar; Chai 6m3</t>
  </si>
  <si>
    <t>Quần áo chống hóa chất</t>
  </si>
  <si>
    <t>Thành phần: Sợi thuỷ tinh</t>
  </si>
  <si>
    <t>Cleaning Sponge Balls:
 - Ball materia: Rubber
- Φ: 32mm
- Ball hardness: 35A</t>
  </si>
  <si>
    <t>Tấm nhôm ALU
Kích cở: 1220 x 2400 x 3mm
Lớp nhựa: Nhựa chống cháy</t>
  </si>
  <si>
    <t>8.35.65.027.VIE.00.000</t>
  </si>
  <si>
    <t>1.26.86.008.VIE.00.000</t>
  </si>
  <si>
    <t>8.90.22.061.CHN.01.000</t>
  </si>
  <si>
    <t>4.84.24.058.VIE.00.000</t>
  </si>
  <si>
    <t>Bản lề lá, inox 304; Kích thước 73x23 mm; Dày 1,2 mm;</t>
  </si>
  <si>
    <t>8.35.55.004.VIE.00.000</t>
  </si>
  <si>
    <t>Can nhựa 30 lít</t>
  </si>
  <si>
    <t>4.90.01.467.CHN.00.000</t>
  </si>
  <si>
    <t>4.90.01.156.VIE.00.000</t>
  </si>
  <si>
    <t>4.90.01.468.JPN.00.000</t>
  </si>
  <si>
    <t>2.80.10.006.CHN.00.000</t>
  </si>
  <si>
    <t>Tấm nhôm ALU, Kích cở: 1220 x 2400 x 3mm, Lớp nhựa: Nhựa chống cháy</t>
  </si>
  <si>
    <t>Vít bắn tôn đầu lục giác M6x50mm mạ kẽm</t>
  </si>
  <si>
    <t>4.61.06.096.VIE.00.000</t>
  </si>
  <si>
    <t>4.61.06.097.VIE.00.000</t>
  </si>
  <si>
    <t>Vít bắn tôn đầu lục giác, Mạ kẽm nhúng nóng BTEKS 12- 4X20HGS, có lưỡi khoan Ø6,5x20mm</t>
  </si>
  <si>
    <t>4.69.35.038.VIE.00.000</t>
  </si>
  <si>
    <t>Vít bắn tole đuôi én đầu dù, 20mm</t>
  </si>
  <si>
    <t>ko thấy</t>
  </si>
  <si>
    <t xml:space="preserve">Vật tư tiêu hao phục vụ sản xuất </t>
  </si>
  <si>
    <t>THÁNG 5 NĂM 2026</t>
  </si>
  <si>
    <t>Theo kế hoạch sửa chữa Tháng 5 năm 2026</t>
  </si>
  <si>
    <t>Thay lọc gió máy lọc dầu EH di động Hy-pro</t>
  </si>
  <si>
    <t>Lọc gió, Filter Element type: HY-PRO HP-12MB</t>
  </si>
  <si>
    <t>1.61.86.344.VIE.00.000</t>
  </si>
  <si>
    <t>1.61.86.345.VIE.00.000</t>
  </si>
  <si>
    <t>Acetone mã hiệu: - Quy cách: 500ml/chai</t>
  </si>
  <si>
    <t>1.31.03.060.USA.01.000</t>
  </si>
  <si>
    <t>Dầu AIR TECH MAX 2000</t>
  </si>
  <si>
    <t>Thay mới dầu bơm chân không lọc dầu di động EH HY-PRO</t>
  </si>
  <si>
    <t>4.88.46.105.CHN.02.000</t>
  </si>
  <si>
    <t>Ống khí nén N10ME; Đk ngoài: 10mm; Đk trong: 8mm; Chất liệu: Nylon; Áp lực việc: 225psi</t>
  </si>
  <si>
    <t>Thông thổi đường xung transmitter khu vực FGD DH1</t>
  </si>
  <si>
    <t>Trần Văn Đồi</t>
  </si>
  <si>
    <t>Thay lọc dầu hồi MNK thu tro B, E, F</t>
  </si>
  <si>
    <t>Thay lọc tách dầu MNK thu tro B, E, F</t>
  </si>
  <si>
    <t>Thay lọc khí đầu vào MNK thu tro B, E, F</t>
  </si>
  <si>
    <t>Thay lọc axit cho máy máy lọc dầu EH di động Hy-Pro</t>
  </si>
  <si>
    <t>Động cơ vần trục máy nghiền, HGT phân ly máy nghiền. HGT bơm rửa cao áp GGH</t>
  </si>
  <si>
    <t>Nhớt làm mát máy nén khí Ultra coolant Ingersoll Rand:  dự phòng tại chỗ (40 lít).</t>
  </si>
  <si>
    <t>Theo kế hoạch sửa chữa Tháng 6 năm 2026</t>
  </si>
  <si>
    <t>THÁNG 6 NĂM 2026</t>
  </si>
  <si>
    <t>3.30.14.094.VIE.00.000</t>
  </si>
  <si>
    <t>Cầu chì 4A</t>
  </si>
  <si>
    <t>3.30.14.106.CHN.00.000</t>
  </si>
  <si>
    <t>Cầu chì ống 10 A</t>
  </si>
  <si>
    <t>3.50.40.259.MAL.00.000</t>
  </si>
  <si>
    <t>Relay trung gian G2R-1-S(S);OMRON 24VDC 10A 250VAC 10A 30VDC; NSX: OMRON</t>
  </si>
  <si>
    <t>3.50.43.118.POL.00.000</t>
  </si>
  <si>
    <t>Relay Model: 1SVR405611R1100, ABB 24VDC, CR-M024DC2L, 1382 1SVR 405 611 R1100, NSX: ABB</t>
  </si>
  <si>
    <t>SCTX hệ thống điều khiển NMNĐ Duyên Hải 1.</t>
  </si>
  <si>
    <t>3.65.01.290.CHN.02.000</t>
  </si>
  <si>
    <t>AI (Analog Input) Analog Input module (14-Bit);PM: 1C31227G01; NSX: Emerson</t>
  </si>
  <si>
    <t>3.96.40.263.CHN.00.000</t>
  </si>
  <si>
    <t>Đầu ra Analog 1C31129G03, 1C31132G01</t>
  </si>
  <si>
    <t>3.50.90.510.JPN.00.000</t>
  </si>
  <si>
    <t>Rơ le chốt DC MM4XP, hãng Omron</t>
  </si>
  <si>
    <t>3.50.91.380.CHN.00.000</t>
  </si>
  <si>
    <t>Module 2 diode (Dual diode module) MDC 130-16</t>
  </si>
  <si>
    <t>3.52.01.343.GER.00.000</t>
  </si>
  <si>
    <t>Bộ nguồn SiTop 6EP1437 - 3BA00; INPUT 400-500VAC/ OUTPUT 24VDC/40A</t>
  </si>
  <si>
    <t>3.51.01.132.GER.00.000</t>
  </si>
  <si>
    <t>Bộ nguồn Mã sản phẩm (Article Number): 6ES7307-1EA01-0AA0; Regulated power supply PS307.</t>
  </si>
  <si>
    <t>3.80.89.709.GER.00.000</t>
  </si>
  <si>
    <t>Bộ nguồn Mã sản phẩm (Article Number): 6EP1437-3BA00; (Power supply): 3AC 400-500V/Max 6.2A/50-60Hz; (Output): DC 24V/40A</t>
  </si>
  <si>
    <t>Bộ đàm</t>
  </si>
  <si>
    <t>Dụng cụ gạt nước</t>
  </si>
  <si>
    <t>Giá đỡ bình khí công nghiệp</t>
  </si>
  <si>
    <t>Kìm gia cường sợi thủy tinh</t>
  </si>
  <si>
    <t>Máy cấp nguồn đa năng</t>
  </si>
  <si>
    <t>Máy cắt cỏ</t>
  </si>
  <si>
    <t>Máy đo độ rung</t>
  </si>
  <si>
    <t>Máy đo khí NH3 cầm tay</t>
  </si>
  <si>
    <t>Máy đục bê tông</t>
  </si>
  <si>
    <t>Máy hút bụi lau sàn không dây</t>
  </si>
  <si>
    <t>Máy Khoan Bàn</t>
  </si>
  <si>
    <t>Máy khoan pin</t>
  </si>
  <si>
    <t>Máy rửa xe bằng pin</t>
  </si>
  <si>
    <t>Máy thổi bụi</t>
  </si>
  <si>
    <t>Máy thổi nóng dùng pin</t>
  </si>
  <si>
    <t>Nhiệt Ẩm Kế treo tường</t>
  </si>
  <si>
    <t>Rulo điện</t>
  </si>
  <si>
    <t>Súng đo nhiệt độ hồng ngoại</t>
  </si>
  <si>
    <t>Thang nhôm gấp</t>
  </si>
  <si>
    <t>Xe cải tiến bánh hơi</t>
  </si>
  <si>
    <t>Xe đẩy</t>
  </si>
  <si>
    <t>Xe nâng tay</t>
  </si>
  <si>
    <t>Máy phát hiện khí gas</t>
  </si>
  <si>
    <t>Cấp phát công cụ dụng cụ 2025</t>
  </si>
  <si>
    <t>THÁNG 7 NĂM 2026</t>
  </si>
  <si>
    <t>Theo kế hoạch sửa chữa Tháng 7 năm 2026</t>
  </si>
  <si>
    <t>Dầu Total Preslia 32</t>
  </si>
  <si>
    <t>Lọc dầu Fuel filter C02773</t>
  </si>
  <si>
    <t>5.17.30.381.CHN.00.000</t>
  </si>
  <si>
    <t>Lọc nhớt bypass MF Diesel Bypass filter Part No 37540-02100</t>
  </si>
  <si>
    <t>Lõi lọc Model 0160D025W/H. Loại lọc: DF W/HC 160 TE 25C 11/B6(1305789)</t>
  </si>
  <si>
    <t>5.17.30.397.CHN.00.000</t>
  </si>
  <si>
    <t>Lõi lọc dầu Model: SO3203 Dimensions: OD131.3*H265.5mm, Filtration rating: 149µm</t>
  </si>
  <si>
    <t>5.17.30.398.CHN.00.000</t>
  </si>
  <si>
    <t>Lõi lọc dầuModel: SO0201 Dimensions: OD45xID28xH210mm, Filtration rating: 10µm</t>
  </si>
  <si>
    <t>Thay lọc nhiên liệu động cơ Diesel</t>
  </si>
  <si>
    <t>Thay lọc nhớt bypass MF Diesel</t>
  </si>
  <si>
    <t>Thay lọc đầu thoát bơm rửa HP GGH FGD DH1</t>
  </si>
  <si>
    <t>Thay lọc đầu hút bơm dầu EH</t>
  </si>
  <si>
    <t>Thay lọc EH vào cơ cấu chấp hành</t>
  </si>
  <si>
    <t xml:space="preserve">Lọc dầu trạm dầu bôi trơn hộp giảm tốc chính Máy nghiền DH1, </t>
  </si>
  <si>
    <t>5.17.30.400.CHN.00.000
5.17.80.216.ITA.00.000</t>
  </si>
  <si>
    <t>Lõi lọc dầu Model: FHB3202SVF1A03NP01, Filter element: HP3202A03VNP01, Filtration rating: 03µm</t>
  </si>
  <si>
    <t>5.17.80.217.CHN.00.000</t>
  </si>
  <si>
    <t>Lõi lọc dầuModel: MPF1842VF1A03HBP01; Filter element: MF1802A03HVP01</t>
  </si>
  <si>
    <t>5.17.30.295.CHN.00.000
5.17.30.401.CHN.00.000</t>
  </si>
  <si>
    <t xml:space="preserve">Lõi lọc dầu Model: SFX 240x20 Filtration rating: 20µm
Lõi lọc dầu Model: SO-240x20; Dimensions: OD73.5xID34.2xH203mm; Filtration precision: 20µm
</t>
  </si>
  <si>
    <t>5.17.30.402.CHN.00.000</t>
  </si>
  <si>
    <t>Lõi lọc dầuModel: SO5540; Dimensions: OD160xID60xH500mm</t>
  </si>
  <si>
    <t>Thay lọc đầu thoát bơm dầu EH</t>
  </si>
  <si>
    <t xml:space="preserve">Thay lọc đầu hút bơm dầu LP/Trạm dầu LP/HP máy nghiền DH1 </t>
  </si>
  <si>
    <t>Lọc tái tuần hoàn bơm dầu EH</t>
  </si>
  <si>
    <t>Lọc dầu đầu thoát bơm dầu LP/Trạm dầu LP/HP máy nghiền DH1</t>
  </si>
  <si>
    <t>Lọc dầu bơm dầu bẩn nhà dầu 300</t>
  </si>
  <si>
    <t>Lọc gió bồn dầu EH</t>
  </si>
  <si>
    <t>5.17.30.406.CHN.00.000</t>
  </si>
  <si>
    <t>LọcModel: SO2458; Dimensions: OD58*ID32.2*H249mm; Filtration precision: 10µm</t>
  </si>
  <si>
    <t>5.17.30.407.CHN.00.000</t>
  </si>
  <si>
    <t>Lõi lọc dầuModel: SO2015; Dimensions: OD114xID68.5xH412mm; Filtration precision: 20µm</t>
  </si>
  <si>
    <t>Lọc tách dầu Oil Separator Filter Mã SS4743L</t>
  </si>
  <si>
    <t>5.17.30.210.CHN.03.000</t>
  </si>
  <si>
    <t>Lõi lọc dầu, Mã bộ lọc P/N HH8314F40KTXAM1, Mã lõi lọc HC8314FKT39H, Áp suất 400psi.</t>
  </si>
  <si>
    <t xml:space="preserve">Trạm dầu dẫn động xích cào SSC - DH1
</t>
  </si>
  <si>
    <t>Hệ thống dầu kích trục Turbine chính DH1 đầu hút bơm</t>
  </si>
  <si>
    <t>Thay lọc tách dầu MNK #3</t>
  </si>
  <si>
    <t>Thay lọc dầu hồi MNK thu tro #1, #2, #3</t>
  </si>
  <si>
    <t>Thay lọc khí đầu vào MNK #3</t>
  </si>
  <si>
    <t xml:space="preserve">Thay lọc dầu chèn S1, S2 </t>
  </si>
  <si>
    <t>Thay lọc dầu bôi trơn BFPT S1, S2</t>
  </si>
  <si>
    <t>1.61.86.718.GER.01.000</t>
  </si>
  <si>
    <t>Hạt nhựa cation Lewatit® MonoPlus S108 H</t>
  </si>
  <si>
    <t>1.61.86.729.GER.01.000</t>
  </si>
  <si>
    <t>Hạt nhựa anion Lewatit® MonoPlus M 800</t>
  </si>
  <si>
    <t>viên</t>
  </si>
  <si>
    <t>5.17.20.081.CHN.00.000
5.17.20.081.USA.01.000</t>
  </si>
  <si>
    <t>5.17.80.212.CHN.00.000
5.17.80.212.CZE.00.000</t>
  </si>
  <si>
    <t>Lõi Lọc dầu trạm dầu bôi trơn điều khiển quạt PAF, FDF- DH1, Model: 22PD220QBT1KG161, Filter element: Parker-G01938Q, Filtration rating: 20µm
Lõi lọc thủy lực cho bộ lọc dầu Duplex Filter 22PD; KT: 60x245mm</t>
  </si>
  <si>
    <t>5.17.20.095.CHN.01.000
5.17.20.095.CHN.02.000</t>
  </si>
  <si>
    <t>5.17.80.218.VIE.00.000</t>
  </si>
  <si>
    <t>Bộ lọc từ nam châm thanh
- Nam châm Kích thước: D25x90mm
- Lực từ: 8000 - 9000Gauss 
- Được bắt cố định một đầu trên thanh inox KT 25x180mm</t>
  </si>
  <si>
    <t>t7</t>
  </si>
  <si>
    <t>Động cơ vần trục máy nghiền, HGT phân ly máy nghiền 
HGT bơm rửa cao áp GGH</t>
  </si>
  <si>
    <t>3.65.01.775.GER.00.000</t>
  </si>
  <si>
    <t>Card điều khiển Model: VT3000-37 MNR: R900020298</t>
  </si>
  <si>
    <t>5.35.85.238.GER.00.000</t>
  </si>
  <si>
    <t>Mô đun truyền thông, Mã hiệu: 6ES7153-2BA10-0XB0</t>
  </si>
  <si>
    <t>3.50.91.046.CHN.00.000</t>
  </si>
  <si>
    <t>3.50.94.323.GER.00.000	B</t>
  </si>
  <si>
    <t>Model: RWF40.000A97 hoặc tương đương.
Điện áp làm việc: AC110…240V; 48...63HZ 10VA
Relais 1..4 240V 2A
CosPhi &gt; 0,6
-20 T 50 
Cấp bảo vệ: IP65/IP20</t>
  </si>
  <si>
    <t>3.51.02.510.CHN.00.000</t>
  </si>
  <si>
    <t>Bộ điều khiển nhiệt độ Model: XMTJ-9000; Nguồn cấp: 220VAC</t>
  </si>
  <si>
    <t>3.51.02.517.ITA.00.000</t>
  </si>
  <si>
    <t>Bộ hiển thị đa năng Model: S311A-4-L; (Power supply): 10-40VDC, 19028VAC, 50/60Hz, max 3W; Kích thước: 96 x 48 x 98 mmmm; Sai số: 0,1%</t>
  </si>
  <si>
    <t>3.50.91.049.GER.01.000</t>
  </si>
  <si>
    <t>Đế cắm module PLC Article Number: 6ES7195-7HD10-0XA0</t>
  </si>
  <si>
    <t>3.50.94.324.CHN.00.000</t>
  </si>
  <si>
    <t>Bộ chuyển đổi tín hiệu: Model: WS1521G; Input: 4-20mA; Output: 0-10VDC</t>
  </si>
  <si>
    <t>3.51.01.139.GER.00.000</t>
  </si>
  <si>
    <t>PLC Mã sản phẩm (Article Number): 6ES7216-2AD23-0XB8</t>
  </si>
  <si>
    <t>3.50.91.157.CHN.00.000</t>
  </si>
  <si>
    <t>Module ngõ vào, ra Mã sản phẩm: G7E-DR20A; Ngõ vào số (Digital Inputs): 24 (24 VDC); Ngõ ra số (Digital Outputs): 8 (Relay)</t>
  </si>
  <si>
    <t>3.51.01.136.CHN.00.000</t>
  </si>
  <si>
    <t>PLC Mã sản phẩm: K7M-DR30UE</t>
  </si>
  <si>
    <t>3.51.01.137.CHN.00.000</t>
  </si>
  <si>
    <t>PLC Mã sản phẩm: K7M-DR60U/DC</t>
  </si>
  <si>
    <t>Keo Vá Tường Chống Thấm LKB 250gr</t>
  </si>
  <si>
    <t>3.20.84.519.CHN.12.000</t>
  </si>
  <si>
    <t>Đầu cos pin dẹp 5.5-14 (mỗi bịch 100 cái); Knipex</t>
  </si>
  <si>
    <t>Chiếc</t>
  </si>
  <si>
    <t>3.30.14.315.CHN.00.000</t>
  </si>
  <si>
    <t>Cầu chì 5 x 20mm; 1,25 AT 250V</t>
  </si>
  <si>
    <t>4.20.78.077.VIE.00.000</t>
  </si>
  <si>
    <t>Tấm Mica Trong, Kích thuớc: 1220mm x 2440mm x 5mm</t>
  </si>
  <si>
    <t>3.15.97.439.VIE.00.000</t>
  </si>
  <si>
    <t>Cáp điện Cadivi CVV 2x1.5mm2,  300/500V</t>
  </si>
  <si>
    <t>3.97.35.191.CHN.00.000</t>
  </si>
  <si>
    <t>Quạt rút khí tủ điều khiển, Model: DP200A; P/N2123HSL; Điện áp: 220-240VAC; Tần số: 50/60Hz; Dòng điện: 0.14A;</t>
  </si>
  <si>
    <t>3.97.35.267.CHN.00.000</t>
  </si>
  <si>
    <t>Quạt làm mát tủ điện; Model: F2E-220B-230; Kích thước: Ø220x60mm</t>
  </si>
  <si>
    <t>3.97.35.263.CHN.00.000</t>
  </si>
  <si>
    <t>Quạt làm mát; Model: F2E-260B-230</t>
  </si>
  <si>
    <t>3.70.01.415.CHN.00.000</t>
  </si>
  <si>
    <t>Quạt làm mát Model: FP-108 EX-S1-B</t>
  </si>
  <si>
    <t>3.97.35.131.CHN.00.000</t>
  </si>
  <si>
    <t>Quạt Sunon KDE 2412PMBI1-6A 24VDC</t>
  </si>
  <si>
    <t>SCTX hệ thống điều khiển băng cào xỉ</t>
  </si>
  <si>
    <t>SCTX hệ thống điều khiển Naclo (2 cái), Tro bay S1(cái), Chèn APH S2 (1 cái)</t>
  </si>
  <si>
    <t>SCTX hệ thống điều khiển hệ thống điều khiển FTSI#1 tổ máy S1</t>
  </si>
  <si>
    <t>SCTX hệ thống điều khiển DCS tổ máy S1/S2</t>
  </si>
  <si>
    <t>SCTX hệ thống điều khiển lò hơi phụ</t>
  </si>
  <si>
    <t>Thực hiện  PAKT</t>
  </si>
  <si>
    <t>SCTX hệ thống điều khiển HVAC</t>
  </si>
  <si>
    <t>SCTX hệ thống điều khiển sấy sứ ESP S1</t>
  </si>
  <si>
    <t>SCTX hệ thống điều khiển Diesel</t>
  </si>
  <si>
    <t>SCTX hệ thống điều khiển điện phân khí H2</t>
  </si>
  <si>
    <t>Xử lý phòng điện tử Common</t>
  </si>
  <si>
    <t>Xử lý làm kín hầm cáp</t>
  </si>
  <si>
    <t>Xử lý làm kím hầm cáp</t>
  </si>
  <si>
    <t>Sửa chữa thường xuyên các tủ điều khiển</t>
  </si>
  <si>
    <t>Quạt làm mát tủ TSI FTSI</t>
  </si>
  <si>
    <t>Quạt làm mát các tủ Remote DCS</t>
  </si>
  <si>
    <t>- Dầu DO cho lò hơi phụ, bổ sung dầu diesel</t>
  </si>
  <si>
    <t>Khí Ni tơ (chai 40L/6m3)</t>
  </si>
  <si>
    <t>4.25.01.452.VIE.00.000</t>
  </si>
  <si>
    <t>Sơn AC-210, màu đỏ</t>
  </si>
  <si>
    <t>Cuộn băng rào vùng làm việc, Chất liệu: nhựa PP, Màu sắc: Bảng nền trắng, chữ đỏ. Kích thước dài 100m , rộng 8cm</t>
  </si>
  <si>
    <t>5.60.11.076.CHN.00.000</t>
  </si>
  <si>
    <t>Phin lọc chống hóa chất dùng cho mặt nạ phòng độc, PHIN LỌC UNIX 531 A1B1E1K1</t>
  </si>
  <si>
    <t>Vớt trứng nước tuần hoàn</t>
  </si>
  <si>
    <t>Dùng cho thông thổi bộ SX H2</t>
  </si>
  <si>
    <t>Vật tư phục vụ công tác 5s của PXVH1</t>
  </si>
  <si>
    <t>Phục vụ công tác vệ sinh thiết bị</t>
  </si>
  <si>
    <t>Phục vụ công tác cảnh báo vùng làm việc an toàn</t>
  </si>
  <si>
    <t>Cấp phát cho cương vị máy nghiền - thải xỉ</t>
  </si>
  <si>
    <t>3.30.14.457.CHN.05.000</t>
  </si>
  <si>
    <t>Cầu chì F3AL 250V, NSX: Zhenjiang Xinqu</t>
  </si>
  <si>
    <t>3.30.14.459.ESP.01.000</t>
  </si>
  <si>
    <t>Cầu chì Bussmann C10G2; 1A;</t>
  </si>
  <si>
    <t>3.30.14.459.ESP.04.000</t>
  </si>
  <si>
    <t>Cầu chì Bussmann C10G0-5; 6A;</t>
  </si>
  <si>
    <t>3.30.20.007.CHN.00.000</t>
  </si>
  <si>
    <t>Cầu chì ống (1A 5x20mm; 100 cái/hộp)</t>
  </si>
  <si>
    <t>3.30.20.008.CHN.00.000</t>
  </si>
  <si>
    <t>Cầu chì ống (2A 5x20mm; 100 cái/hộp)</t>
  </si>
  <si>
    <t>3.62.92.023.CHN.00.000</t>
  </si>
  <si>
    <t>Domino khối đen 4P 25A, 4 cực/cây</t>
  </si>
  <si>
    <t>3.62.92.023.CHN.01.000</t>
  </si>
  <si>
    <t>Domino khối đen 4P 35A, 4cực/cây</t>
  </si>
  <si>
    <t>3.62.92.027.VIE.00.000</t>
  </si>
  <si>
    <t>Domino nhựa trắng 16mm², 10 cực/cây</t>
  </si>
  <si>
    <t>3.70.75.031.TPE.00.000</t>
  </si>
  <si>
    <t>băng keo hạ thế Nano 20mm x 20m</t>
  </si>
  <si>
    <t>3.62.92.026.CHN.01.000</t>
  </si>
  <si>
    <t>Domino nhựa trắng 10mm², 12 cực/cây</t>
  </si>
  <si>
    <t>3.62.92.027.CHN.00.000</t>
  </si>
  <si>
    <t>3.62.92.028.CHN.00.000</t>
  </si>
  <si>
    <t>Domino nhựa trắng 4mm², 10 cực/cây</t>
  </si>
  <si>
    <t>3.62.92.029.CHN.00.000</t>
  </si>
  <si>
    <t>Domino nhựa trắng 6mm², 10 cực/cây</t>
  </si>
  <si>
    <t>3.62.92.030.CHN.00.000</t>
  </si>
  <si>
    <t>Domino nhựa trắng 8mm², 10 cực/cây</t>
  </si>
  <si>
    <t>3.62.92.058.KOR.05.000</t>
  </si>
  <si>
    <t>Domino SHT-10-10 P; 10A 10P</t>
  </si>
  <si>
    <t>4.84.24.067.VIE.00.000</t>
  </si>
  <si>
    <t>Bản lề lá, Kích thước: 70x45x3mm</t>
  </si>
  <si>
    <t>SCTX các tủ DCS tổ máy S1/S2/Com</t>
  </si>
  <si>
    <t>4.90.01.323.ENG.01.000</t>
  </si>
  <si>
    <t>Keo dán PR100, 20g/chai</t>
  </si>
  <si>
    <t>Làm kín hầm cáp phòng điện tử</t>
  </si>
  <si>
    <t>Thực hiện theo PAKT cải tiến</t>
  </si>
  <si>
    <t>3.51.01.133.GER.00.000</t>
  </si>
  <si>
    <t>Bộ nguồn Mã sản phẩm (Article Number): 6ES7407-0DA02-0AA0; Power supply PS407</t>
  </si>
  <si>
    <t>Thay thế cho tủ PLC ESP S1</t>
  </si>
  <si>
    <t>3.50.91.150.GER.00.000</t>
  </si>
  <si>
    <t>Module truyền thông Mã sản phẩm (Article Number): 6ES7153-2BA02-0XB0</t>
  </si>
  <si>
    <t>SCTX hệ thống điều khiển XLNT</t>
  </si>
  <si>
    <t>3.51.02.518.GER.00.000</t>
  </si>
  <si>
    <t>Bộ điều khiển lập trình, Model: 6ES7414-5HM06-0AB0 V6.0.2</t>
  </si>
  <si>
    <t>Thay thế cho PLC điều khiển thu hồi tro bay</t>
  </si>
  <si>
    <t>3.94.01.269.CHN.00.000</t>
  </si>
  <si>
    <t>Bộ cách ly tín hiệu dòng điện Model: WS1522E Input: 4-20mA; Output: 4-20mA</t>
  </si>
  <si>
    <t>Thay thế cho tủ điều khiển biến tần GGH</t>
  </si>
  <si>
    <t>3.62.92.105.CHN.00.000</t>
  </si>
  <si>
    <t>Domino Model: TB-2504</t>
  </si>
  <si>
    <t>3.50.40.093.CHN.02.000</t>
  </si>
  <si>
    <t>Rơ le trung gian MY2N-GS DC 24 BY OMZ + đế cắm  PYF08A-N BY OMZ; Omron</t>
  </si>
  <si>
    <t>SCTX hệ thống điều khiển DCS/PLC tổ máy S1/S2/Com</t>
  </si>
  <si>
    <t>3.52.01.253.CHN.03.000</t>
  </si>
  <si>
    <t>Bộ nguồn Loại: EDR-120-24, Input: 100-120VAC 3.3A; 200-240VAC 2A, Output: 24VDC 5A</t>
  </si>
  <si>
    <t>SCTX hệ thống điều khiển PLC tổ máy S1/S2/Com</t>
  </si>
  <si>
    <t>3.50.40.103.CHN.00.000</t>
  </si>
  <si>
    <t>Rơ le trung gian loại: RXM4AB2BD; Điện áp: 24VDC; Dòng điện: 8A</t>
  </si>
  <si>
    <t>Thay thế cho các tủ CEMS, tủ switch mạng</t>
  </si>
  <si>
    <t>3.51.02.558.CHN.00.000</t>
  </si>
  <si>
    <t>Bộ chuyển nguồn Model: DR-DN20; Input A: 19-29VDC; Input B: 19-29VDC; Output: 20A (Max)</t>
  </si>
  <si>
    <t>Thay thế cho các tủ DCS S1</t>
  </si>
  <si>
    <t>SCTX máy ép bùn</t>
  </si>
  <si>
    <t>3.70.04.005.VIE.00.000</t>
  </si>
  <si>
    <t>ống ruột gà 25mm</t>
  </si>
  <si>
    <t>3.80.89.708.GER.00.000</t>
  </si>
  <si>
    <t>Bộ nguồn 24VDC 6EP1334-2BA20</t>
  </si>
  <si>
    <t>SCTX hệ thống điều khiển HVAC (02 cái), ESP (02 cái), Chèn APH (02 cái)</t>
  </si>
  <si>
    <t>Thay lọc khí đầu vào  cho máy nén khí #1 #2, #4, C, G</t>
  </si>
  <si>
    <t>Thay lọc dầu hồi MNK  #4, C, G</t>
  </si>
  <si>
    <t>Thay lọc tách dầu  cho máy nén khí C, G</t>
  </si>
  <si>
    <t>Thay lọc dầu hồi MNK C, G</t>
  </si>
  <si>
    <t>Thay cho bộ sấy #3</t>
  </si>
  <si>
    <t>Thay lọc tách dầu  cho máy nén khí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</si>
</sst>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0_);_(* \(#,##0.0\);_(* &quot;-&quot;??_);_(@_)"/>
    <numFmt numFmtId="165" formatCode="_(* #,##0_);_(* \(#,##0\);_(* &quot;-&quot;??_);_(@_)"/>
  </numFmts>
  <fonts count="66" x14ac:knownFonts="1">
    <font>
      <sz val="11"/>
      <color theme="1"/>
      <name val="Calibri"/>
      <family val="2"/>
      <scheme val="minor"/>
    </font>
    <font>
      <sz val="11"/>
      <color theme="1"/>
      <name val="Calibri"/>
      <family val="2"/>
      <scheme val="minor"/>
    </font>
    <font>
      <sz val="10"/>
      <name val="Arial"/>
      <family val="2"/>
    </font>
    <font>
      <sz val="8"/>
      <name val="Calibri"/>
      <family val="2"/>
      <scheme val="minor"/>
    </font>
    <font>
      <sz val="13"/>
      <name val="Times New Roman"/>
      <family val="1"/>
    </font>
    <font>
      <sz val="13"/>
      <color rgb="FFFF0000"/>
      <name val="Times New Roman"/>
      <family val="1"/>
    </font>
    <font>
      <b/>
      <sz val="13"/>
      <name val="Times New Roman"/>
      <family val="1"/>
    </font>
    <font>
      <i/>
      <sz val="13"/>
      <name val="Times New Roman"/>
      <family val="1"/>
    </font>
    <font>
      <sz val="13"/>
      <color theme="1"/>
      <name val="Times New Roman"/>
      <family val="2"/>
      <charset val="163"/>
    </font>
    <font>
      <b/>
      <sz val="14"/>
      <name val="Times New Roman"/>
      <family val="1"/>
    </font>
    <font>
      <b/>
      <sz val="20"/>
      <name val="Times New Roman"/>
      <family val="1"/>
    </font>
    <font>
      <b/>
      <sz val="14"/>
      <color rgb="FFFF0000"/>
      <name val="Times New Roman"/>
      <family val="1"/>
    </font>
    <font>
      <b/>
      <sz val="13"/>
      <color rgb="FFFF0000"/>
      <name val="Times New Roman"/>
      <family val="1"/>
    </font>
    <font>
      <b/>
      <sz val="11"/>
      <name val="Times New Roman"/>
      <family val="1"/>
    </font>
    <font>
      <sz val="11"/>
      <name val="Times New Roman"/>
      <family val="1"/>
    </font>
    <font>
      <sz val="13"/>
      <color theme="1"/>
      <name val="Times New Roman"/>
      <family val="1"/>
    </font>
    <font>
      <sz val="13"/>
      <color rgb="FF000000"/>
      <name val="Times New Roman"/>
      <family val="1"/>
    </font>
    <font>
      <sz val="13"/>
      <color theme="1"/>
      <name val="Cambria"/>
      <family val="1"/>
      <charset val="163"/>
      <scheme val="major"/>
    </font>
    <font>
      <sz val="13"/>
      <name val="Cambria"/>
      <family val="1"/>
      <charset val="163"/>
      <scheme val="major"/>
    </font>
    <font>
      <sz val="13"/>
      <name val="Arial"/>
      <family val="2"/>
    </font>
    <font>
      <b/>
      <sz val="9"/>
      <color indexed="81"/>
      <name val="Tahoma"/>
      <family val="2"/>
    </font>
    <font>
      <sz val="9"/>
      <color indexed="81"/>
      <name val="Tahoma"/>
      <family val="2"/>
    </font>
    <font>
      <sz val="11"/>
      <color rgb="FFFF0000"/>
      <name val="Times New Roman"/>
      <family val="1"/>
    </font>
    <font>
      <sz val="9"/>
      <name val="Times New Roman"/>
      <family val="1"/>
    </font>
    <font>
      <sz val="12"/>
      <color rgb="FFFF0000"/>
      <name val="Times New Roman"/>
      <family val="1"/>
    </font>
    <font>
      <sz val="12"/>
      <name val="Times New Roman"/>
      <family val="1"/>
    </font>
    <font>
      <b/>
      <sz val="12"/>
      <name val="Times New Roman"/>
      <family val="1"/>
    </font>
    <font>
      <sz val="12"/>
      <color theme="1"/>
      <name val="Times New Roman"/>
      <family val="1"/>
    </font>
    <font>
      <sz val="12"/>
      <color theme="1"/>
      <name val="Calibri"/>
      <family val="2"/>
      <scheme val="minor"/>
    </font>
    <font>
      <b/>
      <sz val="14"/>
      <color theme="1"/>
      <name val="Times New Roman"/>
      <family val="1"/>
    </font>
    <font>
      <b/>
      <sz val="11"/>
      <color theme="1"/>
      <name val="Times New Roman"/>
      <family val="1"/>
    </font>
    <font>
      <b/>
      <sz val="13"/>
      <color theme="1"/>
      <name val="Times New Roman"/>
      <family val="1"/>
    </font>
    <font>
      <sz val="11"/>
      <color theme="1"/>
      <name val="Times New Roman"/>
      <family val="1"/>
    </font>
    <font>
      <b/>
      <sz val="20"/>
      <color theme="1"/>
      <name val="Times New Roman"/>
      <family val="1"/>
    </font>
    <font>
      <b/>
      <sz val="12"/>
      <color theme="1"/>
      <name val="Times New Roman"/>
      <family val="1"/>
    </font>
    <font>
      <sz val="10"/>
      <color theme="1"/>
      <name val="Arial"/>
      <family val="2"/>
    </font>
    <font>
      <sz val="10"/>
      <color theme="1"/>
      <name val="Times New Roman"/>
      <family val="1"/>
    </font>
    <font>
      <b/>
      <sz val="10"/>
      <color theme="1"/>
      <name val="Times New Roman"/>
      <family val="1"/>
    </font>
    <font>
      <sz val="10"/>
      <color rgb="FFFF0000"/>
      <name val="Times New Roman"/>
      <family val="1"/>
    </font>
    <font>
      <sz val="10"/>
      <color theme="1"/>
      <name val="Times New Roman"/>
      <family val="1"/>
    </font>
    <font>
      <sz val="8"/>
      <color rgb="FF000000"/>
      <name val="Times New Roman"/>
      <family val="1"/>
    </font>
    <font>
      <sz val="11"/>
      <color theme="1"/>
      <name val="Calibri"/>
      <family val="2"/>
      <scheme val="minor"/>
    </font>
    <font>
      <sz val="12"/>
      <color rgb="FF000000"/>
      <name val="Times New Roman"/>
      <family val="1"/>
    </font>
    <font>
      <sz val="13"/>
      <color theme="1"/>
      <name val="Times New Roman"/>
      <family val="1"/>
    </font>
    <font>
      <sz val="12"/>
      <color rgb="FF000000"/>
      <name val="Times New Roman"/>
      <family val="1"/>
    </font>
    <font>
      <sz val="12"/>
      <name val="Times New Roman"/>
      <family val="1"/>
    </font>
    <font>
      <sz val="12"/>
      <color theme="1"/>
      <name val="Times New Roman"/>
      <family val="1"/>
    </font>
    <font>
      <sz val="10"/>
      <color theme="1"/>
      <name val="Arial"/>
      <family val="2"/>
    </font>
    <font>
      <sz val="11"/>
      <color theme="1"/>
      <name val="Arial"/>
      <family val="2"/>
    </font>
    <font>
      <i/>
      <sz val="10"/>
      <color theme="1"/>
      <name val="Times New Roman"/>
      <family val="1"/>
    </font>
    <font>
      <sz val="12"/>
      <color rgb="FF000000"/>
      <name val="Arial"/>
      <family val="2"/>
    </font>
    <font>
      <sz val="12"/>
      <color theme="1"/>
      <name val="Arial"/>
      <family val="2"/>
    </font>
    <font>
      <sz val="10"/>
      <color rgb="FF000000"/>
      <name val="Calibri"/>
      <family val="2"/>
      <scheme val="minor"/>
    </font>
    <font>
      <sz val="11"/>
      <color theme="1"/>
      <name val="Calibri"/>
      <family val="2"/>
      <charset val="163"/>
      <scheme val="minor"/>
    </font>
    <font>
      <sz val="12"/>
      <color theme="5" tint="-0.249977111117893"/>
      <name val="Arial"/>
      <family val="2"/>
    </font>
    <font>
      <sz val="12"/>
      <name val="Arial"/>
      <family val="2"/>
    </font>
    <font>
      <b/>
      <sz val="8"/>
      <color rgb="FF000000"/>
      <name val="Times New Roman"/>
      <family val="1"/>
    </font>
    <font>
      <sz val="8"/>
      <color rgb="FF000000"/>
      <name val="Times New Roman"/>
      <family val="1"/>
    </font>
    <font>
      <sz val="10"/>
      <color rgb="FFFF0000"/>
      <name val="Arial"/>
      <family val="2"/>
    </font>
    <font>
      <sz val="10"/>
      <color rgb="FFFF0000"/>
      <name val="Open Sans"/>
      <family val="2"/>
    </font>
    <font>
      <sz val="10"/>
      <name val="Times New Roman"/>
      <family val="1"/>
    </font>
    <font>
      <b/>
      <sz val="10"/>
      <name val="Times New Roman"/>
      <family val="1"/>
    </font>
    <font>
      <b/>
      <sz val="12"/>
      <color rgb="FFFF0000"/>
      <name val="Times New Roman"/>
      <family val="1"/>
    </font>
    <font>
      <sz val="14"/>
      <name val="Times New Roman"/>
      <family val="1"/>
    </font>
    <font>
      <sz val="9"/>
      <color rgb="FF000000"/>
      <name val="Times New Roman"/>
      <family val="1"/>
    </font>
    <font>
      <sz val="13"/>
      <name val="Cambria"/>
      <family val="1"/>
      <scheme val="major"/>
    </font>
  </fonts>
  <fills count="9">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92D050"/>
        <bgColor indexed="64"/>
      </patternFill>
    </fill>
    <fill>
      <patternFill patternType="solid">
        <fgColor rgb="FFF5F5F5"/>
        <bgColor indexed="64"/>
      </patternFill>
    </fill>
    <fill>
      <patternFill patternType="solid">
        <fgColor rgb="FFFEFEFF"/>
        <bgColor indexed="64"/>
      </patternFill>
    </fill>
    <fill>
      <patternFill patternType="solid">
        <fgColor rgb="FFFFFF00"/>
        <bgColor indexed="64"/>
      </patternFill>
    </fill>
    <fill>
      <patternFill patternType="solid">
        <fgColor theme="0"/>
        <bgColor rgb="FFFFFFFF"/>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right/>
      <top/>
      <bottom style="thin">
        <color indexed="64"/>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style="thin">
        <color rgb="FF000000"/>
      </left>
      <right/>
      <top style="thin">
        <color rgb="FF000000"/>
      </top>
      <bottom style="thin">
        <color rgb="FF000000"/>
      </bottom>
      <diagonal/>
    </border>
  </borders>
  <cellStyleXfs count="16">
    <xf numFmtId="0" fontId="0" fillId="0" borderId="0"/>
    <xf numFmtId="43" fontId="1" fillId="0" borderId="0" applyFont="0" applyFill="0" applyBorder="0" applyAlignment="0" applyProtection="0"/>
    <xf numFmtId="0" fontId="2" fillId="0" borderId="0"/>
    <xf numFmtId="0" fontId="1" fillId="0" borderId="0"/>
    <xf numFmtId="0" fontId="2" fillId="0" borderId="0"/>
    <xf numFmtId="0" fontId="1" fillId="0" borderId="0"/>
    <xf numFmtId="0" fontId="8"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41" fillId="0" borderId="0"/>
    <xf numFmtId="0" fontId="1" fillId="0" borderId="0"/>
    <xf numFmtId="0" fontId="52" fillId="0" borderId="0"/>
    <xf numFmtId="0" fontId="1" fillId="0" borderId="0"/>
    <xf numFmtId="0" fontId="53" fillId="0" borderId="0"/>
    <xf numFmtId="0" fontId="1" fillId="0" borderId="0"/>
  </cellStyleXfs>
  <cellXfs count="509">
    <xf numFmtId="0" fontId="0" fillId="0" borderId="0" xfId="0"/>
    <xf numFmtId="0" fontId="4" fillId="0" borderId="5" xfId="0" applyFont="1" applyBorder="1" applyAlignment="1">
      <alignment horizontal="center" vertical="center"/>
    </xf>
    <xf numFmtId="0" fontId="4" fillId="0" borderId="5" xfId="0" applyFont="1" applyBorder="1" applyAlignment="1">
      <alignment horizontal="left" vertical="center" wrapText="1"/>
    </xf>
    <xf numFmtId="0" fontId="4" fillId="0" borderId="5" xfId="0" applyFont="1" applyBorder="1" applyAlignment="1">
      <alignment horizontal="center" vertical="center" wrapText="1"/>
    </xf>
    <xf numFmtId="0" fontId="4" fillId="0" borderId="5" xfId="0" applyFont="1" applyBorder="1" applyAlignment="1">
      <alignment horizontal="left" vertical="center"/>
    </xf>
    <xf numFmtId="0" fontId="4" fillId="0" borderId="0" xfId="0" applyFont="1" applyAlignment="1">
      <alignment horizontal="center" vertical="center"/>
    </xf>
    <xf numFmtId="0" fontId="4" fillId="0" borderId="0" xfId="0" applyFont="1" applyAlignment="1">
      <alignment horizontal="left" vertical="center"/>
    </xf>
    <xf numFmtId="165" fontId="4" fillId="0" borderId="5" xfId="0" applyNumberFormat="1" applyFont="1" applyBorder="1" applyAlignment="1">
      <alignment horizontal="center" vertical="center" wrapText="1"/>
    </xf>
    <xf numFmtId="0" fontId="4" fillId="0" borderId="0" xfId="0" applyFont="1" applyAlignment="1">
      <alignment vertical="center"/>
    </xf>
    <xf numFmtId="0" fontId="6" fillId="0" borderId="0" xfId="0" applyFont="1" applyAlignment="1">
      <alignment horizontal="left" vertical="center"/>
    </xf>
    <xf numFmtId="0" fontId="4" fillId="2" borderId="1" xfId="0" applyFont="1" applyFill="1" applyBorder="1" applyAlignment="1">
      <alignment horizontal="left" vertical="center" wrapText="1"/>
    </xf>
    <xf numFmtId="0" fontId="4" fillId="2" borderId="0" xfId="0" applyFont="1" applyFill="1" applyAlignment="1">
      <alignment horizontal="left" vertical="center"/>
    </xf>
    <xf numFmtId="0" fontId="4" fillId="2" borderId="0" xfId="0" applyFont="1" applyFill="1" applyAlignment="1">
      <alignment vertical="center"/>
    </xf>
    <xf numFmtId="165" fontId="4" fillId="0" borderId="1" xfId="1" applyNumberFormat="1" applyFont="1" applyFill="1" applyBorder="1" applyAlignment="1">
      <alignment horizontal="center" vertical="center" wrapText="1"/>
    </xf>
    <xf numFmtId="0" fontId="6" fillId="2" borderId="1" xfId="0" applyFont="1" applyFill="1" applyBorder="1" applyAlignment="1">
      <alignment horizontal="left" vertical="center"/>
    </xf>
    <xf numFmtId="0" fontId="6"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165" fontId="6" fillId="2" borderId="1" xfId="1" applyNumberFormat="1"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horizontal="center" vertical="center" wrapText="1"/>
    </xf>
    <xf numFmtId="165" fontId="4" fillId="0" borderId="1" xfId="0" applyNumberFormat="1" applyFont="1" applyBorder="1" applyAlignment="1">
      <alignment horizontal="center" vertical="center" wrapText="1"/>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0" applyNumberFormat="1" applyFont="1" applyBorder="1" applyAlignment="1">
      <alignment horizontal="center" vertical="center"/>
    </xf>
    <xf numFmtId="164" fontId="4" fillId="0" borderId="1" xfId="0" applyNumberFormat="1" applyFont="1" applyBorder="1" applyAlignment="1">
      <alignment horizontal="center" vertical="center"/>
    </xf>
    <xf numFmtId="0" fontId="4" fillId="0" borderId="1" xfId="4" applyFont="1" applyBorder="1" applyAlignment="1">
      <alignment horizontal="left" vertical="center" wrapText="1"/>
    </xf>
    <xf numFmtId="0" fontId="4" fillId="0" borderId="1" xfId="4" applyFont="1" applyBorder="1" applyAlignment="1">
      <alignment horizontal="center" vertical="center"/>
    </xf>
    <xf numFmtId="0" fontId="4" fillId="0" borderId="1" xfId="4" applyFont="1" applyBorder="1" applyAlignment="1">
      <alignment horizontal="left" vertical="center"/>
    </xf>
    <xf numFmtId="0" fontId="4" fillId="0" borderId="1" xfId="2" applyFont="1" applyBorder="1" applyAlignment="1">
      <alignment horizontal="left" vertical="center" wrapText="1"/>
    </xf>
    <xf numFmtId="0" fontId="4" fillId="2" borderId="0" xfId="0" applyFont="1" applyFill="1" applyAlignment="1">
      <alignment horizontal="center" vertical="center"/>
    </xf>
    <xf numFmtId="0" fontId="9" fillId="2" borderId="0" xfId="0" applyFont="1" applyFill="1" applyAlignment="1">
      <alignment horizontal="left" vertical="center"/>
    </xf>
    <xf numFmtId="0" fontId="9" fillId="2" borderId="0" xfId="0" applyFont="1" applyFill="1" applyAlignment="1">
      <alignment horizontal="center" vertical="center"/>
    </xf>
    <xf numFmtId="0" fontId="9" fillId="2" borderId="0" xfId="0" applyFont="1" applyFill="1" applyAlignment="1">
      <alignment vertical="center"/>
    </xf>
    <xf numFmtId="0" fontId="6" fillId="2" borderId="0" xfId="0" applyFont="1" applyFill="1" applyAlignment="1">
      <alignment horizontal="center" vertical="center"/>
    </xf>
    <xf numFmtId="0" fontId="9" fillId="2" borderId="1" xfId="0" applyFont="1" applyFill="1" applyBorder="1" applyAlignment="1">
      <alignment horizontal="center" vertical="center"/>
    </xf>
    <xf numFmtId="0" fontId="4" fillId="2" borderId="0" xfId="0" applyFont="1" applyFill="1" applyAlignment="1">
      <alignment horizontal="right" vertical="center"/>
    </xf>
    <xf numFmtId="0" fontId="9" fillId="2" borderId="0" xfId="0" applyFont="1" applyFill="1" applyAlignment="1">
      <alignment vertical="center" wrapText="1"/>
    </xf>
    <xf numFmtId="0" fontId="10" fillId="2" borderId="0" xfId="0" applyFont="1" applyFill="1" applyAlignment="1">
      <alignment vertical="center"/>
    </xf>
    <xf numFmtId="0" fontId="10" fillId="2" borderId="0" xfId="0" applyFont="1" applyFill="1" applyAlignment="1">
      <alignment horizontal="center" vertical="center"/>
    </xf>
    <xf numFmtId="0" fontId="4" fillId="2" borderId="8" xfId="0" applyFont="1" applyFill="1" applyBorder="1" applyAlignment="1">
      <alignment vertical="center"/>
    </xf>
    <xf numFmtId="0" fontId="4" fillId="2" borderId="8" xfId="0" applyFont="1" applyFill="1" applyBorder="1" applyAlignment="1">
      <alignment horizontal="left" vertical="center"/>
    </xf>
    <xf numFmtId="0" fontId="4" fillId="2" borderId="8" xfId="0" applyFont="1" applyFill="1" applyBorder="1" applyAlignment="1">
      <alignment horizontal="center" vertical="center"/>
    </xf>
    <xf numFmtId="0" fontId="6" fillId="2" borderId="1" xfId="2" applyFont="1" applyFill="1" applyBorder="1" applyAlignment="1">
      <alignment horizontal="center" vertical="center" wrapText="1"/>
    </xf>
    <xf numFmtId="0" fontId="6" fillId="0" borderId="3" xfId="0" applyFont="1" applyBorder="1" applyAlignment="1">
      <alignment horizontal="left" vertical="center"/>
    </xf>
    <xf numFmtId="0" fontId="6" fillId="0" borderId="3" xfId="0" applyFont="1" applyBorder="1" applyAlignment="1">
      <alignment horizontal="center" vertical="center"/>
    </xf>
    <xf numFmtId="0" fontId="6" fillId="0" borderId="4" xfId="0" applyFont="1" applyBorder="1" applyAlignment="1">
      <alignment horizontal="left" vertical="center"/>
    </xf>
    <xf numFmtId="0" fontId="6" fillId="0" borderId="1" xfId="0" applyFont="1" applyBorder="1" applyAlignment="1">
      <alignment horizontal="left" vertical="center"/>
    </xf>
    <xf numFmtId="0" fontId="4" fillId="0" borderId="0" xfId="0" applyFont="1" applyAlignment="1">
      <alignment horizontal="left" vertical="center" wrapText="1"/>
    </xf>
    <xf numFmtId="0" fontId="4" fillId="0" borderId="7" xfId="0" applyFont="1" applyBorder="1" applyAlignment="1">
      <alignment horizontal="left" vertical="center" wrapText="1"/>
    </xf>
    <xf numFmtId="0" fontId="4" fillId="0" borderId="6" xfId="0" applyFont="1" applyBorder="1" applyAlignment="1">
      <alignment horizontal="left" vertical="center"/>
    </xf>
    <xf numFmtId="0" fontId="4" fillId="0" borderId="6" xfId="0" applyFont="1" applyBorder="1" applyAlignment="1">
      <alignment horizontal="center" vertical="center"/>
    </xf>
    <xf numFmtId="165" fontId="4" fillId="0" borderId="7" xfId="0" applyNumberFormat="1" applyFont="1" applyBorder="1" applyAlignment="1">
      <alignment horizontal="center" vertical="center" wrapText="1"/>
    </xf>
    <xf numFmtId="0" fontId="4" fillId="0" borderId="6" xfId="0" applyFont="1" applyBorder="1" applyAlignment="1">
      <alignment horizontal="center" vertical="center" wrapText="1"/>
    </xf>
    <xf numFmtId="0" fontId="4" fillId="0" borderId="6" xfId="0" quotePrefix="1" applyFont="1" applyBorder="1" applyAlignment="1">
      <alignment horizontal="left" vertical="center" wrapText="1"/>
    </xf>
    <xf numFmtId="0" fontId="7" fillId="0" borderId="1" xfId="0" applyFont="1" applyBorder="1" applyAlignment="1">
      <alignment horizontal="left" vertical="center"/>
    </xf>
    <xf numFmtId="0" fontId="4" fillId="0" borderId="1" xfId="6" applyFont="1" applyBorder="1" applyAlignment="1">
      <alignment horizontal="left" vertical="center" wrapText="1"/>
    </xf>
    <xf numFmtId="0" fontId="4" fillId="0" borderId="1" xfId="5" applyFont="1" applyBorder="1" applyAlignment="1">
      <alignment horizontal="center" vertical="center"/>
    </xf>
    <xf numFmtId="165" fontId="4" fillId="2" borderId="0" xfId="1" applyNumberFormat="1" applyFont="1" applyFill="1" applyAlignment="1">
      <alignment horizontal="center" vertical="center"/>
    </xf>
    <xf numFmtId="0" fontId="4" fillId="2" borderId="0" xfId="0" applyFont="1" applyFill="1" applyAlignment="1">
      <alignment horizontal="left" vertical="center" wrapText="1"/>
    </xf>
    <xf numFmtId="0" fontId="6" fillId="0" borderId="2" xfId="0" applyFont="1" applyBorder="1" applyAlignment="1">
      <alignment horizontal="left" vertical="center"/>
    </xf>
    <xf numFmtId="3" fontId="4" fillId="0" borderId="1" xfId="0" applyNumberFormat="1" applyFont="1" applyBorder="1" applyAlignment="1">
      <alignment horizontal="left" vertical="center"/>
    </xf>
    <xf numFmtId="3" fontId="4" fillId="0" borderId="1" xfId="0" applyNumberFormat="1" applyFont="1" applyBorder="1" applyAlignment="1">
      <alignment horizontal="left" vertical="center" wrapText="1"/>
    </xf>
    <xf numFmtId="3" fontId="6" fillId="0" borderId="1" xfId="0" applyNumberFormat="1" applyFont="1" applyBorder="1" applyAlignment="1">
      <alignment horizontal="left" vertical="center"/>
    </xf>
    <xf numFmtId="4" fontId="4" fillId="0" borderId="1" xfId="0" applyNumberFormat="1" applyFont="1" applyBorder="1" applyAlignment="1">
      <alignment horizontal="left" vertical="center" wrapText="1"/>
    </xf>
    <xf numFmtId="4" fontId="4" fillId="0" borderId="1" xfId="0" applyNumberFormat="1" applyFont="1" applyBorder="1" applyAlignment="1">
      <alignment horizontal="left" vertical="center"/>
    </xf>
    <xf numFmtId="3" fontId="4" fillId="0" borderId="6" xfId="0" applyNumberFormat="1" applyFont="1" applyBorder="1" applyAlignment="1">
      <alignment horizontal="left" vertical="center"/>
    </xf>
    <xf numFmtId="0" fontId="4" fillId="0" borderId="1" xfId="0" applyFont="1" applyBorder="1" applyAlignment="1">
      <alignment horizontal="left" vertical="center" wrapText="1" indent="1"/>
    </xf>
    <xf numFmtId="0" fontId="9" fillId="2" borderId="0" xfId="0" applyFont="1" applyFill="1" applyAlignment="1">
      <alignment horizontal="center" vertical="center" wrapText="1"/>
    </xf>
    <xf numFmtId="43" fontId="4" fillId="0" borderId="1" xfId="0" applyNumberFormat="1" applyFont="1" applyBorder="1" applyAlignment="1">
      <alignment horizontal="center" vertical="center"/>
    </xf>
    <xf numFmtId="0" fontId="4" fillId="0" borderId="9" xfId="0" applyFont="1" applyBorder="1" applyAlignment="1">
      <alignment horizontal="left" vertical="center" wrapText="1"/>
    </xf>
    <xf numFmtId="0" fontId="4" fillId="0" borderId="10" xfId="0" applyFont="1" applyBorder="1" applyAlignment="1">
      <alignment horizontal="center" vertical="center"/>
    </xf>
    <xf numFmtId="0" fontId="4" fillId="0" borderId="10" xfId="0" applyFont="1" applyBorder="1" applyAlignment="1">
      <alignment horizontal="center" vertical="center" wrapText="1"/>
    </xf>
    <xf numFmtId="0" fontId="4" fillId="0" borderId="10" xfId="0" applyFont="1" applyBorder="1" applyAlignment="1">
      <alignment horizontal="left" vertical="center"/>
    </xf>
    <xf numFmtId="0" fontId="4" fillId="0" borderId="10" xfId="0" applyFont="1" applyBorder="1" applyAlignment="1">
      <alignment horizontal="left" vertical="center" wrapText="1"/>
    </xf>
    <xf numFmtId="0" fontId="4" fillId="3" borderId="5" xfId="0" applyFont="1" applyFill="1" applyBorder="1" applyAlignment="1">
      <alignment horizontal="center" vertical="center" wrapText="1"/>
    </xf>
    <xf numFmtId="0" fontId="4" fillId="0" borderId="6" xfId="0" applyFont="1" applyBorder="1" applyAlignment="1">
      <alignment horizontal="left" vertical="center" wrapText="1" indent="1"/>
    </xf>
    <xf numFmtId="0" fontId="4" fillId="0" borderId="7" xfId="0" applyFont="1" applyBorder="1" applyAlignment="1">
      <alignment horizontal="left" vertical="center"/>
    </xf>
    <xf numFmtId="0" fontId="4" fillId="0" borderId="1" xfId="0" applyFont="1" applyBorder="1" applyAlignment="1">
      <alignment vertical="center" wrapText="1"/>
    </xf>
    <xf numFmtId="0" fontId="4" fillId="0" borderId="1" xfId="8" applyNumberFormat="1" applyFont="1" applyBorder="1" applyAlignment="1">
      <alignment vertical="center" wrapText="1"/>
    </xf>
    <xf numFmtId="0" fontId="4" fillId="0" borderId="2" xfId="7" applyNumberFormat="1" applyFont="1" applyBorder="1" applyAlignment="1">
      <alignment vertical="center" wrapText="1"/>
    </xf>
    <xf numFmtId="0" fontId="6" fillId="2" borderId="1" xfId="0" applyFont="1" applyFill="1" applyBorder="1" applyAlignment="1">
      <alignment horizontal="center" vertical="center"/>
    </xf>
    <xf numFmtId="0" fontId="6" fillId="0" borderId="0" xfId="0" applyFont="1" applyAlignment="1">
      <alignment horizontal="center" vertical="center"/>
    </xf>
    <xf numFmtId="0" fontId="16" fillId="0" borderId="1" xfId="0" applyFont="1" applyBorder="1" applyAlignment="1">
      <alignment horizontal="left" vertical="top" wrapText="1" indent="1"/>
    </xf>
    <xf numFmtId="165" fontId="5" fillId="0" borderId="1" xfId="1" applyNumberFormat="1" applyFont="1" applyFill="1" applyBorder="1" applyAlignment="1">
      <alignment horizontal="right" vertical="center" wrapText="1"/>
    </xf>
    <xf numFmtId="165" fontId="5" fillId="0" borderId="1" xfId="1" applyNumberFormat="1" applyFont="1" applyFill="1" applyBorder="1" applyAlignment="1">
      <alignment horizontal="right" vertical="center"/>
    </xf>
    <xf numFmtId="0" fontId="9" fillId="0" borderId="0" xfId="0" applyFont="1" applyAlignment="1">
      <alignment horizontal="left" vertical="center"/>
    </xf>
    <xf numFmtId="0" fontId="9"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right" vertical="center"/>
    </xf>
    <xf numFmtId="43" fontId="13" fillId="0" borderId="0" xfId="1" applyFont="1" applyFill="1" applyAlignment="1">
      <alignment vertical="center"/>
    </xf>
    <xf numFmtId="0" fontId="9" fillId="0" borderId="0" xfId="0" applyFont="1" applyAlignment="1">
      <alignment vertical="center"/>
    </xf>
    <xf numFmtId="0" fontId="9" fillId="0" borderId="1" xfId="0" applyFont="1" applyBorder="1" applyAlignment="1">
      <alignment horizontal="center" vertical="center"/>
    </xf>
    <xf numFmtId="43" fontId="14" fillId="0" borderId="0" xfId="1" applyFont="1" applyFill="1" applyAlignment="1">
      <alignment horizontal="right" vertical="center"/>
    </xf>
    <xf numFmtId="0" fontId="9" fillId="0" borderId="0" xfId="0" applyFont="1" applyAlignment="1">
      <alignment vertical="center" wrapText="1"/>
    </xf>
    <xf numFmtId="0" fontId="9"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right" vertical="center" wrapText="1"/>
    </xf>
    <xf numFmtId="43" fontId="13" fillId="0" borderId="0" xfId="1" applyFont="1" applyFill="1" applyAlignment="1">
      <alignment vertical="center" wrapText="1"/>
    </xf>
    <xf numFmtId="0" fontId="5" fillId="0" borderId="0" xfId="0" applyFont="1" applyAlignment="1">
      <alignment horizontal="center" vertical="center"/>
    </xf>
    <xf numFmtId="0" fontId="4" fillId="0" borderId="0" xfId="0" applyFont="1" applyAlignment="1">
      <alignment horizontal="right" vertical="center"/>
    </xf>
    <xf numFmtId="0" fontId="5" fillId="0" borderId="0" xfId="0" applyFont="1" applyAlignment="1">
      <alignment horizontal="right" vertical="center"/>
    </xf>
    <xf numFmtId="0" fontId="10" fillId="0" borderId="0" xfId="0" applyFont="1" applyAlignment="1">
      <alignment horizontal="center" vertical="center"/>
    </xf>
    <xf numFmtId="0" fontId="10" fillId="0" borderId="0" xfId="0" applyFont="1" applyAlignment="1">
      <alignment vertical="center"/>
    </xf>
    <xf numFmtId="43" fontId="14" fillId="0" borderId="0" xfId="1" applyFont="1" applyFill="1" applyAlignment="1">
      <alignment vertical="center"/>
    </xf>
    <xf numFmtId="0" fontId="4" fillId="0" borderId="8" xfId="0" applyFont="1" applyBorder="1" applyAlignment="1">
      <alignment horizontal="center" vertical="center"/>
    </xf>
    <xf numFmtId="0" fontId="4" fillId="0" borderId="8" xfId="0" applyFont="1" applyBorder="1" applyAlignment="1">
      <alignment vertical="center"/>
    </xf>
    <xf numFmtId="0" fontId="4" fillId="0" borderId="8" xfId="0" applyFont="1" applyBorder="1" applyAlignment="1">
      <alignment horizontal="left" vertical="center"/>
    </xf>
    <xf numFmtId="0" fontId="5" fillId="0" borderId="8" xfId="0" applyFont="1" applyBorder="1" applyAlignment="1">
      <alignment horizontal="center" vertical="center"/>
    </xf>
    <xf numFmtId="0" fontId="5" fillId="0" borderId="8" xfId="0" applyFont="1" applyBorder="1" applyAlignment="1">
      <alignment horizontal="right" vertical="center"/>
    </xf>
    <xf numFmtId="43" fontId="14" fillId="0" borderId="8" xfId="1" applyFont="1" applyFill="1" applyBorder="1" applyAlignment="1">
      <alignment vertical="center"/>
    </xf>
    <xf numFmtId="0" fontId="6" fillId="0" borderId="1" xfId="2" applyFont="1" applyBorder="1" applyAlignment="1">
      <alignment horizontal="center" vertical="center" wrapText="1"/>
    </xf>
    <xf numFmtId="0" fontId="12" fillId="0" borderId="1" xfId="2" applyFont="1" applyBorder="1" applyAlignment="1">
      <alignment horizontal="center" vertical="center" wrapText="1"/>
    </xf>
    <xf numFmtId="165" fontId="12" fillId="0" borderId="1" xfId="1" applyNumberFormat="1" applyFont="1" applyFill="1" applyBorder="1" applyAlignment="1">
      <alignment horizontal="center" vertical="center" wrapText="1"/>
    </xf>
    <xf numFmtId="0" fontId="6" fillId="0" borderId="1" xfId="0" applyFont="1" applyBorder="1" applyAlignment="1">
      <alignment horizontal="center" vertical="center" wrapText="1"/>
    </xf>
    <xf numFmtId="43" fontId="6" fillId="0" borderId="1" xfId="1" applyFont="1" applyFill="1" applyBorder="1" applyAlignment="1">
      <alignment horizontal="left" vertical="center" wrapText="1"/>
    </xf>
    <xf numFmtId="0" fontId="6" fillId="0" borderId="1" xfId="0" applyFont="1" applyBorder="1" applyAlignment="1">
      <alignment horizontal="center" vertical="center"/>
    </xf>
    <xf numFmtId="0" fontId="12" fillId="0" borderId="3" xfId="0" applyFont="1" applyBorder="1" applyAlignment="1">
      <alignment horizontal="center" vertical="center"/>
    </xf>
    <xf numFmtId="0" fontId="12" fillId="0" borderId="3" xfId="0" applyFont="1" applyBorder="1" applyAlignment="1">
      <alignment horizontal="right" vertical="center"/>
    </xf>
    <xf numFmtId="43" fontId="6" fillId="0" borderId="1" xfId="1" applyFont="1" applyFill="1" applyBorder="1" applyAlignment="1">
      <alignment horizontal="left" vertical="center"/>
    </xf>
    <xf numFmtId="0" fontId="5" fillId="0" borderId="1" xfId="0" applyFont="1" applyBorder="1" applyAlignment="1">
      <alignment horizontal="center" vertical="center" wrapText="1"/>
    </xf>
    <xf numFmtId="165" fontId="5" fillId="0" borderId="1" xfId="0" applyNumberFormat="1" applyFont="1" applyBorder="1" applyAlignment="1">
      <alignment horizontal="right" vertical="center" wrapText="1"/>
    </xf>
    <xf numFmtId="43" fontId="4" fillId="0" borderId="1" xfId="1" applyFont="1" applyFill="1" applyBorder="1" applyAlignment="1">
      <alignment horizontal="left" vertical="center" wrapText="1"/>
    </xf>
    <xf numFmtId="43" fontId="4" fillId="0" borderId="1" xfId="1" applyFont="1" applyFill="1" applyBorder="1" applyAlignment="1">
      <alignment horizontal="left" vertical="center"/>
    </xf>
    <xf numFmtId="0" fontId="5" fillId="0" borderId="1" xfId="0" applyFont="1" applyBorder="1" applyAlignment="1">
      <alignment horizontal="right" vertical="center" wrapText="1"/>
    </xf>
    <xf numFmtId="0" fontId="15" fillId="0" borderId="1" xfId="0" applyFont="1" applyBorder="1" applyAlignment="1">
      <alignment horizontal="left" vertical="center" wrapText="1"/>
    </xf>
    <xf numFmtId="0" fontId="5" fillId="0" borderId="10" xfId="0" applyFont="1" applyBorder="1" applyAlignment="1">
      <alignment horizontal="center" vertical="center" wrapText="1"/>
    </xf>
    <xf numFmtId="0" fontId="5" fillId="0" borderId="10" xfId="0" applyFont="1" applyBorder="1" applyAlignment="1">
      <alignment horizontal="right" vertical="center" wrapText="1"/>
    </xf>
    <xf numFmtId="43" fontId="4" fillId="0" borderId="10" xfId="1" applyFont="1" applyFill="1" applyBorder="1" applyAlignment="1">
      <alignment horizontal="left" vertical="center"/>
    </xf>
    <xf numFmtId="165" fontId="5" fillId="0" borderId="1" xfId="0" applyNumberFormat="1" applyFont="1" applyBorder="1" applyAlignment="1">
      <alignment horizontal="right" vertical="center"/>
    </xf>
    <xf numFmtId="165" fontId="5" fillId="0" borderId="5" xfId="0" applyNumberFormat="1" applyFont="1" applyBorder="1" applyAlignment="1">
      <alignment horizontal="right" vertical="center" wrapText="1"/>
    </xf>
    <xf numFmtId="0" fontId="4" fillId="0" borderId="7" xfId="0" applyFont="1" applyBorder="1" applyAlignment="1">
      <alignment horizontal="center" vertical="center"/>
    </xf>
    <xf numFmtId="43" fontId="4" fillId="0" borderId="6" xfId="0" applyNumberFormat="1" applyFont="1" applyBorder="1" applyAlignment="1">
      <alignment horizontal="center" vertical="center"/>
    </xf>
    <xf numFmtId="0" fontId="5" fillId="0" borderId="6" xfId="0" applyFont="1" applyBorder="1" applyAlignment="1">
      <alignment horizontal="center" vertical="center" wrapText="1"/>
    </xf>
    <xf numFmtId="165" fontId="5" fillId="0" borderId="7" xfId="0" applyNumberFormat="1" applyFont="1" applyBorder="1" applyAlignment="1">
      <alignment horizontal="right" vertical="center" wrapText="1"/>
    </xf>
    <xf numFmtId="43" fontId="4" fillId="0" borderId="6" xfId="1" applyFont="1" applyFill="1" applyBorder="1" applyAlignment="1">
      <alignment horizontal="left" vertical="center"/>
    </xf>
    <xf numFmtId="0" fontId="5" fillId="0" borderId="6" xfId="0" applyFont="1" applyBorder="1" applyAlignment="1">
      <alignment horizontal="right" vertical="center" wrapText="1"/>
    </xf>
    <xf numFmtId="0" fontId="4" fillId="0" borderId="1" xfId="8" applyNumberFormat="1" applyFont="1" applyFill="1" applyBorder="1" applyAlignment="1">
      <alignment vertical="center" wrapText="1"/>
    </xf>
    <xf numFmtId="0" fontId="4" fillId="0" borderId="2" xfId="7" applyNumberFormat="1" applyFont="1" applyFill="1" applyBorder="1" applyAlignment="1">
      <alignment vertical="center" wrapText="1"/>
    </xf>
    <xf numFmtId="0" fontId="5" fillId="0" borderId="1" xfId="4" applyFont="1" applyBorder="1" applyAlignment="1">
      <alignment horizontal="right" vertical="center"/>
    </xf>
    <xf numFmtId="0" fontId="5" fillId="0" borderId="1" xfId="5" applyFont="1" applyBorder="1" applyAlignment="1">
      <alignment horizontal="right" vertical="center"/>
    </xf>
    <xf numFmtId="0" fontId="17" fillId="0" borderId="1" xfId="9" applyFont="1" applyBorder="1" applyAlignment="1">
      <alignment horizontal="center" vertical="center" wrapText="1"/>
    </xf>
    <xf numFmtId="0" fontId="17" fillId="0" borderId="1" xfId="9" applyFont="1" applyBorder="1" applyAlignment="1">
      <alignment horizontal="left" vertical="center" wrapText="1"/>
    </xf>
    <xf numFmtId="0" fontId="18" fillId="0" borderId="1" xfId="4" applyFont="1" applyBorder="1" applyAlignment="1">
      <alignment horizontal="center" vertical="center"/>
    </xf>
    <xf numFmtId="0" fontId="5" fillId="0" borderId="1" xfId="0" applyFont="1" applyBorder="1" applyAlignment="1">
      <alignment horizontal="center" vertical="center"/>
    </xf>
    <xf numFmtId="0" fontId="18" fillId="0" borderId="1" xfId="4" applyFont="1" applyBorder="1" applyAlignment="1">
      <alignment horizontal="right" vertical="center"/>
    </xf>
    <xf numFmtId="0" fontId="18" fillId="0" borderId="1" xfId="4" applyFont="1" applyBorder="1" applyAlignment="1">
      <alignment horizontal="left"/>
    </xf>
    <xf numFmtId="0" fontId="17" fillId="0" borderId="1" xfId="9" applyFont="1" applyBorder="1" applyAlignment="1">
      <alignment wrapText="1"/>
    </xf>
    <xf numFmtId="0" fontId="17" fillId="0" borderId="1" xfId="9" applyFont="1" applyBorder="1" applyAlignment="1">
      <alignment horizontal="right" vertical="center" wrapText="1"/>
    </xf>
    <xf numFmtId="0" fontId="19" fillId="0" borderId="1" xfId="4" applyFont="1" applyBorder="1" applyAlignment="1">
      <alignment vertical="center" wrapText="1"/>
    </xf>
    <xf numFmtId="0" fontId="18" fillId="0" borderId="1" xfId="4" applyFont="1" applyBorder="1" applyAlignment="1">
      <alignment horizontal="left" vertical="center"/>
    </xf>
    <xf numFmtId="165" fontId="5" fillId="0" borderId="0" xfId="1" applyNumberFormat="1" applyFont="1" applyFill="1" applyAlignment="1">
      <alignment horizontal="right" vertical="center"/>
    </xf>
    <xf numFmtId="0" fontId="12" fillId="4" borderId="2" xfId="0" applyFont="1" applyFill="1" applyBorder="1" applyAlignment="1">
      <alignment horizontal="left" vertical="center"/>
    </xf>
    <xf numFmtId="0" fontId="6" fillId="4" borderId="2" xfId="0" applyFont="1" applyFill="1" applyBorder="1" applyAlignment="1">
      <alignment horizontal="left" vertical="center"/>
    </xf>
    <xf numFmtId="165" fontId="4" fillId="0" borderId="1" xfId="1" applyNumberFormat="1" applyFont="1" applyFill="1" applyBorder="1" applyAlignment="1">
      <alignment horizontal="right" vertical="center" wrapText="1"/>
    </xf>
    <xf numFmtId="165" fontId="4" fillId="0" borderId="1" xfId="1" applyNumberFormat="1" applyFont="1" applyFill="1" applyBorder="1" applyAlignment="1">
      <alignment horizontal="right" vertical="center"/>
    </xf>
    <xf numFmtId="1" fontId="4" fillId="0" borderId="1" xfId="1" applyNumberFormat="1" applyFont="1" applyFill="1" applyBorder="1" applyAlignment="1">
      <alignment horizontal="center" vertical="center"/>
    </xf>
    <xf numFmtId="164" fontId="4" fillId="0" borderId="1" xfId="1" applyNumberFormat="1" applyFont="1" applyFill="1" applyBorder="1" applyAlignment="1">
      <alignment horizontal="center" vertical="center"/>
    </xf>
    <xf numFmtId="0" fontId="4" fillId="0" borderId="1" xfId="0" applyFont="1" applyBorder="1"/>
    <xf numFmtId="0" fontId="9" fillId="0" borderId="0" xfId="0" applyFont="1" applyAlignment="1">
      <alignment horizontal="right" vertical="center"/>
    </xf>
    <xf numFmtId="0" fontId="9" fillId="0" borderId="0" xfId="0" applyFont="1" applyAlignment="1">
      <alignment horizontal="right" vertical="center" wrapText="1"/>
    </xf>
    <xf numFmtId="165" fontId="4" fillId="0" borderId="1" xfId="0" applyNumberFormat="1" applyFont="1" applyBorder="1" applyAlignment="1">
      <alignment horizontal="right" vertical="center" wrapText="1"/>
    </xf>
    <xf numFmtId="0" fontId="4" fillId="0" borderId="1" xfId="0" applyFont="1" applyBorder="1" applyAlignment="1">
      <alignment horizontal="right" vertical="center"/>
    </xf>
    <xf numFmtId="165" fontId="4" fillId="0" borderId="1" xfId="0" applyNumberFormat="1" applyFont="1" applyBorder="1" applyAlignment="1">
      <alignment horizontal="right" vertical="center"/>
    </xf>
    <xf numFmtId="0" fontId="4" fillId="0" borderId="1" xfId="0" applyFont="1" applyBorder="1" applyAlignment="1">
      <alignment horizontal="right" vertical="center" wrapText="1"/>
    </xf>
    <xf numFmtId="0" fontId="4" fillId="0" borderId="1" xfId="0" applyFont="1" applyBorder="1" applyAlignment="1">
      <alignment wrapText="1"/>
    </xf>
    <xf numFmtId="0" fontId="6" fillId="0" borderId="1" xfId="0" applyFont="1" applyBorder="1" applyAlignment="1">
      <alignment vertical="center"/>
    </xf>
    <xf numFmtId="0" fontId="4" fillId="0" borderId="1" xfId="4" applyFont="1" applyBorder="1" applyAlignment="1">
      <alignment horizontal="left"/>
    </xf>
    <xf numFmtId="0" fontId="4" fillId="0" borderId="1" xfId="4" applyFont="1" applyBorder="1" applyAlignment="1">
      <alignment vertical="center" wrapText="1"/>
    </xf>
    <xf numFmtId="0" fontId="4" fillId="0" borderId="8" xfId="0" applyFont="1" applyBorder="1" applyAlignment="1">
      <alignment horizontal="right" vertical="center"/>
    </xf>
    <xf numFmtId="165" fontId="6" fillId="0" borderId="1" xfId="1" applyNumberFormat="1" applyFont="1" applyFill="1" applyBorder="1" applyAlignment="1">
      <alignment horizontal="center" vertical="center" wrapText="1"/>
    </xf>
    <xf numFmtId="0" fontId="6" fillId="0" borderId="3" xfId="0" applyFont="1" applyBorder="1" applyAlignment="1">
      <alignment horizontal="right" vertical="center"/>
    </xf>
    <xf numFmtId="0" fontId="6" fillId="0" borderId="1" xfId="0" applyFont="1" applyBorder="1" applyAlignment="1">
      <alignment horizontal="right" vertical="center"/>
    </xf>
    <xf numFmtId="0" fontId="4" fillId="0" borderId="1" xfId="0" applyFont="1" applyBorder="1" applyAlignment="1">
      <alignment horizontal="left" vertical="top" wrapText="1" indent="1"/>
    </xf>
    <xf numFmtId="0" fontId="4" fillId="0" borderId="1" xfId="0" applyFont="1" applyBorder="1" applyAlignment="1">
      <alignment vertical="top" wrapText="1"/>
    </xf>
    <xf numFmtId="0" fontId="4" fillId="0" borderId="1" xfId="0" applyFont="1" applyBorder="1" applyAlignment="1">
      <alignment horizontal="center" vertical="top" wrapText="1"/>
    </xf>
    <xf numFmtId="43" fontId="4" fillId="0" borderId="1" xfId="1" applyFont="1" applyFill="1" applyBorder="1" applyAlignment="1">
      <alignment horizontal="center" vertical="top" wrapText="1"/>
    </xf>
    <xf numFmtId="0" fontId="4" fillId="0" borderId="1" xfId="0" applyFont="1" applyBorder="1" applyAlignment="1">
      <alignment vertical="center"/>
    </xf>
    <xf numFmtId="0" fontId="4" fillId="0" borderId="1" xfId="0" applyFont="1" applyBorder="1" applyAlignment="1">
      <alignment horizontal="center"/>
    </xf>
    <xf numFmtId="165" fontId="4" fillId="0" borderId="0" xfId="1" applyNumberFormat="1" applyFont="1" applyFill="1" applyAlignment="1">
      <alignment horizontal="right" vertical="center"/>
    </xf>
    <xf numFmtId="0" fontId="4" fillId="0" borderId="10" xfId="0" quotePrefix="1" applyFont="1" applyBorder="1" applyAlignment="1">
      <alignment horizontal="left" vertical="center" wrapText="1"/>
    </xf>
    <xf numFmtId="0" fontId="5" fillId="0" borderId="1" xfId="0" applyFont="1" applyBorder="1" applyAlignment="1">
      <alignment horizontal="left" vertical="center"/>
    </xf>
    <xf numFmtId="43" fontId="5" fillId="0" borderId="1" xfId="1" applyFont="1" applyFill="1" applyBorder="1" applyAlignment="1">
      <alignment horizontal="left" vertical="center" wrapText="1"/>
    </xf>
    <xf numFmtId="0" fontId="5" fillId="0" borderId="0" xfId="0" applyFont="1" applyAlignment="1">
      <alignment horizontal="left" vertical="center"/>
    </xf>
    <xf numFmtId="0" fontId="5" fillId="0" borderId="1" xfId="0" applyFont="1" applyBorder="1" applyAlignment="1">
      <alignment horizontal="left" vertical="center" wrapText="1"/>
    </xf>
    <xf numFmtId="43" fontId="5" fillId="0" borderId="1" xfId="1" applyFont="1" applyFill="1" applyBorder="1" applyAlignment="1">
      <alignment horizontal="left" vertical="center"/>
    </xf>
    <xf numFmtId="0" fontId="5" fillId="0" borderId="1" xfId="0" applyFont="1" applyBorder="1" applyAlignment="1">
      <alignment horizontal="right" vertical="center"/>
    </xf>
    <xf numFmtId="0" fontId="5" fillId="0" borderId="1" xfId="0" applyFont="1" applyBorder="1" applyAlignment="1">
      <alignment vertical="center" wrapText="1"/>
    </xf>
    <xf numFmtId="43" fontId="5" fillId="0" borderId="10" xfId="1" applyFont="1" applyFill="1" applyBorder="1" applyAlignment="1">
      <alignment horizontal="left" vertical="center"/>
    </xf>
    <xf numFmtId="0" fontId="5" fillId="0" borderId="10" xfId="0" applyFont="1" applyBorder="1" applyAlignment="1">
      <alignment horizontal="left" vertical="center"/>
    </xf>
    <xf numFmtId="0" fontId="12" fillId="0" borderId="1" xfId="0" applyFont="1" applyBorder="1" applyAlignment="1">
      <alignment horizontal="left" vertical="center"/>
    </xf>
    <xf numFmtId="0" fontId="12" fillId="0" borderId="1" xfId="0" applyFont="1" applyBorder="1" applyAlignment="1">
      <alignment horizontal="center" vertical="center"/>
    </xf>
    <xf numFmtId="0" fontId="12" fillId="0" borderId="1" xfId="0" applyFont="1" applyBorder="1" applyAlignment="1">
      <alignment horizontal="right" vertical="center"/>
    </xf>
    <xf numFmtId="43" fontId="12" fillId="0" borderId="1" xfId="1" applyFont="1" applyFill="1" applyBorder="1" applyAlignment="1">
      <alignment horizontal="left" vertical="center"/>
    </xf>
    <xf numFmtId="0" fontId="12" fillId="0" borderId="0" xfId="0" applyFont="1" applyAlignment="1">
      <alignment horizontal="left" vertical="center"/>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165" fontId="4" fillId="7" borderId="1" xfId="1" applyNumberFormat="1" applyFont="1" applyFill="1" applyBorder="1" applyAlignment="1">
      <alignment horizontal="right" vertical="center"/>
    </xf>
    <xf numFmtId="0" fontId="4" fillId="7" borderId="1" xfId="0" applyFont="1" applyFill="1" applyBorder="1" applyAlignment="1">
      <alignment vertical="center"/>
    </xf>
    <xf numFmtId="0" fontId="4" fillId="7" borderId="1" xfId="0" applyFont="1" applyFill="1" applyBorder="1"/>
    <xf numFmtId="0" fontId="4" fillId="7" borderId="1" xfId="0" applyFont="1" applyFill="1" applyBorder="1" applyAlignment="1">
      <alignment wrapText="1"/>
    </xf>
    <xf numFmtId="164" fontId="4" fillId="7" borderId="1" xfId="0" applyNumberFormat="1" applyFont="1" applyFill="1" applyBorder="1" applyAlignment="1">
      <alignment horizontal="center" vertical="center"/>
    </xf>
    <xf numFmtId="43" fontId="4" fillId="7" borderId="1" xfId="1" applyFont="1" applyFill="1" applyBorder="1" applyAlignment="1">
      <alignment horizontal="left" vertical="center"/>
    </xf>
    <xf numFmtId="0" fontId="4" fillId="7" borderId="1" xfId="0" applyFont="1" applyFill="1" applyBorder="1" applyAlignment="1">
      <alignment horizontal="left" vertical="center"/>
    </xf>
    <xf numFmtId="1" fontId="4" fillId="7" borderId="1" xfId="1" applyNumberFormat="1" applyFont="1" applyFill="1" applyBorder="1" applyAlignment="1">
      <alignment horizontal="center" vertical="center"/>
    </xf>
    <xf numFmtId="0" fontId="4" fillId="7" borderId="1" xfId="0" applyFont="1" applyFill="1" applyBorder="1" applyAlignment="1">
      <alignment vertical="center" wrapText="1"/>
    </xf>
    <xf numFmtId="165" fontId="4" fillId="7" borderId="1" xfId="1" applyNumberFormat="1" applyFont="1" applyFill="1" applyBorder="1" applyAlignment="1">
      <alignment horizontal="right" vertical="center" wrapText="1"/>
    </xf>
    <xf numFmtId="43" fontId="4" fillId="7" borderId="1" xfId="1" applyFont="1" applyFill="1" applyBorder="1" applyAlignment="1">
      <alignment horizontal="left" vertical="center" wrapText="1"/>
    </xf>
    <xf numFmtId="164" fontId="4" fillId="7" borderId="1" xfId="1" applyNumberFormat="1" applyFont="1" applyFill="1" applyBorder="1" applyAlignment="1">
      <alignment horizontal="center" vertical="center"/>
    </xf>
    <xf numFmtId="165" fontId="4" fillId="7" borderId="1" xfId="0" applyNumberFormat="1" applyFont="1" applyFill="1" applyBorder="1" applyAlignment="1">
      <alignment horizontal="right" vertical="center"/>
    </xf>
    <xf numFmtId="0" fontId="4" fillId="7" borderId="1" xfId="0" applyFont="1" applyFill="1" applyBorder="1" applyAlignment="1">
      <alignment horizontal="right" vertical="center" wrapText="1"/>
    </xf>
    <xf numFmtId="0" fontId="4" fillId="7" borderId="1" xfId="0" applyFont="1" applyFill="1" applyBorder="1" applyAlignment="1">
      <alignment horizontal="left" vertical="top" wrapText="1" indent="1"/>
    </xf>
    <xf numFmtId="165" fontId="4" fillId="0" borderId="7" xfId="0" applyNumberFormat="1" applyFont="1" applyBorder="1" applyAlignment="1">
      <alignment horizontal="right" vertical="center" wrapText="1"/>
    </xf>
    <xf numFmtId="0" fontId="2" fillId="5" borderId="1" xfId="0" applyFont="1" applyFill="1" applyBorder="1" applyAlignment="1">
      <alignment horizontal="left" vertical="top" wrapText="1" indent="1"/>
    </xf>
    <xf numFmtId="0" fontId="2" fillId="6" borderId="1" xfId="0" applyFont="1" applyFill="1" applyBorder="1" applyAlignment="1">
      <alignment horizontal="left" vertical="top" wrapText="1" indent="1"/>
    </xf>
    <xf numFmtId="165" fontId="4" fillId="0" borderId="10" xfId="1" applyNumberFormat="1" applyFont="1" applyFill="1" applyBorder="1" applyAlignment="1">
      <alignment horizontal="right" vertical="center" wrapText="1"/>
    </xf>
    <xf numFmtId="0" fontId="4" fillId="0" borderId="10" xfId="0" applyFont="1" applyBorder="1" applyAlignment="1">
      <alignment vertical="center" wrapText="1"/>
    </xf>
    <xf numFmtId="0" fontId="4" fillId="0" borderId="10" xfId="0" applyFont="1" applyBorder="1" applyAlignment="1">
      <alignment horizontal="right" vertical="center"/>
    </xf>
    <xf numFmtId="0" fontId="4" fillId="0" borderId="10" xfId="0" applyFont="1" applyBorder="1" applyAlignment="1">
      <alignment wrapText="1"/>
    </xf>
    <xf numFmtId="0" fontId="5" fillId="0" borderId="0" xfId="0" applyFont="1" applyAlignment="1">
      <alignment vertical="center"/>
    </xf>
    <xf numFmtId="0" fontId="5" fillId="0" borderId="0" xfId="0" applyFont="1" applyAlignment="1">
      <alignment horizontal="left" vertical="center" wrapText="1"/>
    </xf>
    <xf numFmtId="0" fontId="15" fillId="0" borderId="1" xfId="0" applyFont="1" applyBorder="1" applyAlignment="1">
      <alignment horizontal="center" vertical="center"/>
    </xf>
    <xf numFmtId="43" fontId="15" fillId="0" borderId="1" xfId="1" applyFont="1" applyFill="1" applyBorder="1" applyAlignment="1">
      <alignment horizontal="left" vertical="center" wrapText="1"/>
    </xf>
    <xf numFmtId="0" fontId="15" fillId="0" borderId="1" xfId="0" applyFont="1" applyBorder="1" applyAlignment="1">
      <alignment horizontal="left" vertical="center"/>
    </xf>
    <xf numFmtId="0" fontId="15" fillId="0" borderId="0" xfId="0" applyFont="1" applyAlignment="1">
      <alignment horizontal="left" vertical="center"/>
    </xf>
    <xf numFmtId="43" fontId="15" fillId="0" borderId="1" xfId="1" applyFont="1" applyFill="1" applyBorder="1" applyAlignment="1">
      <alignment horizontal="left" vertical="center"/>
    </xf>
    <xf numFmtId="43" fontId="4" fillId="0" borderId="4" xfId="1" applyFont="1" applyFill="1" applyBorder="1" applyAlignment="1">
      <alignment horizontal="left" vertical="center"/>
    </xf>
    <xf numFmtId="0" fontId="9" fillId="0" borderId="0" xfId="0" applyFont="1" applyAlignment="1">
      <alignment horizontal="left" vertical="center" wrapText="1"/>
    </xf>
    <xf numFmtId="0" fontId="5" fillId="2" borderId="0" xfId="0" applyFont="1" applyFill="1" applyAlignment="1">
      <alignment horizontal="left" vertical="center"/>
    </xf>
    <xf numFmtId="0" fontId="5" fillId="0" borderId="0" xfId="0" applyFont="1" applyAlignment="1">
      <alignment horizontal="center" vertical="center" wrapText="1"/>
    </xf>
    <xf numFmtId="0" fontId="15" fillId="0" borderId="0" xfId="0" applyFont="1" applyAlignment="1">
      <alignment horizontal="center" vertical="center"/>
    </xf>
    <xf numFmtId="43" fontId="5" fillId="0" borderId="4" xfId="1" applyFont="1" applyFill="1" applyBorder="1" applyAlignment="1">
      <alignment horizontal="left" vertical="center" wrapText="1"/>
    </xf>
    <xf numFmtId="43" fontId="5" fillId="0" borderId="4" xfId="1" applyFont="1" applyFill="1" applyBorder="1" applyAlignment="1">
      <alignment horizontal="left" vertical="center"/>
    </xf>
    <xf numFmtId="43" fontId="22" fillId="0" borderId="0" xfId="1" applyFont="1" applyFill="1" applyAlignment="1">
      <alignment horizontal="right" vertical="center"/>
    </xf>
    <xf numFmtId="0" fontId="5" fillId="0" borderId="1" xfId="0" applyFont="1" applyBorder="1" applyAlignment="1">
      <alignment vertical="center"/>
    </xf>
    <xf numFmtId="165" fontId="4" fillId="0" borderId="0" xfId="1" applyNumberFormat="1" applyFont="1" applyFill="1" applyAlignment="1">
      <alignment horizontal="center" vertical="center"/>
    </xf>
    <xf numFmtId="0" fontId="23" fillId="0" borderId="1" xfId="2" applyFont="1" applyBorder="1" applyAlignment="1">
      <alignment horizontal="center" vertical="center" wrapText="1"/>
    </xf>
    <xf numFmtId="165" fontId="23" fillId="0" borderId="1" xfId="1" applyNumberFormat="1" applyFont="1" applyFill="1" applyBorder="1" applyAlignment="1">
      <alignment horizontal="center" vertical="center" wrapText="1"/>
    </xf>
    <xf numFmtId="0" fontId="23" fillId="0" borderId="1" xfId="0" applyFont="1" applyBorder="1" applyAlignment="1">
      <alignment horizontal="center" vertical="center" wrapText="1"/>
    </xf>
    <xf numFmtId="0" fontId="23" fillId="0" borderId="1" xfId="0" applyFont="1" applyBorder="1" applyAlignment="1">
      <alignment horizontal="center" vertical="center"/>
    </xf>
    <xf numFmtId="0" fontId="23" fillId="0" borderId="1" xfId="0" applyFont="1" applyBorder="1" applyAlignment="1">
      <alignment horizontal="left" vertical="center" wrapText="1"/>
    </xf>
    <xf numFmtId="164" fontId="23" fillId="0" borderId="1" xfId="0" applyNumberFormat="1" applyFont="1" applyBorder="1" applyAlignment="1">
      <alignment horizontal="center" vertical="center"/>
    </xf>
    <xf numFmtId="0" fontId="23" fillId="0" borderId="4" xfId="0" applyFont="1" applyBorder="1" applyAlignment="1">
      <alignment horizontal="center" vertical="center" wrapText="1"/>
    </xf>
    <xf numFmtId="0" fontId="23" fillId="0" borderId="1" xfId="0" quotePrefix="1" applyFont="1" applyBorder="1" applyAlignment="1">
      <alignment horizontal="left" vertical="center" wrapText="1"/>
    </xf>
    <xf numFmtId="0" fontId="23" fillId="0" borderId="1" xfId="0" applyFont="1" applyBorder="1" applyAlignment="1">
      <alignment horizontal="left" vertical="center"/>
    </xf>
    <xf numFmtId="1" fontId="23" fillId="0" borderId="1" xfId="1" applyNumberFormat="1" applyFont="1" applyFill="1" applyBorder="1" applyAlignment="1">
      <alignment horizontal="center" vertical="center"/>
    </xf>
    <xf numFmtId="0" fontId="23" fillId="0" borderId="5" xfId="0" applyFont="1" applyBorder="1" applyAlignment="1">
      <alignment horizontal="left" vertical="center" wrapText="1"/>
    </xf>
    <xf numFmtId="0" fontId="23" fillId="0" borderId="5" xfId="0" applyFont="1" applyBorder="1" applyAlignment="1">
      <alignment vertical="center" wrapText="1"/>
    </xf>
    <xf numFmtId="0" fontId="23" fillId="0" borderId="10" xfId="0" applyFont="1" applyBorder="1" applyAlignment="1">
      <alignment horizontal="center" vertical="center"/>
    </xf>
    <xf numFmtId="0" fontId="23" fillId="0" borderId="10" xfId="0" applyFont="1" applyBorder="1" applyAlignment="1">
      <alignment horizontal="left" vertical="center" wrapText="1"/>
    </xf>
    <xf numFmtId="0" fontId="23" fillId="0" borderId="1" xfId="0" applyFont="1" applyBorder="1" applyAlignment="1">
      <alignment vertical="center" wrapText="1"/>
    </xf>
    <xf numFmtId="0" fontId="23" fillId="2" borderId="1" xfId="0" applyFont="1" applyFill="1" applyBorder="1" applyAlignment="1">
      <alignment horizontal="center" vertical="center"/>
    </xf>
    <xf numFmtId="0" fontId="23" fillId="2" borderId="1" xfId="0" applyFont="1" applyFill="1" applyBorder="1" applyAlignment="1">
      <alignment horizontal="center" vertical="center" wrapText="1"/>
    </xf>
    <xf numFmtId="0" fontId="23" fillId="2" borderId="1" xfId="0" applyFont="1" applyFill="1" applyBorder="1" applyAlignment="1">
      <alignment vertical="center" wrapText="1"/>
    </xf>
    <xf numFmtId="0" fontId="23" fillId="0" borderId="1" xfId="0" applyFont="1" applyBorder="1" applyAlignment="1">
      <alignment wrapText="1"/>
    </xf>
    <xf numFmtId="0" fontId="24" fillId="0" borderId="0" xfId="0" applyFont="1" applyAlignment="1">
      <alignment horizontal="left" vertical="center"/>
    </xf>
    <xf numFmtId="0" fontId="24" fillId="0" borderId="0" xfId="0" applyFont="1" applyAlignment="1">
      <alignment horizontal="center" vertical="center"/>
    </xf>
    <xf numFmtId="0" fontId="25"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7" fillId="0" borderId="0" xfId="0" applyFont="1" applyAlignment="1">
      <alignment horizontal="left" vertical="center"/>
    </xf>
    <xf numFmtId="1" fontId="25" fillId="0" borderId="1" xfId="1" applyNumberFormat="1" applyFont="1" applyFill="1" applyBorder="1" applyAlignment="1">
      <alignment horizontal="center" vertical="center"/>
    </xf>
    <xf numFmtId="0" fontId="25" fillId="0" borderId="0" xfId="0" applyFont="1" applyAlignment="1">
      <alignment horizontal="left" vertical="center"/>
    </xf>
    <xf numFmtId="0" fontId="25" fillId="0" borderId="1" xfId="0" applyFont="1" applyBorder="1" applyAlignment="1">
      <alignment horizontal="center" vertical="center"/>
    </xf>
    <xf numFmtId="0" fontId="25" fillId="0" borderId="1" xfId="0" applyFont="1" applyBorder="1" applyAlignment="1">
      <alignment horizontal="left" vertical="center" wrapText="1"/>
    </xf>
    <xf numFmtId="43" fontId="25" fillId="0" borderId="1" xfId="1" applyFont="1" applyFill="1" applyBorder="1" applyAlignment="1">
      <alignment horizontal="right" vertical="center"/>
    </xf>
    <xf numFmtId="0" fontId="25" fillId="0" borderId="0" xfId="0" applyFont="1" applyAlignment="1">
      <alignment vertical="center"/>
    </xf>
    <xf numFmtId="0" fontId="28" fillId="2" borderId="0" xfId="0" applyFont="1" applyFill="1"/>
    <xf numFmtId="0" fontId="25" fillId="0" borderId="1" xfId="2" applyFont="1" applyBorder="1" applyAlignment="1">
      <alignment horizontal="center" vertical="center" wrapText="1"/>
    </xf>
    <xf numFmtId="165" fontId="25" fillId="0" borderId="1" xfId="1" applyNumberFormat="1" applyFont="1" applyFill="1" applyBorder="1" applyAlignment="1">
      <alignment horizontal="center" vertical="center" wrapText="1"/>
    </xf>
    <xf numFmtId="0" fontId="25" fillId="0" borderId="1" xfId="0" applyFont="1" applyBorder="1" applyAlignment="1">
      <alignment horizontal="center" vertical="center" wrapText="1"/>
    </xf>
    <xf numFmtId="43" fontId="26" fillId="0" borderId="1" xfId="1" applyFont="1" applyFill="1" applyBorder="1" applyAlignment="1">
      <alignment horizontal="left" vertical="center" wrapText="1"/>
    </xf>
    <xf numFmtId="0" fontId="26" fillId="0" borderId="1" xfId="0" applyFont="1" applyBorder="1" applyAlignment="1">
      <alignment horizontal="center" vertical="center"/>
    </xf>
    <xf numFmtId="43" fontId="26" fillId="0" borderId="1" xfId="1" applyFont="1" applyFill="1" applyBorder="1" applyAlignment="1">
      <alignment horizontal="left" vertical="center"/>
    </xf>
    <xf numFmtId="0" fontId="25" fillId="0" borderId="1" xfId="0" applyFont="1" applyBorder="1" applyAlignment="1">
      <alignment horizontal="left" vertical="center"/>
    </xf>
    <xf numFmtId="43" fontId="25" fillId="0" borderId="1" xfId="1" applyFont="1" applyFill="1" applyBorder="1" applyAlignment="1">
      <alignment horizontal="left" vertical="center" wrapText="1"/>
    </xf>
    <xf numFmtId="43" fontId="25" fillId="0" borderId="1" xfId="1" applyFont="1" applyFill="1" applyBorder="1" applyAlignment="1">
      <alignment horizontal="left" vertical="center"/>
    </xf>
    <xf numFmtId="0" fontId="25" fillId="0" borderId="0" xfId="0" applyFont="1" applyAlignment="1">
      <alignment horizontal="center" vertical="center" wrapText="1"/>
    </xf>
    <xf numFmtId="0" fontId="25" fillId="0" borderId="0" xfId="0" applyFont="1" applyAlignment="1">
      <alignment horizontal="left" vertical="center" wrapText="1"/>
    </xf>
    <xf numFmtId="0" fontId="25" fillId="2" borderId="0" xfId="0" applyFont="1" applyFill="1" applyAlignment="1">
      <alignment horizontal="left" vertical="center"/>
    </xf>
    <xf numFmtId="0" fontId="25" fillId="0" borderId="5" xfId="0" applyFont="1" applyBorder="1" applyAlignment="1">
      <alignment horizontal="left" vertical="center" wrapText="1"/>
    </xf>
    <xf numFmtId="43" fontId="25" fillId="0" borderId="4" xfId="1" applyFont="1" applyFill="1" applyBorder="1" applyAlignment="1">
      <alignment horizontal="left" vertical="center" wrapText="1"/>
    </xf>
    <xf numFmtId="43" fontId="25" fillId="0" borderId="4" xfId="1" applyFont="1" applyFill="1" applyBorder="1" applyAlignment="1">
      <alignment horizontal="left" vertical="center"/>
    </xf>
    <xf numFmtId="0" fontId="26" fillId="0" borderId="0" xfId="0" applyFont="1" applyAlignment="1">
      <alignment horizontal="left" vertical="center"/>
    </xf>
    <xf numFmtId="0" fontId="25" fillId="0" borderId="5" xfId="0" applyFont="1" applyBorder="1" applyAlignment="1">
      <alignment vertical="center" wrapText="1"/>
    </xf>
    <xf numFmtId="164" fontId="25" fillId="0" borderId="1" xfId="0" applyNumberFormat="1" applyFont="1" applyBorder="1" applyAlignment="1">
      <alignment horizontal="center" vertical="center"/>
    </xf>
    <xf numFmtId="0" fontId="26" fillId="0" borderId="1" xfId="0" applyFont="1" applyBorder="1" applyAlignment="1">
      <alignment horizontal="left" vertical="center"/>
    </xf>
    <xf numFmtId="0" fontId="25" fillId="0" borderId="4" xfId="0" applyFont="1" applyBorder="1" applyAlignment="1">
      <alignment horizontal="center" vertical="center" wrapText="1"/>
    </xf>
    <xf numFmtId="0" fontId="25" fillId="0" borderId="1" xfId="0" quotePrefix="1" applyFont="1" applyBorder="1" applyAlignment="1">
      <alignment horizontal="left" vertical="center" wrapText="1"/>
    </xf>
    <xf numFmtId="0" fontId="2" fillId="0" borderId="0" xfId="0" applyFont="1"/>
    <xf numFmtId="0" fontId="25" fillId="0" borderId="10" xfId="0" applyFont="1" applyBorder="1" applyAlignment="1">
      <alignment horizontal="left" vertical="center" wrapText="1"/>
    </xf>
    <xf numFmtId="0" fontId="25" fillId="0" borderId="10" xfId="0" applyFont="1" applyBorder="1" applyAlignment="1">
      <alignment horizontal="center" vertical="center"/>
    </xf>
    <xf numFmtId="0" fontId="25" fillId="0" borderId="1" xfId="0" applyFont="1" applyBorder="1" applyAlignment="1">
      <alignment wrapText="1"/>
    </xf>
    <xf numFmtId="0" fontId="25" fillId="3" borderId="1" xfId="0" applyFont="1" applyFill="1" applyBorder="1" applyAlignment="1">
      <alignment vertical="center" wrapText="1"/>
    </xf>
    <xf numFmtId="0" fontId="25" fillId="2" borderId="1" xfId="0" applyFont="1" applyFill="1" applyBorder="1" applyAlignment="1">
      <alignment horizontal="center" vertical="center"/>
    </xf>
    <xf numFmtId="0" fontId="25" fillId="2" borderId="1" xfId="0" applyFont="1" applyFill="1" applyBorder="1" applyAlignment="1">
      <alignment horizontal="center" vertical="center" wrapText="1"/>
    </xf>
    <xf numFmtId="0" fontId="25" fillId="2" borderId="1" xfId="0" applyFont="1" applyFill="1" applyBorder="1" applyAlignment="1">
      <alignment vertical="center" wrapText="1"/>
    </xf>
    <xf numFmtId="0" fontId="25" fillId="2" borderId="0" xfId="0" applyFont="1" applyFill="1" applyAlignment="1">
      <alignment horizontal="center" vertical="center"/>
    </xf>
    <xf numFmtId="0" fontId="25" fillId="2" borderId="1" xfId="0" applyFont="1" applyFill="1" applyBorder="1"/>
    <xf numFmtId="0" fontId="25" fillId="2" borderId="0" xfId="0" applyFont="1" applyFill="1"/>
    <xf numFmtId="0" fontId="25" fillId="0" borderId="1" xfId="0" applyFont="1" applyBorder="1" applyAlignment="1">
      <alignment vertical="center" wrapText="1"/>
    </xf>
    <xf numFmtId="0" fontId="25" fillId="2" borderId="1" xfId="0" applyFont="1" applyFill="1" applyBorder="1" applyAlignment="1">
      <alignment horizontal="center"/>
    </xf>
    <xf numFmtId="0" fontId="29" fillId="0" borderId="0" xfId="0" applyFont="1" applyAlignment="1">
      <alignment horizontal="left" vertical="center"/>
    </xf>
    <xf numFmtId="0" fontId="29" fillId="0" borderId="0" xfId="0" applyFont="1" applyAlignment="1">
      <alignment horizontal="center" vertical="center"/>
    </xf>
    <xf numFmtId="43" fontId="30" fillId="0" borderId="0" xfId="1" applyFont="1" applyFill="1" applyAlignment="1">
      <alignment vertical="center"/>
    </xf>
    <xf numFmtId="0" fontId="29" fillId="0" borderId="0" xfId="0" applyFont="1" applyAlignment="1">
      <alignment vertical="center"/>
    </xf>
    <xf numFmtId="0" fontId="15" fillId="0" borderId="0" xfId="0" applyFont="1" applyAlignment="1">
      <alignment vertical="center"/>
    </xf>
    <xf numFmtId="0" fontId="31" fillId="0" borderId="0" xfId="0" applyFont="1" applyAlignment="1">
      <alignment horizontal="center" vertical="center"/>
    </xf>
    <xf numFmtId="0" fontId="29" fillId="0" borderId="1" xfId="0" applyFont="1" applyBorder="1" applyAlignment="1">
      <alignment horizontal="center" vertical="center"/>
    </xf>
    <xf numFmtId="43" fontId="32" fillId="0" borderId="0" xfId="1" applyFont="1" applyFill="1" applyAlignment="1">
      <alignment horizontal="right" vertical="center"/>
    </xf>
    <xf numFmtId="0" fontId="29" fillId="0" borderId="0" xfId="0" applyFont="1" applyAlignment="1">
      <alignment horizontal="left" vertical="center" wrapText="1"/>
    </xf>
    <xf numFmtId="0" fontId="29" fillId="0" borderId="0" xfId="0" applyFont="1" applyAlignment="1">
      <alignment horizontal="center" vertical="center" wrapText="1"/>
    </xf>
    <xf numFmtId="43" fontId="30" fillId="0" borderId="0" xfId="1" applyFont="1" applyFill="1" applyAlignment="1">
      <alignment vertical="center" wrapText="1"/>
    </xf>
    <xf numFmtId="0" fontId="29" fillId="0" borderId="0" xfId="0" applyFont="1" applyAlignment="1">
      <alignment vertical="center" wrapText="1"/>
    </xf>
    <xf numFmtId="0" fontId="33" fillId="0" borderId="0" xfId="0" applyFont="1" applyAlignment="1">
      <alignment horizontal="center" vertical="center"/>
    </xf>
    <xf numFmtId="0" fontId="33" fillId="0" borderId="0" xfId="0" applyFont="1" applyAlignment="1">
      <alignment vertical="center"/>
    </xf>
    <xf numFmtId="43" fontId="32" fillId="0" borderId="0" xfId="1" applyFont="1" applyFill="1" applyAlignment="1">
      <alignment vertical="center"/>
    </xf>
    <xf numFmtId="0" fontId="15" fillId="0" borderId="8" xfId="0" applyFont="1" applyBorder="1" applyAlignment="1">
      <alignment horizontal="center" vertical="center"/>
    </xf>
    <xf numFmtId="0" fontId="15" fillId="0" borderId="8" xfId="0" applyFont="1" applyBorder="1" applyAlignment="1">
      <alignment horizontal="left" vertical="center"/>
    </xf>
    <xf numFmtId="43" fontId="32" fillId="0" borderId="8" xfId="1" applyFont="1" applyFill="1" applyBorder="1" applyAlignment="1">
      <alignment vertical="center"/>
    </xf>
    <xf numFmtId="0" fontId="15" fillId="0" borderId="8" xfId="0" applyFont="1" applyBorder="1" applyAlignment="1">
      <alignment vertical="center"/>
    </xf>
    <xf numFmtId="0" fontId="27" fillId="0" borderId="1" xfId="0" applyFont="1" applyBorder="1" applyAlignment="1">
      <alignment horizontal="center" vertical="center" wrapText="1"/>
    </xf>
    <xf numFmtId="43" fontId="34" fillId="0" borderId="1" xfId="1" applyFont="1" applyFill="1" applyBorder="1" applyAlignment="1">
      <alignment horizontal="left" vertical="center" wrapText="1"/>
    </xf>
    <xf numFmtId="0" fontId="34" fillId="0" borderId="1" xfId="0" applyFont="1" applyBorder="1" applyAlignment="1">
      <alignment horizontal="center" vertical="center"/>
    </xf>
    <xf numFmtId="0" fontId="34" fillId="0" borderId="0" xfId="0" applyFont="1" applyAlignment="1">
      <alignment horizontal="center" vertical="center"/>
    </xf>
    <xf numFmtId="0" fontId="27" fillId="0" borderId="1" xfId="0" applyFont="1" applyBorder="1" applyAlignment="1">
      <alignment horizontal="center" vertical="center"/>
    </xf>
    <xf numFmtId="43" fontId="34" fillId="0" borderId="1" xfId="1" applyFont="1" applyFill="1" applyBorder="1" applyAlignment="1">
      <alignment horizontal="left" vertical="center"/>
    </xf>
    <xf numFmtId="0" fontId="27" fillId="0" borderId="1" xfId="0" applyFont="1" applyBorder="1" applyAlignment="1">
      <alignment horizontal="left" vertical="center"/>
    </xf>
    <xf numFmtId="0" fontId="27" fillId="0" borderId="1" xfId="0" applyFont="1" applyBorder="1" applyAlignment="1">
      <alignment horizontal="left" vertical="center" wrapText="1"/>
    </xf>
    <xf numFmtId="43" fontId="27" fillId="0" borderId="1" xfId="1" applyFont="1" applyFill="1" applyBorder="1" applyAlignment="1">
      <alignment horizontal="left" vertical="center" wrapText="1"/>
    </xf>
    <xf numFmtId="43" fontId="27" fillId="0" borderId="1" xfId="1" applyFont="1" applyFill="1" applyBorder="1" applyAlignment="1">
      <alignment horizontal="left" vertical="center"/>
    </xf>
    <xf numFmtId="0" fontId="27" fillId="0" borderId="0" xfId="0" applyFont="1" applyAlignment="1">
      <alignment horizontal="center" vertical="center" wrapText="1"/>
    </xf>
    <xf numFmtId="0" fontId="27" fillId="0" borderId="0" xfId="0" applyFont="1" applyAlignment="1">
      <alignment horizontal="left" vertical="center" wrapText="1"/>
    </xf>
    <xf numFmtId="0" fontId="27" fillId="2" borderId="0" xfId="0" applyFont="1" applyFill="1" applyAlignment="1">
      <alignment horizontal="left" vertical="center"/>
    </xf>
    <xf numFmtId="43" fontId="27" fillId="0" borderId="4" xfId="1" applyFont="1" applyFill="1" applyBorder="1" applyAlignment="1">
      <alignment horizontal="left" vertical="center" wrapText="1"/>
    </xf>
    <xf numFmtId="43" fontId="27" fillId="0" borderId="4" xfId="1" applyFont="1" applyFill="1" applyBorder="1" applyAlignment="1">
      <alignment horizontal="left" vertical="center"/>
    </xf>
    <xf numFmtId="0" fontId="34" fillId="0" borderId="0" xfId="0" applyFont="1" applyAlignment="1">
      <alignment horizontal="left" vertical="center"/>
    </xf>
    <xf numFmtId="0" fontId="35" fillId="0" borderId="0" xfId="0" applyFont="1" applyAlignment="1">
      <alignment horizontal="center"/>
    </xf>
    <xf numFmtId="0" fontId="27" fillId="0" borderId="2" xfId="0" applyFont="1" applyBorder="1" applyAlignment="1">
      <alignment horizontal="center" vertical="center"/>
    </xf>
    <xf numFmtId="0" fontId="27" fillId="2" borderId="0" xfId="0" applyFont="1" applyFill="1" applyAlignment="1">
      <alignment horizontal="center" vertical="center"/>
    </xf>
    <xf numFmtId="0" fontId="27" fillId="2" borderId="1" xfId="0" applyFont="1" applyFill="1" applyBorder="1"/>
    <xf numFmtId="0" fontId="27" fillId="2" borderId="0" xfId="0" applyFont="1" applyFill="1"/>
    <xf numFmtId="43" fontId="27" fillId="0" borderId="1" xfId="1" applyFont="1" applyFill="1" applyBorder="1" applyAlignment="1">
      <alignment horizontal="right" vertical="center"/>
    </xf>
    <xf numFmtId="0" fontId="27" fillId="0" borderId="0" xfId="0" applyFont="1" applyAlignment="1">
      <alignment vertical="center"/>
    </xf>
    <xf numFmtId="165" fontId="15" fillId="0" borderId="0" xfId="1" applyNumberFormat="1" applyFont="1" applyFill="1" applyAlignment="1">
      <alignment horizontal="center" vertical="center"/>
    </xf>
    <xf numFmtId="0" fontId="15" fillId="0" borderId="0" xfId="0" applyFont="1" applyAlignment="1">
      <alignment horizontal="left" vertical="center" wrapText="1"/>
    </xf>
    <xf numFmtId="0" fontId="36" fillId="0" borderId="1" xfId="2" applyFont="1" applyBorder="1" applyAlignment="1">
      <alignment horizontal="center" vertical="center" wrapText="1"/>
    </xf>
    <xf numFmtId="0" fontId="36" fillId="0" borderId="1" xfId="2" applyFont="1" applyBorder="1" applyAlignment="1">
      <alignment horizontal="left" vertical="center" wrapText="1"/>
    </xf>
    <xf numFmtId="165" fontId="36" fillId="0" borderId="1" xfId="1" applyNumberFormat="1" applyFont="1" applyFill="1" applyBorder="1" applyAlignment="1">
      <alignment horizontal="center" vertical="center" wrapText="1"/>
    </xf>
    <xf numFmtId="0" fontId="36" fillId="0" borderId="1" xfId="0" applyFont="1" applyBorder="1" applyAlignment="1">
      <alignment horizontal="center" vertical="center" wrapText="1"/>
    </xf>
    <xf numFmtId="0" fontId="37" fillId="0" borderId="2" xfId="0" applyFont="1" applyBorder="1" applyAlignment="1">
      <alignment vertical="center"/>
    </xf>
    <xf numFmtId="0" fontId="37" fillId="0" borderId="3" xfId="0" applyFont="1" applyBorder="1" applyAlignment="1">
      <alignment vertical="center"/>
    </xf>
    <xf numFmtId="0" fontId="37" fillId="0" borderId="4" xfId="0" applyFont="1" applyBorder="1" applyAlignment="1">
      <alignment vertical="center"/>
    </xf>
    <xf numFmtId="0" fontId="36" fillId="0" borderId="1" xfId="0" applyFont="1" applyBorder="1" applyAlignment="1">
      <alignment horizontal="center" vertical="center"/>
    </xf>
    <xf numFmtId="0" fontId="36" fillId="0" borderId="1" xfId="0" applyFont="1" applyBorder="1" applyAlignment="1">
      <alignment horizontal="left" vertical="center"/>
    </xf>
    <xf numFmtId="0" fontId="36" fillId="0" borderId="1" xfId="0" applyFont="1" applyBorder="1" applyAlignment="1">
      <alignment horizontal="left" vertical="center" wrapText="1"/>
    </xf>
    <xf numFmtId="1" fontId="36" fillId="0" borderId="1" xfId="1" applyNumberFormat="1" applyFont="1" applyFill="1" applyBorder="1" applyAlignment="1">
      <alignment horizontal="center" vertical="center"/>
    </xf>
    <xf numFmtId="0" fontId="36" fillId="0" borderId="5" xfId="0" applyFont="1" applyBorder="1" applyAlignment="1">
      <alignment horizontal="left" vertical="center" wrapText="1"/>
    </xf>
    <xf numFmtId="0" fontId="37" fillId="0" borderId="1" xfId="0" applyFont="1" applyBorder="1" applyAlignment="1">
      <alignment horizontal="left" vertical="center"/>
    </xf>
    <xf numFmtId="0" fontId="36" fillId="0" borderId="5" xfId="0" applyFont="1" applyBorder="1" applyAlignment="1">
      <alignment horizontal="center" vertical="center" wrapText="1"/>
    </xf>
    <xf numFmtId="0" fontId="36" fillId="0" borderId="5" xfId="0" applyFont="1" applyBorder="1" applyAlignment="1">
      <alignment vertical="center" wrapText="1"/>
    </xf>
    <xf numFmtId="164" fontId="36" fillId="0" borderId="1" xfId="0" applyNumberFormat="1" applyFont="1" applyBorder="1" applyAlignment="1">
      <alignment horizontal="center" vertical="center"/>
    </xf>
    <xf numFmtId="0" fontId="36" fillId="0" borderId="4" xfId="0" applyFont="1" applyBorder="1" applyAlignment="1">
      <alignment horizontal="center" vertical="center" wrapText="1"/>
    </xf>
    <xf numFmtId="0" fontId="36" fillId="0" borderId="1" xfId="0" quotePrefix="1" applyFont="1" applyBorder="1" applyAlignment="1">
      <alignment horizontal="left" vertical="center" wrapText="1"/>
    </xf>
    <xf numFmtId="0" fontId="36" fillId="0" borderId="10" xfId="0" applyFont="1" applyBorder="1" applyAlignment="1">
      <alignment horizontal="left" vertical="center" wrapText="1"/>
    </xf>
    <xf numFmtId="0" fontId="36" fillId="0" borderId="10" xfId="0" applyFont="1" applyBorder="1" applyAlignment="1">
      <alignment horizontal="center" vertical="center"/>
    </xf>
    <xf numFmtId="0" fontId="36" fillId="3" borderId="1" xfId="0" applyFont="1" applyFill="1" applyBorder="1" applyAlignment="1">
      <alignment horizontal="center" vertical="center" wrapText="1"/>
    </xf>
    <xf numFmtId="0" fontId="36" fillId="3" borderId="1" xfId="0" applyFont="1" applyFill="1" applyBorder="1" applyAlignment="1">
      <alignment horizontal="left" vertical="center" wrapText="1"/>
    </xf>
    <xf numFmtId="0" fontId="36" fillId="2" borderId="1" xfId="0" applyFont="1" applyFill="1" applyBorder="1" applyAlignment="1">
      <alignment horizontal="center" vertical="center"/>
    </xf>
    <xf numFmtId="0" fontId="36" fillId="2" borderId="1" xfId="0" applyFont="1" applyFill="1" applyBorder="1" applyAlignment="1">
      <alignment horizontal="center" vertical="center" wrapText="1"/>
    </xf>
    <xf numFmtId="0" fontId="36" fillId="2" borderId="1" xfId="0" applyFont="1" applyFill="1" applyBorder="1" applyAlignment="1">
      <alignment vertical="center" wrapText="1"/>
    </xf>
    <xf numFmtId="0" fontId="36" fillId="2" borderId="1" xfId="0" applyFont="1" applyFill="1" applyBorder="1" applyAlignment="1">
      <alignment horizontal="center"/>
    </xf>
    <xf numFmtId="0" fontId="36" fillId="2" borderId="1" xfId="0" applyFont="1" applyFill="1" applyBorder="1"/>
    <xf numFmtId="165" fontId="36" fillId="0" borderId="1" xfId="1" applyNumberFormat="1" applyFont="1" applyFill="1" applyBorder="1" applyAlignment="1">
      <alignment horizontal="center" vertical="center"/>
    </xf>
    <xf numFmtId="0" fontId="36" fillId="0" borderId="1" xfId="0" applyFont="1" applyBorder="1" applyAlignment="1">
      <alignment horizontal="left" wrapText="1"/>
    </xf>
    <xf numFmtId="0" fontId="36" fillId="0" borderId="1" xfId="0" applyFont="1" applyBorder="1" applyAlignment="1">
      <alignment wrapText="1"/>
    </xf>
    <xf numFmtId="0" fontId="38" fillId="0" borderId="1" xfId="0" applyFont="1" applyBorder="1" applyAlignment="1">
      <alignment horizontal="center" vertical="center"/>
    </xf>
    <xf numFmtId="0" fontId="38" fillId="0" borderId="1" xfId="0" applyFont="1" applyBorder="1" applyAlignment="1">
      <alignment horizontal="left" vertical="center" wrapText="1"/>
    </xf>
    <xf numFmtId="0" fontId="38" fillId="0" borderId="1" xfId="0" applyFont="1" applyBorder="1" applyAlignment="1">
      <alignment horizontal="center" vertical="center" wrapText="1"/>
    </xf>
    <xf numFmtId="0" fontId="36" fillId="0" borderId="0" xfId="0" applyFont="1" applyAlignment="1">
      <alignment horizontal="center" vertical="center" wrapText="1"/>
    </xf>
    <xf numFmtId="0" fontId="36" fillId="0" borderId="0" xfId="0" applyFont="1" applyAlignment="1">
      <alignment horizontal="left" vertical="center" wrapText="1"/>
    </xf>
    <xf numFmtId="0" fontId="38" fillId="0" borderId="4" xfId="0" applyFont="1" applyBorder="1" applyAlignment="1">
      <alignment horizontal="center" vertical="center" wrapText="1"/>
    </xf>
    <xf numFmtId="43" fontId="24" fillId="0" borderId="1" xfId="1" applyFont="1" applyFill="1" applyBorder="1" applyAlignment="1">
      <alignment horizontal="left" vertical="center"/>
    </xf>
    <xf numFmtId="0" fontId="24" fillId="0" borderId="1" xfId="0" applyFont="1" applyBorder="1" applyAlignment="1">
      <alignment horizontal="left" vertical="center" wrapText="1"/>
    </xf>
    <xf numFmtId="0" fontId="24" fillId="0" borderId="0" xfId="0" applyFont="1" applyAlignment="1">
      <alignment horizontal="left" vertical="center" wrapText="1"/>
    </xf>
    <xf numFmtId="0" fontId="24" fillId="0" borderId="1" xfId="0" applyFont="1" applyBorder="1" applyAlignment="1">
      <alignment horizontal="left" vertical="center"/>
    </xf>
    <xf numFmtId="0" fontId="38" fillId="7" borderId="1" xfId="0" applyFont="1" applyFill="1" applyBorder="1" applyAlignment="1">
      <alignment horizontal="center" vertical="center"/>
    </xf>
    <xf numFmtId="0" fontId="39" fillId="2" borderId="1" xfId="0" applyFont="1" applyFill="1" applyBorder="1" applyAlignment="1">
      <alignment vertical="center" wrapText="1"/>
    </xf>
    <xf numFmtId="0" fontId="39" fillId="2" borderId="1" xfId="0" applyFont="1" applyFill="1" applyBorder="1" applyAlignment="1">
      <alignment horizontal="center" vertical="center" wrapText="1"/>
    </xf>
    <xf numFmtId="0" fontId="0" fillId="0" borderId="1" xfId="0" applyBorder="1" applyAlignment="1">
      <alignment wrapText="1"/>
    </xf>
    <xf numFmtId="0" fontId="0" fillId="2" borderId="0" xfId="0" applyFill="1" applyAlignment="1">
      <alignment horizontal="center"/>
    </xf>
    <xf numFmtId="0" fontId="42" fillId="0" borderId="1" xfId="10" applyFont="1" applyBorder="1" applyAlignment="1">
      <alignment horizontal="center" vertical="center" wrapText="1"/>
    </xf>
    <xf numFmtId="0" fontId="0" fillId="2" borderId="1" xfId="0" applyFill="1" applyBorder="1" applyAlignment="1">
      <alignment horizontal="center" wrapText="1"/>
    </xf>
    <xf numFmtId="0" fontId="42" fillId="7" borderId="1" xfId="10" applyFont="1" applyFill="1" applyBorder="1" applyAlignment="1">
      <alignment horizontal="left" vertical="center" wrapText="1"/>
    </xf>
    <xf numFmtId="0" fontId="43" fillId="0" borderId="1" xfId="0" applyFont="1" applyBorder="1" applyAlignment="1">
      <alignment horizontal="center" vertical="center" wrapText="1"/>
    </xf>
    <xf numFmtId="0" fontId="44" fillId="0" borderId="1" xfId="0" applyFont="1" applyBorder="1" applyAlignment="1">
      <alignment horizontal="center" vertical="center" wrapText="1"/>
    </xf>
    <xf numFmtId="0" fontId="45" fillId="7" borderId="1" xfId="0" applyFont="1" applyFill="1" applyBorder="1" applyAlignment="1">
      <alignment horizontal="left" vertical="center" wrapText="1"/>
    </xf>
    <xf numFmtId="0" fontId="46" fillId="7" borderId="1" xfId="0" applyFont="1" applyFill="1" applyBorder="1" applyAlignment="1">
      <alignment horizontal="left" vertical="center" wrapText="1"/>
    </xf>
    <xf numFmtId="0" fontId="0" fillId="2" borderId="0" xfId="0" applyFill="1"/>
    <xf numFmtId="0" fontId="0" fillId="2" borderId="0" xfId="0" applyFill="1" applyAlignment="1">
      <alignment wrapText="1"/>
    </xf>
    <xf numFmtId="0" fontId="15" fillId="0" borderId="1" xfId="0" applyFont="1" applyBorder="1" applyAlignment="1">
      <alignment vertical="center"/>
    </xf>
    <xf numFmtId="43" fontId="32" fillId="0" borderId="1" xfId="1" applyFont="1" applyFill="1" applyBorder="1" applyAlignment="1">
      <alignment horizontal="right" vertical="center"/>
    </xf>
    <xf numFmtId="0" fontId="40" fillId="3" borderId="1" xfId="0" applyFont="1" applyFill="1" applyBorder="1" applyAlignment="1">
      <alignment wrapText="1"/>
    </xf>
    <xf numFmtId="0" fontId="0" fillId="2" borderId="1" xfId="0" applyFill="1" applyBorder="1" applyAlignment="1">
      <alignment horizontal="center"/>
    </xf>
    <xf numFmtId="0" fontId="42" fillId="0" borderId="1" xfId="10" applyFont="1" applyBorder="1" applyAlignment="1">
      <alignment horizontal="left" vertical="center" wrapText="1"/>
    </xf>
    <xf numFmtId="0" fontId="47" fillId="0" borderId="1" xfId="0" applyFont="1" applyBorder="1" applyAlignment="1">
      <alignment wrapText="1" readingOrder="1"/>
    </xf>
    <xf numFmtId="0" fontId="47" fillId="0" borderId="1" xfId="0" applyFont="1" applyBorder="1" applyAlignment="1">
      <alignment wrapText="1"/>
    </xf>
    <xf numFmtId="0" fontId="47" fillId="0" borderId="1" xfId="0" applyFont="1" applyBorder="1" applyAlignment="1">
      <alignment horizontal="right" wrapText="1" readingOrder="1"/>
    </xf>
    <xf numFmtId="0" fontId="48" fillId="0" borderId="1" xfId="0" applyFont="1" applyBorder="1" applyAlignment="1">
      <alignment wrapText="1"/>
    </xf>
    <xf numFmtId="0" fontId="48" fillId="0" borderId="1" xfId="0" applyFont="1" applyBorder="1" applyAlignment="1">
      <alignment wrapText="1" readingOrder="1"/>
    </xf>
    <xf numFmtId="0" fontId="48" fillId="0" borderId="1" xfId="0" applyFont="1" applyBorder="1" applyAlignment="1">
      <alignment horizontal="right" wrapText="1" readingOrder="1"/>
    </xf>
    <xf numFmtId="0" fontId="49" fillId="2" borderId="1" xfId="0" applyFont="1" applyFill="1" applyBorder="1" applyAlignment="1">
      <alignment vertical="center" wrapText="1"/>
    </xf>
    <xf numFmtId="0" fontId="50" fillId="0" borderId="1" xfId="11" applyFont="1" applyBorder="1" applyAlignment="1">
      <alignment vertical="center" wrapText="1"/>
    </xf>
    <xf numFmtId="0" fontId="51" fillId="0" borderId="1" xfId="11" applyFont="1" applyBorder="1" applyAlignment="1">
      <alignment vertical="center" wrapText="1"/>
    </xf>
    <xf numFmtId="0" fontId="51" fillId="0" borderId="1" xfId="12" applyFont="1" applyBorder="1" applyAlignment="1">
      <alignment horizontal="left" vertical="center" wrapText="1"/>
    </xf>
    <xf numFmtId="0" fontId="51" fillId="0" borderId="1" xfId="11" applyFont="1" applyBorder="1" applyAlignment="1">
      <alignment horizontal="center" vertical="center" wrapText="1"/>
    </xf>
    <xf numFmtId="0" fontId="50" fillId="0" borderId="1" xfId="12" applyFont="1" applyBorder="1" applyAlignment="1">
      <alignment horizontal="left" vertical="center"/>
    </xf>
    <xf numFmtId="0" fontId="51" fillId="0" borderId="1" xfId="13" applyFont="1" applyBorder="1" applyAlignment="1">
      <alignment vertical="center" wrapText="1"/>
    </xf>
    <xf numFmtId="0" fontId="54" fillId="0" borderId="1" xfId="14" applyFont="1" applyBorder="1" applyAlignment="1">
      <alignment vertical="center" wrapText="1"/>
    </xf>
    <xf numFmtId="0" fontId="51" fillId="0" borderId="1" xfId="15" applyFont="1" applyBorder="1" applyAlignment="1">
      <alignment horizontal="center" vertical="center" wrapText="1"/>
    </xf>
    <xf numFmtId="0" fontId="51" fillId="0" borderId="1" xfId="13" applyFont="1" applyBorder="1" applyAlignment="1">
      <alignment horizontal="center" vertical="center" wrapText="1"/>
    </xf>
    <xf numFmtId="0" fontId="51" fillId="0" borderId="1" xfId="11" applyFont="1" applyBorder="1" applyAlignment="1">
      <alignment horizontal="center" vertical="center"/>
    </xf>
    <xf numFmtId="0" fontId="55" fillId="0" borderId="1" xfId="11" applyFont="1" applyBorder="1" applyAlignment="1">
      <alignment horizontal="center" vertical="center"/>
    </xf>
    <xf numFmtId="0" fontId="55" fillId="0" borderId="1" xfId="11" applyFont="1" applyBorder="1" applyAlignment="1">
      <alignment horizontal="center" vertical="center" wrapText="1"/>
    </xf>
    <xf numFmtId="3" fontId="27" fillId="7" borderId="1" xfId="11" applyNumberFormat="1" applyFont="1" applyFill="1" applyBorder="1" applyAlignment="1">
      <alignment horizontal="center" vertical="center" wrapText="1"/>
    </xf>
    <xf numFmtId="0" fontId="56" fillId="3" borderId="11" xfId="0" applyFont="1" applyFill="1" applyBorder="1" applyAlignment="1">
      <alignment wrapText="1"/>
    </xf>
    <xf numFmtId="0" fontId="57" fillId="3" borderId="5" xfId="0" applyFont="1" applyFill="1" applyBorder="1" applyAlignment="1">
      <alignment wrapText="1"/>
    </xf>
    <xf numFmtId="3" fontId="27" fillId="0" borderId="1" xfId="11" applyNumberFormat="1" applyFont="1" applyBorder="1" applyAlignment="1">
      <alignment horizontal="center" vertical="center" wrapText="1"/>
    </xf>
    <xf numFmtId="0" fontId="56" fillId="0" borderId="11" xfId="0" applyFont="1" applyBorder="1" applyAlignment="1">
      <alignment wrapText="1"/>
    </xf>
    <xf numFmtId="0" fontId="57" fillId="0" borderId="5" xfId="0" applyFont="1" applyBorder="1" applyAlignment="1">
      <alignment wrapText="1"/>
    </xf>
    <xf numFmtId="0" fontId="50" fillId="0" borderId="1" xfId="11" applyFont="1" applyBorder="1" applyAlignment="1">
      <alignment vertical="center"/>
    </xf>
    <xf numFmtId="0" fontId="51" fillId="0" borderId="1" xfId="11" applyFont="1" applyBorder="1" applyAlignment="1">
      <alignment horizontal="left" vertical="center" wrapText="1"/>
    </xf>
    <xf numFmtId="43" fontId="24" fillId="0" borderId="1" xfId="1" applyFont="1" applyFill="1" applyBorder="1" applyAlignment="1">
      <alignment horizontal="left" vertical="center" wrapText="1"/>
    </xf>
    <xf numFmtId="0" fontId="24" fillId="0" borderId="1" xfId="0" applyFont="1" applyBorder="1" applyAlignment="1">
      <alignment horizontal="center" vertical="center"/>
    </xf>
    <xf numFmtId="164" fontId="38" fillId="0" borderId="1" xfId="0" applyNumberFormat="1" applyFont="1" applyBorder="1" applyAlignment="1">
      <alignment horizontal="center" vertical="center"/>
    </xf>
    <xf numFmtId="0" fontId="38" fillId="0" borderId="1" xfId="0" quotePrefix="1" applyFont="1" applyBorder="1" applyAlignment="1">
      <alignment horizontal="left" vertical="center" wrapText="1"/>
    </xf>
    <xf numFmtId="0" fontId="5" fillId="2" borderId="1" xfId="0" applyFont="1" applyFill="1" applyBorder="1" applyAlignment="1">
      <alignment horizontal="left" vertical="center" wrapText="1"/>
    </xf>
    <xf numFmtId="0" fontId="38" fillId="0" borderId="1" xfId="0" applyFont="1" applyBorder="1" applyAlignment="1">
      <alignment horizontal="left" vertical="center"/>
    </xf>
    <xf numFmtId="1" fontId="38" fillId="0" borderId="1" xfId="1" applyNumberFormat="1" applyFont="1" applyFill="1" applyBorder="1" applyAlignment="1">
      <alignment horizontal="center" vertical="center"/>
    </xf>
    <xf numFmtId="0" fontId="24" fillId="0" borderId="1" xfId="0" applyFont="1" applyBorder="1" applyAlignment="1">
      <alignment horizontal="center" vertical="center" wrapText="1"/>
    </xf>
    <xf numFmtId="0" fontId="38" fillId="0" borderId="0" xfId="0" applyFont="1" applyAlignment="1">
      <alignment horizontal="center" vertical="center" wrapText="1"/>
    </xf>
    <xf numFmtId="0" fontId="38" fillId="0" borderId="0" xfId="0" applyFont="1" applyAlignment="1">
      <alignment horizontal="left" vertical="center" wrapText="1"/>
    </xf>
    <xf numFmtId="43" fontId="24" fillId="0" borderId="4" xfId="1" applyFont="1" applyFill="1" applyBorder="1" applyAlignment="1">
      <alignment horizontal="left" vertical="center"/>
    </xf>
    <xf numFmtId="0" fontId="24" fillId="0" borderId="2" xfId="0" applyFont="1" applyBorder="1" applyAlignment="1">
      <alignment horizontal="center" vertical="center"/>
    </xf>
    <xf numFmtId="0" fontId="58" fillId="0" borderId="0" xfId="0" applyFont="1" applyAlignment="1">
      <alignment horizontal="center"/>
    </xf>
    <xf numFmtId="0" fontId="38" fillId="0" borderId="10" xfId="0" applyFont="1" applyBorder="1" applyAlignment="1">
      <alignment horizontal="left" vertical="center" wrapText="1"/>
    </xf>
    <xf numFmtId="0" fontId="38" fillId="0" borderId="10" xfId="0" applyFont="1" applyBorder="1" applyAlignment="1">
      <alignment horizontal="center" vertical="center"/>
    </xf>
    <xf numFmtId="0" fontId="59" fillId="5" borderId="1" xfId="0" applyFont="1" applyFill="1" applyBorder="1" applyAlignment="1">
      <alignment horizontal="left" vertical="top" wrapText="1" indent="1"/>
    </xf>
    <xf numFmtId="0" fontId="59" fillId="6" borderId="1" xfId="0" applyFont="1" applyFill="1" applyBorder="1" applyAlignment="1">
      <alignment horizontal="left" vertical="top" wrapText="1" indent="1"/>
    </xf>
    <xf numFmtId="0" fontId="60" fillId="0" borderId="1" xfId="2" applyFont="1" applyBorder="1" applyAlignment="1">
      <alignment horizontal="center" vertical="center" wrapText="1"/>
    </xf>
    <xf numFmtId="0" fontId="60" fillId="0" borderId="1" xfId="2" applyFont="1" applyBorder="1" applyAlignment="1">
      <alignment horizontal="left" vertical="center" wrapText="1"/>
    </xf>
    <xf numFmtId="165" fontId="60" fillId="0" borderId="1" xfId="1" applyNumberFormat="1" applyFont="1" applyFill="1" applyBorder="1" applyAlignment="1">
      <alignment horizontal="center" vertical="center" wrapText="1"/>
    </xf>
    <xf numFmtId="0" fontId="60" fillId="0" borderId="1" xfId="0" applyFont="1" applyBorder="1" applyAlignment="1">
      <alignment horizontal="center" vertical="center" wrapText="1"/>
    </xf>
    <xf numFmtId="0" fontId="60" fillId="0" borderId="1" xfId="0" applyFont="1" applyBorder="1" applyAlignment="1">
      <alignment horizontal="center" vertical="center"/>
    </xf>
    <xf numFmtId="0" fontId="60" fillId="0" borderId="1" xfId="0" applyFont="1" applyBorder="1" applyAlignment="1">
      <alignment horizontal="left" vertical="center"/>
    </xf>
    <xf numFmtId="0" fontId="60" fillId="0" borderId="1" xfId="0" applyFont="1" applyBorder="1" applyAlignment="1">
      <alignment horizontal="left" vertical="center" wrapText="1"/>
    </xf>
    <xf numFmtId="1" fontId="60" fillId="0" borderId="1" xfId="1" applyNumberFormat="1" applyFont="1" applyFill="1" applyBorder="1" applyAlignment="1">
      <alignment horizontal="center" vertical="center"/>
    </xf>
    <xf numFmtId="0" fontId="61" fillId="0" borderId="1" xfId="0" applyFont="1" applyBorder="1" applyAlignment="1">
      <alignment horizontal="left" vertical="center"/>
    </xf>
    <xf numFmtId="164" fontId="60" fillId="0" borderId="1" xfId="0" applyNumberFormat="1" applyFont="1" applyBorder="1" applyAlignment="1">
      <alignment horizontal="center" vertical="center"/>
    </xf>
    <xf numFmtId="0" fontId="60" fillId="0" borderId="1" xfId="0" quotePrefix="1" applyFont="1" applyBorder="1" applyAlignment="1">
      <alignment horizontal="left" vertical="center" wrapText="1"/>
    </xf>
    <xf numFmtId="0" fontId="25" fillId="0" borderId="2" xfId="0" applyFont="1" applyBorder="1" applyAlignment="1">
      <alignment horizontal="center" vertical="center"/>
    </xf>
    <xf numFmtId="0" fontId="62" fillId="0" borderId="0" xfId="0" applyFont="1" applyAlignment="1">
      <alignment horizontal="center" vertical="center"/>
    </xf>
    <xf numFmtId="0" fontId="24" fillId="2" borderId="0" xfId="0" applyFont="1" applyFill="1" applyAlignment="1">
      <alignment horizontal="left" vertical="center"/>
    </xf>
    <xf numFmtId="0" fontId="24" fillId="0" borderId="0" xfId="0" applyFont="1" applyAlignment="1">
      <alignment horizontal="center" vertical="center" wrapText="1"/>
    </xf>
    <xf numFmtId="0" fontId="61" fillId="0" borderId="1" xfId="0" applyFont="1" applyBorder="1" applyAlignment="1">
      <alignment vertical="center"/>
    </xf>
    <xf numFmtId="0" fontId="60" fillId="0" borderId="1" xfId="0" applyFont="1" applyBorder="1" applyAlignment="1">
      <alignment vertical="center" wrapText="1"/>
    </xf>
    <xf numFmtId="43" fontId="61" fillId="0" borderId="1" xfId="1" applyFont="1" applyFill="1" applyBorder="1" applyAlignment="1">
      <alignment horizontal="left" vertical="center" wrapText="1"/>
    </xf>
    <xf numFmtId="0" fontId="61" fillId="0" borderId="1" xfId="0" applyFont="1" applyBorder="1" applyAlignment="1">
      <alignment horizontal="center" vertical="center"/>
    </xf>
    <xf numFmtId="43" fontId="61" fillId="0" borderId="1" xfId="1" applyFont="1" applyFill="1" applyBorder="1" applyAlignment="1">
      <alignment horizontal="left" vertical="center"/>
    </xf>
    <xf numFmtId="43" fontId="60" fillId="0" borderId="1" xfId="1" applyFont="1" applyFill="1" applyBorder="1" applyAlignment="1">
      <alignment horizontal="left" vertical="center" wrapText="1"/>
    </xf>
    <xf numFmtId="43" fontId="60" fillId="0" borderId="1" xfId="1" applyFont="1" applyFill="1" applyBorder="1" applyAlignment="1">
      <alignment horizontal="left" vertical="center"/>
    </xf>
    <xf numFmtId="0" fontId="60" fillId="2" borderId="1" xfId="0" applyFont="1" applyFill="1" applyBorder="1" applyAlignment="1">
      <alignment horizontal="left" vertical="center" wrapText="1"/>
    </xf>
    <xf numFmtId="43" fontId="60" fillId="0" borderId="1" xfId="1" applyFont="1" applyFill="1" applyBorder="1" applyAlignment="1">
      <alignment horizontal="right" vertical="center"/>
    </xf>
    <xf numFmtId="0" fontId="60" fillId="0" borderId="1" xfId="0" applyFont="1" applyBorder="1" applyAlignment="1">
      <alignment vertical="center"/>
    </xf>
    <xf numFmtId="0" fontId="63" fillId="0" borderId="1" xfId="0" applyFont="1" applyBorder="1" applyAlignment="1">
      <alignment vertical="center" wrapText="1"/>
    </xf>
    <xf numFmtId="0" fontId="16" fillId="0" borderId="1" xfId="0" applyFont="1" applyBorder="1" applyAlignment="1">
      <alignment horizontal="center"/>
    </xf>
    <xf numFmtId="0" fontId="16" fillId="0" borderId="1" xfId="0" applyFont="1" applyBorder="1" applyAlignment="1">
      <alignment horizontal="left"/>
    </xf>
    <xf numFmtId="4" fontId="16" fillId="0" borderId="1" xfId="0" applyNumberFormat="1" applyFont="1" applyBorder="1" applyAlignment="1">
      <alignment horizontal="left"/>
    </xf>
    <xf numFmtId="165" fontId="15" fillId="0" borderId="1" xfId="1" applyNumberFormat="1" applyFont="1" applyFill="1" applyBorder="1" applyAlignment="1">
      <alignment horizontal="center" vertical="center"/>
    </xf>
    <xf numFmtId="165" fontId="16" fillId="0" borderId="1" xfId="1" applyNumberFormat="1" applyFont="1" applyFill="1" applyBorder="1" applyAlignment="1">
      <alignment horizontal="left"/>
    </xf>
    <xf numFmtId="3" fontId="15" fillId="0" borderId="1" xfId="0" applyNumberFormat="1" applyFont="1" applyBorder="1" applyAlignment="1">
      <alignment horizontal="center" vertical="center"/>
    </xf>
    <xf numFmtId="0" fontId="64" fillId="8" borderId="1" xfId="0" applyFont="1" applyFill="1" applyBorder="1" applyAlignment="1">
      <alignment vertical="center" wrapText="1"/>
    </xf>
    <xf numFmtId="0" fontId="64" fillId="8" borderId="1" xfId="0" applyFont="1" applyFill="1" applyBorder="1" applyAlignment="1">
      <alignment horizontal="center" vertical="center" wrapText="1"/>
    </xf>
    <xf numFmtId="0" fontId="65" fillId="0" borderId="1" xfId="0" applyFont="1" applyBorder="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6" fillId="0" borderId="0" xfId="0" applyFont="1" applyAlignment="1">
      <alignment horizontal="center" vertical="center"/>
    </xf>
    <xf numFmtId="0" fontId="4" fillId="0" borderId="0" xfId="0" applyFont="1" applyAlignment="1">
      <alignment horizontal="right" vertical="center"/>
    </xf>
    <xf numFmtId="0" fontId="10" fillId="0" borderId="0" xfId="0" applyFont="1" applyAlignment="1">
      <alignment horizontal="center" vertical="center"/>
    </xf>
    <xf numFmtId="0" fontId="15" fillId="0" borderId="0" xfId="0" applyFont="1" applyAlignment="1">
      <alignment horizontal="center" vertical="center"/>
    </xf>
    <xf numFmtId="0" fontId="15" fillId="0" borderId="0" xfId="0" applyFont="1" applyAlignment="1">
      <alignment horizontal="center" vertical="center" wrapText="1"/>
    </xf>
    <xf numFmtId="0" fontId="31" fillId="0" borderId="0" xfId="0" applyFont="1" applyAlignment="1">
      <alignment horizontal="center" vertical="center"/>
    </xf>
    <xf numFmtId="0" fontId="15" fillId="0" borderId="0" xfId="0" applyFont="1" applyAlignment="1">
      <alignment horizontal="right" vertical="center"/>
    </xf>
    <xf numFmtId="0" fontId="33" fillId="0" borderId="0" xfId="0" applyFont="1" applyAlignment="1">
      <alignment horizontal="center" vertical="center"/>
    </xf>
    <xf numFmtId="0" fontId="27" fillId="2" borderId="0" xfId="0" applyFont="1" applyFill="1" applyAlignment="1">
      <alignment horizontal="center" vertical="center"/>
    </xf>
    <xf numFmtId="0" fontId="25" fillId="0" borderId="2" xfId="0" applyFont="1" applyBorder="1" applyAlignment="1">
      <alignment horizontal="left" vertical="center"/>
    </xf>
    <xf numFmtId="0" fontId="25" fillId="0" borderId="3" xfId="0" applyFont="1" applyBorder="1" applyAlignment="1">
      <alignment horizontal="left" vertical="center"/>
    </xf>
    <xf numFmtId="0" fontId="25" fillId="0" borderId="4" xfId="0" applyFont="1" applyBorder="1" applyAlignment="1">
      <alignment horizontal="left" vertical="center"/>
    </xf>
    <xf numFmtId="0" fontId="25" fillId="2" borderId="0" xfId="0" applyFont="1" applyFill="1" applyAlignment="1">
      <alignment horizontal="center" vertical="center"/>
    </xf>
    <xf numFmtId="0" fontId="23" fillId="0" borderId="2" xfId="0" applyFont="1" applyBorder="1" applyAlignment="1">
      <alignment horizontal="left" vertical="center"/>
    </xf>
    <xf numFmtId="0" fontId="23" fillId="0" borderId="3" xfId="0" applyFont="1" applyBorder="1" applyAlignment="1">
      <alignment horizontal="left" vertical="center"/>
    </xf>
    <xf numFmtId="0" fontId="23" fillId="0" borderId="4" xfId="0" applyFont="1" applyBorder="1" applyAlignment="1">
      <alignment horizontal="left" vertical="center"/>
    </xf>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6" fillId="2" borderId="0" xfId="0" applyFont="1" applyFill="1" applyAlignment="1">
      <alignment horizontal="center" vertical="center"/>
    </xf>
    <xf numFmtId="0" fontId="4" fillId="2" borderId="0" xfId="0" applyFont="1" applyFill="1" applyAlignment="1">
      <alignment horizontal="right" vertical="center"/>
    </xf>
    <xf numFmtId="0" fontId="10" fillId="2" borderId="0" xfId="0" applyFont="1" applyFill="1" applyAlignment="1">
      <alignment horizontal="center" vertical="center"/>
    </xf>
  </cellXfs>
  <cellStyles count="16">
    <cellStyle name="Bình thường 2" xfId="6" xr:uid="{00000000-0005-0000-0000-000000000000}"/>
    <cellStyle name="Bình thường 2 2" xfId="12" xr:uid="{00000000-0005-0000-0000-000001000000}"/>
    <cellStyle name="Bình thường 2 2 2 2" xfId="11" xr:uid="{00000000-0005-0000-0000-000002000000}"/>
    <cellStyle name="Comma" xfId="1" builtinId="3"/>
    <cellStyle name="Comma 11" xfId="7" xr:uid="{00000000-0005-0000-0000-000004000000}"/>
    <cellStyle name="Comma 22 3 2" xfId="8" xr:uid="{00000000-0005-0000-0000-000005000000}"/>
    <cellStyle name="Normal" xfId="0" builtinId="0"/>
    <cellStyle name="Normal 10 2 2 2" xfId="5" xr:uid="{00000000-0005-0000-0000-000007000000}"/>
    <cellStyle name="Normal 14" xfId="4" xr:uid="{00000000-0005-0000-0000-000008000000}"/>
    <cellStyle name="Normal 15" xfId="13" xr:uid="{00000000-0005-0000-0000-000009000000}"/>
    <cellStyle name="Normal 2" xfId="10" xr:uid="{00000000-0005-0000-0000-00000A000000}"/>
    <cellStyle name="Normal 20" xfId="9" xr:uid="{00000000-0005-0000-0000-00000B000000}"/>
    <cellStyle name="Normal 3" xfId="3" xr:uid="{00000000-0005-0000-0000-00000C000000}"/>
    <cellStyle name="Normal 3 2 2 3 3" xfId="15" xr:uid="{00000000-0005-0000-0000-00000D000000}"/>
    <cellStyle name="Normal 3 2 5" xfId="14" xr:uid="{00000000-0005-0000-0000-00000E000000}"/>
    <cellStyle name="Normal 7" xfId="2" xr:uid="{00000000-0005-0000-0000-00000F000000}"/>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BF255097-F26B-485A-AEC6-12505A00B8C7}"/>
  </tableStyles>
  <colors>
    <mruColors>
      <color rgb="FF3333FF"/>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2024%20HO%20SO%20VAT%20TU\0%20THEO%20D&#213;I%20V&#7852;T%20T&#431;\0%20THEO%20D&#213;I%20V&#7852;T%20T&#431;%20NHUNG%20LAM%20TIEP%20THANG%206\2025%20THANG%207\250630%20B&#7842;NG%20T&#7892;NG%20H&#7906;P%20D&#7920;%20TO&#193;N%20VTTB%20Thang%207.2025%20PXVH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2024%20HO%20SO%20VAT%20TU\0%20THEO%20D&#213;I%20V&#7852;T%20T&#431;\0%20THEO%20D&#213;I%20V&#7852;T%20T&#431;%20NHUNG%20LAM%20TIEP%20THANG%206\THANG%2012%20DU%20TOAN\1.V&#7853;t%20t&#432;%20d&#7921;%20ph&#242;ng%20th&#225;ng%20%20%20n&#259;m%202024%20KN-ND-XLN%20th&#225;ng%2012%20t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áng 7.2025"/>
      <sheetName val="Tháng 6.2025"/>
      <sheetName val="Tháng 5.2025"/>
      <sheetName val="Tháng 4.2025"/>
      <sheetName val="Tháng 3.2025"/>
      <sheetName val="Tháng 02.2025"/>
      <sheetName val="Tháng 01.2025"/>
      <sheetName val="Tháng 12.2024"/>
      <sheetName val="Tháng 11.2024"/>
      <sheetName val="Tháng 10.2024"/>
      <sheetName val="Tháng 9.2024"/>
      <sheetName val="Tháng 8.2024"/>
      <sheetName val="Sheet1"/>
    </sheetNames>
    <sheetDataSet>
      <sheetData sheetId="0">
        <row r="23">
          <cell r="B23" t="str">
            <v>1.31.53.023.VIE.00.000</v>
          </cell>
          <cell r="C23" t="str">
            <v>Dầu nhờn Total Preslia 46</v>
          </cell>
          <cell r="D23" t="str">
            <v>Lít</v>
          </cell>
          <cell r="E23">
            <v>1419</v>
          </cell>
          <cell r="F23">
            <v>388</v>
          </cell>
          <cell r="G23">
            <v>1031</v>
          </cell>
          <cell r="H23">
            <v>30</v>
          </cell>
        </row>
        <row r="24">
          <cell r="B24" t="str">
            <v>1.31.53.023.VIE.00.000</v>
          </cell>
          <cell r="C24" t="str">
            <v>Dầu nhờn Total Preslia 46</v>
          </cell>
          <cell r="D24" t="str">
            <v>Lít</v>
          </cell>
          <cell r="E24">
            <v>1419</v>
          </cell>
          <cell r="F24">
            <v>388</v>
          </cell>
          <cell r="G24">
            <v>1031</v>
          </cell>
          <cell r="H24">
            <v>416</v>
          </cell>
        </row>
        <row r="25">
          <cell r="B25" t="str">
            <v>1.31.53.023.VIE.00.000</v>
          </cell>
          <cell r="C25" t="str">
            <v>Dầu nhờn Total Preslia 46</v>
          </cell>
          <cell r="D25" t="str">
            <v>Lít</v>
          </cell>
          <cell r="E25">
            <v>1419</v>
          </cell>
          <cell r="F25">
            <v>388</v>
          </cell>
          <cell r="G25">
            <v>1031</v>
          </cell>
          <cell r="H25">
            <v>90</v>
          </cell>
        </row>
        <row r="26">
          <cell r="B26" t="str">
            <v>1.31.53.022.VIE.00.000</v>
          </cell>
          <cell r="C26" t="str">
            <v>Dầu Total Preslia VG32</v>
          </cell>
          <cell r="D26" t="str">
            <v>Lít</v>
          </cell>
          <cell r="E26">
            <v>5436</v>
          </cell>
          <cell r="F26">
            <v>832</v>
          </cell>
          <cell r="G26">
            <v>0</v>
          </cell>
          <cell r="H26">
            <v>416</v>
          </cell>
        </row>
        <row r="27">
          <cell r="B27" t="str">
            <v>1.41.44.082.VIE.00.000</v>
          </cell>
          <cell r="C27" t="str">
            <v xml:space="preserve">Dầu Total Azolla ZS46 </v>
          </cell>
          <cell r="D27" t="str">
            <v>Lít</v>
          </cell>
          <cell r="E27">
            <v>715</v>
          </cell>
          <cell r="F27">
            <v>0</v>
          </cell>
          <cell r="G27">
            <v>715</v>
          </cell>
          <cell r="H27">
            <v>60</v>
          </cell>
        </row>
        <row r="28">
          <cell r="B28" t="str">
            <v>1.31.53.034.ENG.00.000</v>
          </cell>
          <cell r="C28" t="str">
            <v>Dầu Lanxess Turbofluid 46SJ; Quy cách: 230 kg/phuy</v>
          </cell>
          <cell r="D28" t="str">
            <v>Kg</v>
          </cell>
          <cell r="E28">
            <v>816</v>
          </cell>
          <cell r="F28">
            <v>0</v>
          </cell>
          <cell r="G28">
            <v>0</v>
          </cell>
          <cell r="H28">
            <v>600</v>
          </cell>
        </row>
        <row r="29">
          <cell r="B29" t="str">
            <v>1.41.44.044.SIN.00.000</v>
          </cell>
          <cell r="C29" t="str">
            <v>Dầu Shell Tellus S2 M68</v>
          </cell>
          <cell r="D29" t="str">
            <v>Lít</v>
          </cell>
          <cell r="E29">
            <v>660</v>
          </cell>
          <cell r="F29">
            <v>0</v>
          </cell>
          <cell r="G29">
            <v>660</v>
          </cell>
          <cell r="H29">
            <v>209</v>
          </cell>
        </row>
        <row r="30">
          <cell r="B30" t="str">
            <v>1.31.53.021.VIE.00.000</v>
          </cell>
          <cell r="C30" t="str">
            <v>Dầu nhờn Total Preslia 68</v>
          </cell>
          <cell r="D30" t="str">
            <v>Lít</v>
          </cell>
          <cell r="E30">
            <v>2562</v>
          </cell>
          <cell r="F30">
            <v>40</v>
          </cell>
          <cell r="G30">
            <v>0</v>
          </cell>
          <cell r="H30">
            <v>208</v>
          </cell>
        </row>
        <row r="31">
          <cell r="B31" t="str">
            <v>1.31.53.026.SIN.00.000</v>
          </cell>
          <cell r="C31" t="str">
            <v>Dầu bôi trơn Shell Turbo T46</v>
          </cell>
          <cell r="D31" t="str">
            <v>Lít</v>
          </cell>
          <cell r="E31">
            <v>0</v>
          </cell>
          <cell r="F31">
            <v>0</v>
          </cell>
          <cell r="G31">
            <v>0</v>
          </cell>
          <cell r="H31">
            <v>50</v>
          </cell>
        </row>
        <row r="32">
          <cell r="B32" t="str">
            <v>1.31.53.019.SIN.00.000</v>
          </cell>
          <cell r="C32" t="str">
            <v>Dầu Sinopec L-TSA46</v>
          </cell>
          <cell r="D32" t="str">
            <v>Lít</v>
          </cell>
          <cell r="E32">
            <v>1725</v>
          </cell>
          <cell r="F32">
            <v>400</v>
          </cell>
          <cell r="G32">
            <v>1325</v>
          </cell>
          <cell r="H32">
            <v>600</v>
          </cell>
        </row>
        <row r="33">
          <cell r="B33" t="str">
            <v>1.31.53.019.SIN.00.000</v>
          </cell>
          <cell r="C33" t="str">
            <v>Dầu Sinopec L-TSA46</v>
          </cell>
          <cell r="D33" t="str">
            <v>Lít</v>
          </cell>
          <cell r="E33">
            <v>1725</v>
          </cell>
          <cell r="F33">
            <v>400</v>
          </cell>
          <cell r="G33">
            <v>1325</v>
          </cell>
          <cell r="H33">
            <v>180</v>
          </cell>
        </row>
        <row r="34">
          <cell r="B34" t="str">
            <v>1.31.73.071.SIN.00.000</v>
          </cell>
          <cell r="C34" t="str">
            <v xml:space="preserve">Dầu Sinopec L-CKD 150; Singapore </v>
          </cell>
          <cell r="D34" t="str">
            <v>Lít</v>
          </cell>
          <cell r="E34">
            <v>4081.5</v>
          </cell>
          <cell r="F34">
            <v>0</v>
          </cell>
          <cell r="G34">
            <v>4081.5</v>
          </cell>
          <cell r="H34">
            <v>3200</v>
          </cell>
        </row>
        <row r="35">
          <cell r="B35" t="str">
            <v>1.31.53.026.SIN.00.000</v>
          </cell>
          <cell r="C35" t="str">
            <v>Dầu Shell Turbo T32 (209l/phuy)</v>
          </cell>
          <cell r="D35" t="str">
            <v>Lít</v>
          </cell>
          <cell r="E35">
            <v>585</v>
          </cell>
          <cell r="F35">
            <v>0</v>
          </cell>
          <cell r="G35">
            <v>0</v>
          </cell>
          <cell r="H35">
            <v>900</v>
          </cell>
        </row>
        <row r="36">
          <cell r="B36" t="str">
            <v>1.31.73.044.SIN.00.000</v>
          </cell>
          <cell r="C36" t="str">
            <v xml:space="preserve">Dầu Sinopec L-CKD 320 </v>
          </cell>
          <cell r="D36" t="str">
            <v>Lít</v>
          </cell>
          <cell r="E36">
            <v>2178</v>
          </cell>
          <cell r="F36">
            <v>2200</v>
          </cell>
          <cell r="G36">
            <v>0</v>
          </cell>
          <cell r="H36">
            <v>200</v>
          </cell>
        </row>
        <row r="37">
          <cell r="B37" t="str">
            <v>1.31.73.047.SIN.00.000</v>
          </cell>
          <cell r="C37" t="str">
            <v>Dầu Total Carter EP 680</v>
          </cell>
          <cell r="D37" t="str">
            <v>Lít</v>
          </cell>
          <cell r="E37">
            <v>1256</v>
          </cell>
          <cell r="F37">
            <v>0</v>
          </cell>
          <cell r="G37">
            <v>1256</v>
          </cell>
          <cell r="H37">
            <v>1000</v>
          </cell>
        </row>
        <row r="38">
          <cell r="B38" t="str">
            <v>1.41.44.073.VIE.00.000</v>
          </cell>
          <cell r="C38" t="str">
            <v>Shell Omala S2 GX 220</v>
          </cell>
          <cell r="D38" t="str">
            <v>Lít</v>
          </cell>
          <cell r="E38">
            <v>2318</v>
          </cell>
          <cell r="F38">
            <v>0</v>
          </cell>
          <cell r="G38">
            <v>2318</v>
          </cell>
          <cell r="H38">
            <v>400</v>
          </cell>
        </row>
        <row r="39">
          <cell r="B39" t="str">
            <v>1.31.73.125.VIE.00.000</v>
          </cell>
          <cell r="C39" t="str">
            <v>Shell Omala S2 G320 (GX320)</v>
          </cell>
          <cell r="D39" t="str">
            <v>Lít</v>
          </cell>
          <cell r="E39">
            <v>257.89999999999998</v>
          </cell>
          <cell r="F39">
            <v>0</v>
          </cell>
          <cell r="G39">
            <v>257.89999999999998</v>
          </cell>
          <cell r="H39">
            <v>60</v>
          </cell>
        </row>
        <row r="40">
          <cell r="B40" t="str">
            <v>1.31.53.048.THA.00.000</v>
          </cell>
          <cell r="C40" t="str">
            <v>Shell Omala S2 GX1000</v>
          </cell>
          <cell r="D40" t="str">
            <v>Lít</v>
          </cell>
          <cell r="E40">
            <v>50.6</v>
          </cell>
          <cell r="F40">
            <v>0</v>
          </cell>
          <cell r="G40">
            <v>50.6</v>
          </cell>
          <cell r="H40">
            <v>200</v>
          </cell>
        </row>
        <row r="41">
          <cell r="B41" t="str">
            <v>1.31.03.032.VIE.00.000</v>
          </cell>
          <cell r="C41" t="str">
            <v>Dầu Shell Rimula R4X 15W-40</v>
          </cell>
          <cell r="D41" t="str">
            <v>Lít</v>
          </cell>
          <cell r="E41">
            <v>662</v>
          </cell>
          <cell r="F41">
            <v>575</v>
          </cell>
          <cell r="G41">
            <v>87</v>
          </cell>
          <cell r="H41">
            <v>0</v>
          </cell>
        </row>
        <row r="42">
          <cell r="B42" t="str">
            <v>1.31.53.059.USA.00.000</v>
          </cell>
          <cell r="C42" t="str">
            <v>Nhớt làm mát máy nén khí (Ultra coolant Ingersoll Rand, CNN:38459582), Máy nén khí: ML350-2S</v>
          </cell>
          <cell r="D42" t="str">
            <v>Lít</v>
          </cell>
          <cell r="E42">
            <v>2720</v>
          </cell>
          <cell r="F42">
            <v>560</v>
          </cell>
          <cell r="G42">
            <v>0</v>
          </cell>
          <cell r="H42">
            <v>200</v>
          </cell>
        </row>
        <row r="43">
          <cell r="B43" t="str">
            <v>1.51.05.179.ESP.00.000</v>
          </cell>
          <cell r="C43" t="str">
            <v>Mỡ bôi trơn Quakertek™ ALC-00HV,  Colour: Black, Base oil, viscosity at 40°C, ASTM D-445, mm²/s: Aluminium, NLGT Grade: 00, Worked penetration 60 strokes ASTM D-217, 1/10mm: 405,</v>
          </cell>
          <cell r="D43" t="str">
            <v>Kg</v>
          </cell>
          <cell r="E43">
            <v>19214</v>
          </cell>
          <cell r="F43">
            <v>1472</v>
          </cell>
          <cell r="G43">
            <v>17742</v>
          </cell>
          <cell r="H43">
            <v>3000</v>
          </cell>
        </row>
        <row r="44">
          <cell r="B44" t="str">
            <v>1.31.73.046.VIE.00.000</v>
          </cell>
          <cell r="C44" t="str">
            <v>Dầu Total Carter EP 460</v>
          </cell>
          <cell r="D44" t="str">
            <v>Lít</v>
          </cell>
          <cell r="E44">
            <v>482.6</v>
          </cell>
          <cell r="F44">
            <v>0</v>
          </cell>
          <cell r="G44">
            <v>482.6</v>
          </cell>
          <cell r="H44">
            <v>0</v>
          </cell>
        </row>
        <row r="45">
          <cell r="B45" t="str">
            <v>1.31.53.049.USA.00.000</v>
          </cell>
          <cell r="C45" t="str">
            <v>Dầu Universal 1 HG Hydraulic</v>
          </cell>
          <cell r="D45" t="str">
            <v>Lít</v>
          </cell>
          <cell r="E45">
            <v>49.94</v>
          </cell>
          <cell r="F45">
            <v>0</v>
          </cell>
          <cell r="G45">
            <v>0</v>
          </cell>
          <cell r="H45">
            <v>30</v>
          </cell>
        </row>
        <row r="46">
          <cell r="B46" t="str">
            <v>1.31.73.072.SIN.00.000</v>
          </cell>
          <cell r="C46" t="str">
            <v xml:space="preserve">Dầu Sinopec L-CKD 220 </v>
          </cell>
          <cell r="D46" t="str">
            <v>Lít</v>
          </cell>
          <cell r="E46">
            <v>0</v>
          </cell>
          <cell r="F46">
            <v>0</v>
          </cell>
          <cell r="G46">
            <v>0</v>
          </cell>
          <cell r="H46">
            <v>136</v>
          </cell>
        </row>
        <row r="47">
          <cell r="B47" t="str">
            <v>1.31.73.139.SIN.00.000</v>
          </cell>
          <cell r="C47" t="str">
            <v>Dầu Shell Omala S4 GXV 220</v>
          </cell>
          <cell r="D47" t="str">
            <v>Lít</v>
          </cell>
          <cell r="E47">
            <v>2318</v>
          </cell>
          <cell r="F47">
            <v>0</v>
          </cell>
          <cell r="G47">
            <v>2318</v>
          </cell>
          <cell r="H47">
            <v>350</v>
          </cell>
        </row>
        <row r="48">
          <cell r="B48" t="str">
            <v>1.41.44.073.VIE.00.000</v>
          </cell>
          <cell r="C48" t="str">
            <v>Shell Omala S2 GX 220</v>
          </cell>
          <cell r="D48" t="str">
            <v>Lít</v>
          </cell>
          <cell r="E48">
            <v>2318</v>
          </cell>
          <cell r="F48">
            <v>0</v>
          </cell>
          <cell r="G48">
            <v>2318</v>
          </cell>
          <cell r="H48">
            <v>200</v>
          </cell>
        </row>
        <row r="49">
          <cell r="B49" t="str">
            <v>1.31.53.034.ENG.00.000</v>
          </cell>
          <cell r="C49" t="str">
            <v>Dầu Lanxess Turbofluid 46SJ; Quy cách: 230 kg/phuy</v>
          </cell>
          <cell r="D49" t="str">
            <v>Kg</v>
          </cell>
          <cell r="E49">
            <v>816</v>
          </cell>
          <cell r="F49">
            <v>0</v>
          </cell>
          <cell r="G49">
            <v>0</v>
          </cell>
          <cell r="H49">
            <v>690</v>
          </cell>
        </row>
        <row r="50">
          <cell r="B50" t="str">
            <v>1.41.44.056.VIE.00.000</v>
          </cell>
          <cell r="C50" t="str">
            <v>Dầu Shell Omala S2 GX 1000</v>
          </cell>
          <cell r="D50" t="str">
            <v>Lít</v>
          </cell>
          <cell r="E50">
            <v>50.6</v>
          </cell>
          <cell r="F50">
            <v>0</v>
          </cell>
          <cell r="G50">
            <v>50.6</v>
          </cell>
          <cell r="H50">
            <v>200</v>
          </cell>
        </row>
        <row r="51">
          <cell r="B51" t="str">
            <v>1.31.73.041.CHN.00.000
1.31.73.073.SIN.00.000</v>
          </cell>
          <cell r="C51" t="str">
            <v>Dầu Sinopec L-DAB 100</v>
          </cell>
          <cell r="D51" t="str">
            <v>Lít</v>
          </cell>
          <cell r="E51">
            <v>0</v>
          </cell>
          <cell r="F51">
            <v>0</v>
          </cell>
          <cell r="G51">
            <v>0</v>
          </cell>
          <cell r="H51">
            <v>100</v>
          </cell>
        </row>
        <row r="52">
          <cell r="B52"/>
          <cell r="C52"/>
          <cell r="D52"/>
          <cell r="E52"/>
          <cell r="F52"/>
          <cell r="G52"/>
          <cell r="H52"/>
        </row>
        <row r="53">
          <cell r="B53" t="str">
            <v xml:space="preserve">5.17.30.291.CHN.00.000	</v>
          </cell>
          <cell r="C53" t="str">
            <v>Lõi lọc dầu Mã: S03013/3 (thay cho lọc 92888262)</v>
          </cell>
          <cell r="D53" t="str">
            <v>Cái</v>
          </cell>
          <cell r="E53">
            <v>92</v>
          </cell>
          <cell r="F53">
            <v>0</v>
          </cell>
          <cell r="G53">
            <v>92</v>
          </cell>
          <cell r="H53">
            <v>10</v>
          </cell>
        </row>
        <row r="54">
          <cell r="B54" t="str">
            <v>5.17.20.051.USA.00.000</v>
          </cell>
          <cell r="C54" t="str">
            <v>Lọc tách dầu máy nén khí Ingersoll Rand, mã CCN 22219174</v>
          </cell>
          <cell r="D54" t="str">
            <v>Cái</v>
          </cell>
          <cell r="E54">
            <v>8</v>
          </cell>
          <cell r="F54">
            <v>1</v>
          </cell>
          <cell r="G54">
            <v>7</v>
          </cell>
          <cell r="H54">
            <v>1</v>
          </cell>
        </row>
        <row r="55">
          <cell r="B55" t="str">
            <v>5.17.30.290.CHN.00.000</v>
          </cell>
          <cell r="C55" t="str">
            <v>Lọc tách dầu Oil Separator Filter, Mã: SS4753L (thay cho lọc 54509435)</v>
          </cell>
          <cell r="D55" t="str">
            <v>Cái</v>
          </cell>
          <cell r="E55">
            <v>20</v>
          </cell>
          <cell r="F55">
            <v>5</v>
          </cell>
          <cell r="G55">
            <v>15</v>
          </cell>
          <cell r="H55">
            <v>1</v>
          </cell>
        </row>
        <row r="56">
          <cell r="B56" t="str">
            <v>5.17.70.012.CHN.00.000</v>
          </cell>
          <cell r="C56" t="str">
            <v>Lõi lọc khí Air Filter Mã: SP3818P</v>
          </cell>
          <cell r="D56" t="str">
            <v>Cái</v>
          </cell>
          <cell r="E56">
            <v>0</v>
          </cell>
          <cell r="F56">
            <v>0</v>
          </cell>
          <cell r="G56">
            <v>0</v>
          </cell>
          <cell r="H56">
            <v>5</v>
          </cell>
        </row>
        <row r="57">
          <cell r="B57" t="str">
            <v>5.17.70.013.CHN.00.000</v>
          </cell>
          <cell r="C57" t="str">
            <v>Lõi lọc khí Air Filter Mã:SP3836P</v>
          </cell>
          <cell r="D57" t="str">
            <v>Cái</v>
          </cell>
          <cell r="E57">
            <v>0</v>
          </cell>
          <cell r="F57">
            <v>0</v>
          </cell>
          <cell r="G57">
            <v>0</v>
          </cell>
          <cell r="H57">
            <v>5</v>
          </cell>
        </row>
        <row r="58">
          <cell r="B58" t="str">
            <v>5.17.80.218.CHN.00.000</v>
          </cell>
          <cell r="C58" t="str">
            <v>Lọc từ. Bộ lọc từ nam châm thanh. Nam châm Kích thước: D25x90mm. Lực từ: 8000- 9000 Gauss. Cố định một đầu trên thanh inox KT 25x180mm</v>
          </cell>
          <cell r="D58" t="str">
            <v>Cái</v>
          </cell>
          <cell r="E58">
            <v>0</v>
          </cell>
          <cell r="F58">
            <v>0</v>
          </cell>
          <cell r="G58">
            <v>0</v>
          </cell>
          <cell r="H58">
            <v>12</v>
          </cell>
        </row>
        <row r="59">
          <cell r="B59" t="str">
            <v>5.17.80.089.CHN.01.000</v>
          </cell>
          <cell r="C59" t="str">
            <v>Lõi lọc thủy lực cho bộ lọc dầu Duplex Filter 22PD; KT: 60x245mm</v>
          </cell>
          <cell r="D59" t="str">
            <v>Cái</v>
          </cell>
          <cell r="E59">
            <v>0</v>
          </cell>
          <cell r="F59">
            <v>0</v>
          </cell>
          <cell r="G59">
            <v>0</v>
          </cell>
          <cell r="H59">
            <v>6</v>
          </cell>
        </row>
        <row r="60">
          <cell r="B60" t="str">
            <v>5.17.80.215.GER.00.000</v>
          </cell>
          <cell r="C60" t="str">
            <v>Lõi Lọc dầu thủy lực trạm dầu dẫn động xích cào SSC - DH1, Lõi lọc dầu thủy lực, Rexroth filter element 2.0130 H10XL-A00 0- M, Model R928022276, Filtration rating 10µm</v>
          </cell>
          <cell r="D60" t="str">
            <v>Cái</v>
          </cell>
          <cell r="E60">
            <v>0</v>
          </cell>
          <cell r="F60">
            <v>0</v>
          </cell>
          <cell r="G60">
            <v>0</v>
          </cell>
          <cell r="H60">
            <v>2</v>
          </cell>
        </row>
        <row r="61">
          <cell r="B61" t="str">
            <v>5.17.30.132.CHN.01.000</v>
          </cell>
          <cell r="C61" t="str">
            <v>Lọc dầu động cơ chính máy nghiền, loại máy nghiền MGS-4766, mã lọc: SPL-15 Oil Filter Mesh Disc
- Inner diameter: 20mm
- Outer diameter: 40mm
- Rated Flow: 2m3/h
- Materials: copper mesh
- Precise: 500 mesh
- Số lượng đĩa lọc trên mỗi bộ: 30 cái</v>
          </cell>
          <cell r="D61" t="str">
            <v>Cái</v>
          </cell>
          <cell r="E61">
            <v>0</v>
          </cell>
          <cell r="F61">
            <v>0</v>
          </cell>
          <cell r="G61">
            <v>0</v>
          </cell>
          <cell r="H61">
            <v>12</v>
          </cell>
        </row>
        <row r="62">
          <cell r="B62" t="str">
            <v>5.17.30.132.CHN.02.000</v>
          </cell>
          <cell r="C62" t="str">
            <v>Lõi lọc nhớt cho hệ thống APH, mã bộ lọc SPL-32 Oil Filter Mesh Disc, Inner diameter: 30mm,</v>
          </cell>
          <cell r="D62" t="str">
            <v>Cái</v>
          </cell>
          <cell r="E62">
            <v>0</v>
          </cell>
          <cell r="F62">
            <v>0</v>
          </cell>
          <cell r="G62">
            <v>0</v>
          </cell>
          <cell r="H62">
            <v>226</v>
          </cell>
        </row>
        <row r="63">
          <cell r="B63" t="str">
            <v>5.17.80.093.CHN.00.000</v>
          </cell>
          <cell r="C63" t="str">
            <v>Lõi lọc nhớt cho hệ thống APH DH3, mã bộ lọc SPL-32, mã lõi lọc: 142012, kích thước lỗ lọc: 0.04mm, áp suất 0.8Mpa, nhiệt độ 85°C</v>
          </cell>
          <cell r="D63" t="str">
            <v>Cái</v>
          </cell>
          <cell r="E63">
            <v>0</v>
          </cell>
          <cell r="F63">
            <v>0</v>
          </cell>
          <cell r="G63">
            <v>0</v>
          </cell>
          <cell r="H63">
            <v>10</v>
          </cell>
        </row>
        <row r="64">
          <cell r="B64" t="str">
            <v>5.17.90.025.CHN.00.000</v>
          </cell>
          <cell r="C64" t="str">
            <v xml:space="preserve"> Lõi lọc an toàn RO, 600 FlowPure-HF Cartridge Filter, Model: CRHFPP040500EC, Cấp lọc: 05µm</v>
          </cell>
          <cell r="D64" t="str">
            <v>Cái</v>
          </cell>
          <cell r="E64">
            <v>1973</v>
          </cell>
          <cell r="F64">
            <v>0</v>
          </cell>
          <cell r="G64">
            <v>1973</v>
          </cell>
          <cell r="H64">
            <v>60</v>
          </cell>
        </row>
        <row r="65">
          <cell r="B65" t="str">
            <v>5.17.90.026.CHN.00.000</v>
          </cell>
          <cell r="C65" t="str">
            <v>Lõi lọc an toàn RO, 600 FlowPure-HF Cartridge Filter, Model: CRHFPP040500NC, Cấp lọc: 05µm</v>
          </cell>
          <cell r="D65" t="str">
            <v>Cái</v>
          </cell>
          <cell r="E65">
            <v>234</v>
          </cell>
          <cell r="F65">
            <v>45</v>
          </cell>
          <cell r="G65">
            <v>189</v>
          </cell>
          <cell r="H65">
            <v>8</v>
          </cell>
        </row>
        <row r="66">
          <cell r="B66" t="str">
            <v>5.17.20.095.CHN.01.000</v>
          </cell>
          <cell r="C66" t="str">
            <v>Model: KANG HUA WU-250x100FJ</v>
          </cell>
          <cell r="D66" t="str">
            <v>Cái</v>
          </cell>
          <cell r="E66">
            <v>12</v>
          </cell>
          <cell r="F66">
            <v>0</v>
          </cell>
          <cell r="G66">
            <v>12</v>
          </cell>
          <cell r="H66">
            <v>12</v>
          </cell>
        </row>
        <row r="67">
          <cell r="B67" t="str">
            <v>5.17.20.043.CHN.01.000
5.17.30.260.CHN.00.000</v>
          </cell>
          <cell r="C67" t="str">
            <v>Lõi Lọc dầu, Model: SFX 240x20, Filtration rating: 20µm</v>
          </cell>
          <cell r="D67" t="str">
            <v>Cái</v>
          </cell>
          <cell r="E67">
            <v>24</v>
          </cell>
          <cell r="F67">
            <v>0</v>
          </cell>
          <cell r="G67">
            <v>24</v>
          </cell>
          <cell r="H67">
            <v>12</v>
          </cell>
        </row>
        <row r="68">
          <cell r="B68" t="str">
            <v>5.17.20.081.CHN.00.000</v>
          </cell>
          <cell r="C68" t="str">
            <v>Bộ lọc dầu - Hydralic Filter P173789,H= 362mm,D= 121MM,d1=79mm,d2 = 86mm</v>
          </cell>
          <cell r="D68" t="str">
            <v>Cái</v>
          </cell>
          <cell r="E68">
            <v>36</v>
          </cell>
          <cell r="F68">
            <v>0</v>
          </cell>
          <cell r="G68">
            <v>36</v>
          </cell>
          <cell r="H68">
            <v>12</v>
          </cell>
        </row>
        <row r="69">
          <cell r="B69" t="str">
            <v>5.17.80.090.CHN.02.000</v>
          </cell>
          <cell r="C69" t="str">
            <v>Lõi lọc nhớt cho hệ thống PAF DH3, mã bộ lọc SGF-H160x20F, mã lõi lọc: LH0160D020BN3HC, cấp lọc 20mm</v>
          </cell>
          <cell r="D69" t="str">
            <v>Cái</v>
          </cell>
          <cell r="E69">
            <v>4</v>
          </cell>
          <cell r="F69">
            <v>0</v>
          </cell>
          <cell r="G69">
            <v>4</v>
          </cell>
          <cell r="H69">
            <v>4</v>
          </cell>
        </row>
        <row r="70">
          <cell r="B70" t="str">
            <v>5.17.80.095.CHN.01.000</v>
          </cell>
          <cell r="C70" t="str">
            <v>Lọc dầu điều khiển quạt tăng áp FGD - DH1, Model: SGF-H330x20, Filter element: LH0330D020BN3HC, Filtration rating: 20µm</v>
          </cell>
          <cell r="D70" t="str">
            <v>Lõi</v>
          </cell>
          <cell r="E70">
            <v>4</v>
          </cell>
          <cell r="F70">
            <v>0</v>
          </cell>
          <cell r="G70">
            <v>4</v>
          </cell>
          <cell r="H70">
            <v>4</v>
          </cell>
        </row>
        <row r="71">
          <cell r="B71" t="str">
            <v>5.17.80.213.GER.00.000
5.17.80.214.GER.00.000</v>
          </cell>
          <cell r="C71" t="str">
            <v>Loại lọc: Made By HYDAC, DF W/HC 160 TE 25C 11/B6(1305789), Factory No: F1321599, Year: 37(W)/13(Y)
- Presure: 42Mpa, L: 02</v>
          </cell>
          <cell r="D71" t="str">
            <v>Lõi</v>
          </cell>
          <cell r="E71">
            <v>8</v>
          </cell>
          <cell r="F71">
            <v>0</v>
          </cell>
          <cell r="G71">
            <v>8</v>
          </cell>
          <cell r="H71">
            <v>2</v>
          </cell>
        </row>
        <row r="72">
          <cell r="B72" t="str">
            <v>5.17.30.131.GER.00.000</v>
          </cell>
          <cell r="C72" t="str">
            <v>Mã lọc: Element filter type: EATON - 300373</v>
          </cell>
          <cell r="D72" t="str">
            <v>cái</v>
          </cell>
          <cell r="E72">
            <v>2</v>
          </cell>
          <cell r="F72">
            <v>0</v>
          </cell>
          <cell r="G72">
            <v>2</v>
          </cell>
          <cell r="H72">
            <v>2</v>
          </cell>
        </row>
        <row r="73">
          <cell r="B73" t="str">
            <v>5.17.80.212.CHN.00.000</v>
          </cell>
          <cell r="C73" t="str">
            <v>Lõi Lọc dầu trạm dầu bôi trơn điều khiển quạt PAF, FDF- DH1, Model: 22PD220QBT1KG161, Filter element: Parker-G01938Q, Filtration rating: 20µm</v>
          </cell>
          <cell r="D73" t="str">
            <v>Cái</v>
          </cell>
          <cell r="E73">
            <v>16</v>
          </cell>
          <cell r="F73">
            <v>0</v>
          </cell>
          <cell r="G73">
            <v>16</v>
          </cell>
          <cell r="H73">
            <v>6</v>
          </cell>
        </row>
        <row r="74">
          <cell r="B74" t="str">
            <v>5.17.20.065.CHN.00.000</v>
          </cell>
          <cell r="C74" t="str">
            <v>Lọc khí Sotras E7-44 (SM 9976), Filter element: Sotras, SM 9976, orking, pressure: 0.8MPa, Filtration Level: 1µm</v>
          </cell>
          <cell r="D74" t="str">
            <v xml:space="preserve">Cái </v>
          </cell>
          <cell r="E74">
            <v>18</v>
          </cell>
          <cell r="F74">
            <v>0</v>
          </cell>
          <cell r="G74">
            <v>18</v>
          </cell>
          <cell r="H74">
            <v>2</v>
          </cell>
        </row>
        <row r="75">
          <cell r="B75" t="str">
            <v>5.17.70.012.CHN.00.000</v>
          </cell>
          <cell r="C75" t="str">
            <v>Lõi lọc khí Air Filter Mã: SP3818P ( lọc ngắn, thay thế cho Lọc khí P/N 39903281)</v>
          </cell>
          <cell r="D75" t="str">
            <v xml:space="preserve">Cái </v>
          </cell>
          <cell r="E75">
            <v>0</v>
          </cell>
          <cell r="F75">
            <v>0</v>
          </cell>
          <cell r="G75">
            <v>3</v>
          </cell>
          <cell r="H75">
            <v>1</v>
          </cell>
        </row>
        <row r="76">
          <cell r="B76" t="str">
            <v>5.17.70.013.CHN.00.000</v>
          </cell>
          <cell r="C76" t="str">
            <v>Lõi lọc khí Air Filter Mã: SP3836P ( lọc dài, thay thế cho  Lọc khí P/N: 39903265)</v>
          </cell>
          <cell r="D76" t="str">
            <v xml:space="preserve">Cái </v>
          </cell>
          <cell r="E76">
            <v>0</v>
          </cell>
          <cell r="F76">
            <v>0</v>
          </cell>
          <cell r="G76">
            <v>3</v>
          </cell>
          <cell r="H76">
            <v>1</v>
          </cell>
        </row>
        <row r="77">
          <cell r="B77" t="str">
            <v>5.17.30.294.CHN.00.000</v>
          </cell>
          <cell r="C77" t="str">
            <v>Lọc tách dầu Oil Separator Filter Mã SS4743L</v>
          </cell>
          <cell r="D77" t="str">
            <v xml:space="preserve">Cái </v>
          </cell>
          <cell r="E77">
            <v>0</v>
          </cell>
          <cell r="F77">
            <v>0</v>
          </cell>
          <cell r="G77">
            <v>3</v>
          </cell>
          <cell r="H77">
            <v>2</v>
          </cell>
        </row>
        <row r="78">
          <cell r="B78" t="str">
            <v>5.17.30.238.CHN.00.000</v>
          </cell>
          <cell r="C78" t="str">
            <v>Lõi lọc tách dầu; Filter element: SM9952, Working pressure: 0.8MPa, Filtration Level: 0.01µm, Remaining Oil Content: 0.01PPm, Capacity: 90m3/min, Differential pressure: &lt; 0.3bar</v>
          </cell>
          <cell r="D78" t="str">
            <v>Cái</v>
          </cell>
          <cell r="E78">
            <v>80</v>
          </cell>
          <cell r="F78">
            <v>28</v>
          </cell>
          <cell r="G78">
            <v>52</v>
          </cell>
          <cell r="H78">
            <v>12</v>
          </cell>
        </row>
        <row r="79">
          <cell r="B79" t="str">
            <v>5.32.86.764.CHN.00.000</v>
          </cell>
          <cell r="C79" t="str">
            <v>Lọc dầu quạt sục khí-Hệ thống FGD-BOP</v>
          </cell>
          <cell r="D79" t="str">
            <v>cái</v>
          </cell>
          <cell r="E79">
            <v>0</v>
          </cell>
          <cell r="F79">
            <v>0</v>
          </cell>
          <cell r="G79">
            <v>0</v>
          </cell>
          <cell r="H79">
            <v>4</v>
          </cell>
        </row>
        <row r="80">
          <cell r="B80" t="str">
            <v>5.17.30.213.CHN.01.000</v>
          </cell>
          <cell r="C80" t="str">
            <v>Lõi lọc dầu, Model: DQ600KW25H1.0</v>
          </cell>
          <cell r="D80" t="str">
            <v>cái</v>
          </cell>
          <cell r="E80">
            <v>0</v>
          </cell>
          <cell r="F80">
            <v>0</v>
          </cell>
          <cell r="G80">
            <v>0</v>
          </cell>
          <cell r="H80">
            <v>10</v>
          </cell>
        </row>
        <row r="81">
          <cell r="B81" t="str">
            <v>5.17.30.213.CHN.02.000</v>
          </cell>
          <cell r="C81" t="str">
            <v>Lõi Lọc dầu Mã bộ lọc 707FM1625H4W25HH10FO8S-DQ, Mã lõi lọc: DQ600KW25H1 0S, Lưu lượng định mức: 5000L Min</v>
          </cell>
          <cell r="D81" t="str">
            <v>cái</v>
          </cell>
          <cell r="E81">
            <v>8</v>
          </cell>
          <cell r="F81">
            <v>0</v>
          </cell>
          <cell r="G81">
            <v>8</v>
          </cell>
          <cell r="H81">
            <v>10</v>
          </cell>
        </row>
        <row r="82">
          <cell r="B82" t="str">
            <v>5.17.30.217.CHN.00.000</v>
          </cell>
          <cell r="C82" t="str">
            <v>Lõi Lọc dầu bôi trơn BFPT - DH1, Mã bộ lọc 97C1623FW25HF80DQ F06P, Mã lõi lọc: QF9733W25HO7C DQ, Lưu lượng định mức: 1800L mi</v>
          </cell>
          <cell r="D82" t="str">
            <v>cái</v>
          </cell>
          <cell r="E82">
            <v>8</v>
          </cell>
          <cell r="F82">
            <v>0</v>
          </cell>
          <cell r="G82">
            <v>8</v>
          </cell>
          <cell r="H82">
            <v>4</v>
          </cell>
        </row>
        <row r="83">
          <cell r="B83" t="str">
            <v>5.17.30.217.CHN.01.000</v>
          </cell>
          <cell r="C83" t="str">
            <v>Lõi Lọc dầu: Mã bộ lọc: 97C1623FW25HF80DQ F06P, Mã lõi lọc: QF9733W25HO7C -DQ, Lưu lượng định mức: 1800L m</v>
          </cell>
          <cell r="D83" t="str">
            <v>cái</v>
          </cell>
          <cell r="E83">
            <v>8</v>
          </cell>
          <cell r="F83">
            <v>0</v>
          </cell>
          <cell r="G83">
            <v>8</v>
          </cell>
          <cell r="H83">
            <v>4</v>
          </cell>
        </row>
        <row r="84">
          <cell r="B84" t="str">
            <v>5.17.30.221.CHN.00.000
5.17.20.237.CHN.01.000
5.17.30.307.CHN.00.000</v>
          </cell>
          <cell r="C84" t="str">
            <v xml:space="preserve"> Lõi lọc dầu, Eaton OF3 Inlet Strainer
CATALOG NUMBER: 578070
MODEL CODE: OF3 20 3RV 10</v>
          </cell>
          <cell r="D84" t="str">
            <v>cái</v>
          </cell>
          <cell r="E84">
            <v>4</v>
          </cell>
          <cell r="F84">
            <v>0</v>
          </cell>
          <cell r="G84">
            <v>4</v>
          </cell>
          <cell r="H84">
            <v>2</v>
          </cell>
        </row>
        <row r="85">
          <cell r="B85" t="str">
            <v>5.17.30.222.CHN.00.000</v>
          </cell>
          <cell r="C85" t="str">
            <v>Lõi lọc dầu, Mã lọc: 0F3-08-3RV-10 Đầu nối vặn bằng ren trong</v>
          </cell>
          <cell r="D85" t="str">
            <v>cái</v>
          </cell>
          <cell r="E85">
            <v>4</v>
          </cell>
          <cell r="F85">
            <v>0</v>
          </cell>
          <cell r="G85">
            <v>4</v>
          </cell>
          <cell r="H85">
            <v>2</v>
          </cell>
        </row>
        <row r="86">
          <cell r="B86" t="str">
            <v>5.17.30.225.CHN.00.000</v>
          </cell>
          <cell r="C86" t="str">
            <v>Lõi lọc dầu, Filter element: DEA- DP6SH201EA10V/-W
Filtration rating: 10µm</v>
          </cell>
          <cell r="D86" t="str">
            <v>cái</v>
          </cell>
          <cell r="E86">
            <v>20</v>
          </cell>
          <cell r="F86">
            <v>0</v>
          </cell>
          <cell r="G86">
            <v>20</v>
          </cell>
          <cell r="H86">
            <v>10</v>
          </cell>
        </row>
        <row r="87">
          <cell r="B87" t="str">
            <v>5.17.80.216.ITA.00.000</v>
          </cell>
          <cell r="C87" t="str">
            <v>Lõi lọc dầu, Mã bộ lọc FHB3202SVF1A03NP01, Mã lõi lọc: HP3202A03VNP01, Áp suất 320 bar</v>
          </cell>
          <cell r="D87" t="str">
            <v>cái</v>
          </cell>
          <cell r="E87">
            <v>8</v>
          </cell>
          <cell r="F87">
            <v>0</v>
          </cell>
          <cell r="G87">
            <v>8</v>
          </cell>
          <cell r="H87">
            <v>2</v>
          </cell>
        </row>
        <row r="88">
          <cell r="B88" t="str">
            <v>5.17.80.217.ITA.00.000</v>
          </cell>
          <cell r="C88" t="str">
            <v>Lõi lọc dầu, Model: MPF1842VF1A03HBP01
Filter element: MF1802A03HVP01
Filtration rating: 03µm</v>
          </cell>
          <cell r="D88" t="str">
            <v>cái</v>
          </cell>
          <cell r="E88">
            <v>8</v>
          </cell>
          <cell r="F88">
            <v>0</v>
          </cell>
          <cell r="G88">
            <v>8</v>
          </cell>
          <cell r="H88">
            <v>2</v>
          </cell>
        </row>
        <row r="89">
          <cell r="B89" t="str">
            <v>5.17.20.211.CHN.00.000</v>
          </cell>
          <cell r="C89" t="str">
            <v>Filter ElementType: AirtechOil Filter Part # ATOF-51348</v>
          </cell>
          <cell r="D89" t="str">
            <v>cái</v>
          </cell>
          <cell r="E89">
            <v>10</v>
          </cell>
          <cell r="F89">
            <v>0</v>
          </cell>
          <cell r="G89">
            <v>10</v>
          </cell>
          <cell r="H89">
            <v>1</v>
          </cell>
        </row>
        <row r="90">
          <cell r="B90" t="str">
            <v>5.17.60.126.CHN.00.000
5.17.20.238.USA.00.000</v>
          </cell>
          <cell r="C90" t="str">
            <v>Filter ElementType:
HY-PRO HP76L4-12MB</v>
          </cell>
          <cell r="D90" t="str">
            <v>cái</v>
          </cell>
          <cell r="E90">
            <v>4</v>
          </cell>
          <cell r="F90">
            <v>0</v>
          </cell>
          <cell r="G90">
            <v>4</v>
          </cell>
          <cell r="H90">
            <v>1</v>
          </cell>
        </row>
        <row r="91">
          <cell r="B91" t="str">
            <v>5.17.20.224.USA.02.000</v>
          </cell>
          <cell r="C91" t="str">
            <v>Filter ElementType: ICB600524-A 
Acid numbers oil outlet: &lt;0.2mgKOH/g</v>
          </cell>
          <cell r="D91" t="str">
            <v>cái</v>
          </cell>
          <cell r="E91">
            <v>10</v>
          </cell>
          <cell r="F91">
            <v>4</v>
          </cell>
          <cell r="G91">
            <v>6</v>
          </cell>
          <cell r="H91">
            <v>1</v>
          </cell>
        </row>
        <row r="92">
          <cell r="B92" t="str">
            <v>5.17.20.210.CHN.00.000</v>
          </cell>
          <cell r="C92" t="str">
            <v>Filter ElementType:
Airtech Exhaust Filter With O-Rings Part Number 06120.A0</v>
          </cell>
          <cell r="D92" t="str">
            <v>cái</v>
          </cell>
          <cell r="E92">
            <v>4</v>
          </cell>
          <cell r="F92">
            <v>0</v>
          </cell>
          <cell r="G92">
            <v>4</v>
          </cell>
          <cell r="H92">
            <v>1</v>
          </cell>
        </row>
        <row r="93">
          <cell r="B93" t="str">
            <v>5.17.80.040.CHN.01.000</v>
          </cell>
          <cell r="C93" t="str">
            <v>Filter ElementType: HP107L18-1MV
Filtration rating: 2.5µm
Beta (2.5µm)&gt; 1000
Oil outlet: NAS&lt;5</v>
          </cell>
          <cell r="D93" t="str">
            <v>cái</v>
          </cell>
          <cell r="E93">
            <v>10</v>
          </cell>
          <cell r="F93">
            <v>0</v>
          </cell>
          <cell r="G93">
            <v>10</v>
          </cell>
          <cell r="H93">
            <v>1</v>
          </cell>
        </row>
        <row r="94">
          <cell r="B94" t="str">
            <v>5.17.30.214.CHN.00.000</v>
          </cell>
          <cell r="C94" t="str">
            <v xml:space="preserve">DFDK BH/HC 110 QAC 3 C1.1
Element filter type: 0110D003BN4HC
</v>
          </cell>
          <cell r="D94" t="str">
            <v>cái</v>
          </cell>
          <cell r="E94">
            <v>4</v>
          </cell>
          <cell r="F94">
            <v>0</v>
          </cell>
          <cell r="G94">
            <v>4</v>
          </cell>
          <cell r="H94">
            <v>2</v>
          </cell>
        </row>
        <row r="95">
          <cell r="B95" t="str">
            <v>5.17.30.236.GER.00.000</v>
          </cell>
          <cell r="C95" t="str">
            <v xml:space="preserve">RFM BN/HC165 BD3C1.0
Element filter type: 0165R003BN4HC
</v>
          </cell>
          <cell r="D95" t="str">
            <v>cái</v>
          </cell>
          <cell r="E95">
            <v>2</v>
          </cell>
          <cell r="F95">
            <v>0</v>
          </cell>
          <cell r="G95">
            <v>2</v>
          </cell>
          <cell r="H95">
            <v>2</v>
          </cell>
        </row>
        <row r="96">
          <cell r="B96" t="str">
            <v>5.17.30.259.ITA.10.000</v>
          </cell>
          <cell r="C96" t="str">
            <v>Lõi lọc dầu - Coreless Filter Model SH 87619, Sử dụng cho bộ lọc mã P/N HH8314F40KTXAM1, Áp suất: 400 psi</v>
          </cell>
          <cell r="D96" t="str">
            <v>cái</v>
          </cell>
          <cell r="E96">
            <v>0</v>
          </cell>
          <cell r="F96">
            <v>0</v>
          </cell>
          <cell r="G96">
            <v>0</v>
          </cell>
          <cell r="H96">
            <v>1</v>
          </cell>
        </row>
        <row r="97">
          <cell r="B97" t="str">
            <v>5.17.30.218.CHN.00.000</v>
          </cell>
          <cell r="C97" t="str">
            <v>Lõi Lọc dầu đầu thoát bơm dầu kích trục tuabin DH1, Mã bộ lọc 707FH3260GA10DN40H7F3.5C, Mã lọc: DQ8302GA10H35C, Filtration: 10µm</v>
          </cell>
          <cell r="D97" t="str">
            <v>cái</v>
          </cell>
          <cell r="E97">
            <v>2</v>
          </cell>
          <cell r="F97">
            <v>0</v>
          </cell>
          <cell r="G97">
            <v>2</v>
          </cell>
          <cell r="H97">
            <v>1</v>
          </cell>
        </row>
        <row r="98">
          <cell r="B98" t="str">
            <v>5.17.30.219.CHN.00.000</v>
          </cell>
          <cell r="C98" t="str">
            <v>Lõi Lọc dầu đầu hút bơm dầu kích trục tuabin DH1, Mã bộ lọc 707FM1641GA20DN50H1.5F1C, Mã lọc: DQ6803GA20H15C, Filtration rating: 20µm</v>
          </cell>
          <cell r="D98" t="str">
            <v>cái</v>
          </cell>
          <cell r="E98">
            <v>2</v>
          </cell>
          <cell r="F98">
            <v>0</v>
          </cell>
          <cell r="G98">
            <v>2</v>
          </cell>
          <cell r="H98">
            <v>1</v>
          </cell>
        </row>
        <row r="99">
          <cell r="B99" t="str">
            <v>5.17.30.216.CHN.00.000</v>
          </cell>
          <cell r="C99" t="str">
            <v>Lõi Lọc nước làm mát stator MF - DH1, Mã bộ lọc WFF-125-1, Mã lõi lọc MSL-125, Filtration rating: 05µm, Áp, suất làm việc 1.0MPa, Mỗi bộ có 31 lõi lọc</v>
          </cell>
          <cell r="D99" t="str">
            <v>cái</v>
          </cell>
          <cell r="E99">
            <v>62</v>
          </cell>
          <cell r="F99">
            <v>0</v>
          </cell>
          <cell r="G99">
            <v>62</v>
          </cell>
          <cell r="H99">
            <v>31</v>
          </cell>
        </row>
        <row r="100">
          <cell r="B100" t="str">
            <v>5.17.30.128.CHN.01.000</v>
          </cell>
          <cell r="C100" t="str">
            <v>Bộ lọc Mã: HDX 40x20; NSX: LEEMIN</v>
          </cell>
          <cell r="D100" t="str">
            <v>Bộ</v>
          </cell>
          <cell r="E100">
            <v>24</v>
          </cell>
          <cell r="F100">
            <v>0</v>
          </cell>
          <cell r="G100">
            <v>24</v>
          </cell>
          <cell r="H100">
            <v>1</v>
          </cell>
        </row>
        <row r="101">
          <cell r="B101" t="str">
            <v>5.17.20.081.USA.00.000</v>
          </cell>
          <cell r="C101" t="str">
            <v>Lọc dầu Hydralic Filter P173789</v>
          </cell>
          <cell r="D101" t="str">
            <v>Cái</v>
          </cell>
          <cell r="E101">
            <v>36</v>
          </cell>
          <cell r="F101">
            <v>0</v>
          </cell>
          <cell r="G101">
            <v>36</v>
          </cell>
          <cell r="H101">
            <v>2</v>
          </cell>
        </row>
        <row r="102">
          <cell r="B102" t="str">
            <v>5.17.20.224.USA.02.000</v>
          </cell>
          <cell r="C102" t="str">
            <v>Lọc dầu, Filter Element type: HY-PRO ICB600524-A</v>
          </cell>
          <cell r="D102" t="str">
            <v>Cái</v>
          </cell>
          <cell r="E102">
            <v>10</v>
          </cell>
          <cell r="F102">
            <v>4</v>
          </cell>
          <cell r="G102">
            <v>6</v>
          </cell>
          <cell r="H102">
            <v>2</v>
          </cell>
        </row>
        <row r="103">
          <cell r="B103" t="str">
            <v>5.17.20.225.USA.00.000</v>
          </cell>
          <cell r="C103" t="str">
            <v>Lõi lọc tinh tách cặn. Mã hiệu: HP107L18-1MV</v>
          </cell>
          <cell r="D103" t="str">
            <v>Cái</v>
          </cell>
          <cell r="E103">
            <v>10</v>
          </cell>
          <cell r="F103">
            <v>2</v>
          </cell>
          <cell r="G103">
            <v>8</v>
          </cell>
          <cell r="H103">
            <v>2</v>
          </cell>
        </row>
        <row r="104">
          <cell r="B104" t="str">
            <v>5.17.20.238.USA.00.000</v>
          </cell>
          <cell r="C104" t="str">
            <v>Lọc gió, Filter Element type: HY-PRO HP76L4-12MB</v>
          </cell>
          <cell r="D104" t="str">
            <v>Cái</v>
          </cell>
          <cell r="E104">
            <v>10</v>
          </cell>
          <cell r="F104">
            <v>2</v>
          </cell>
          <cell r="G104">
            <v>8</v>
          </cell>
          <cell r="H104">
            <v>4</v>
          </cell>
        </row>
        <row r="105">
          <cell r="B105" t="str">
            <v>5.17.20.210.USA.01.000</v>
          </cell>
          <cell r="C105" t="str">
            <v>Lõi lọc tách dầu, Filter Element type: HY-PRO ATCF-1061</v>
          </cell>
          <cell r="D105" t="str">
            <v>Cái</v>
          </cell>
          <cell r="E105">
            <v>10</v>
          </cell>
          <cell r="F105">
            <v>2</v>
          </cell>
          <cell r="G105">
            <v>8</v>
          </cell>
          <cell r="H105">
            <v>4</v>
          </cell>
        </row>
        <row r="106">
          <cell r="B106" t="str">
            <v>5.17.20.211.USA.00.000</v>
          </cell>
          <cell r="C106" t="str">
            <v>Lọc dầu, Filter Element type: VPATOF-51348</v>
          </cell>
          <cell r="D106" t="str">
            <v>Cái</v>
          </cell>
          <cell r="E106">
            <v>10</v>
          </cell>
          <cell r="F106">
            <v>2</v>
          </cell>
          <cell r="G106">
            <v>8</v>
          </cell>
          <cell r="H106">
            <v>10</v>
          </cell>
        </row>
        <row r="107">
          <cell r="B107" t="str">
            <v>5.17.30.224.CHN.00.000</v>
          </cell>
          <cell r="C107" t="str">
            <v>Lõi Lọc dầu EH vào cơ cấu chấp hành cụm van tuabin chính DH1, Mã lọc: 0110D010BN3HC, Filtration rating: 10µm</v>
          </cell>
          <cell r="D107" t="str">
            <v>cái</v>
          </cell>
          <cell r="E107">
            <v>20</v>
          </cell>
          <cell r="F107">
            <v>0</v>
          </cell>
          <cell r="G107">
            <v>20</v>
          </cell>
          <cell r="H107">
            <v>10</v>
          </cell>
        </row>
        <row r="108">
          <cell r="B108" t="str">
            <v>5.17.80.214.GER.00.000</v>
          </cell>
          <cell r="C108" t="str">
            <v>- Type: DF W/HC160TE25C11/-B6;
- Filtration rating: 25µm
- Presure: 42MPa;
- T Max: 100 0C;
- T Min: -10 0C</v>
          </cell>
          <cell r="D108" t="str">
            <v>Cái</v>
          </cell>
          <cell r="E108">
            <v>2</v>
          </cell>
          <cell r="F108">
            <v>0</v>
          </cell>
          <cell r="G108">
            <v>2</v>
          </cell>
          <cell r="H108">
            <v>2</v>
          </cell>
        </row>
        <row r="109">
          <cell r="B109" t="str">
            <v>5.17.80.212.CZE.00.000</v>
          </cell>
          <cell r="C109" t="str">
            <v>Lõi lọc dầu, Pressure Filter Model SH 51003, Cho bộ lọc Model: 22PD220QBT1KG161, Filtration rating: 20µm</v>
          </cell>
          <cell r="D109" t="str">
            <v>Cái</v>
          </cell>
          <cell r="E109">
            <v>4</v>
          </cell>
          <cell r="F109">
            <v>0</v>
          </cell>
          <cell r="G109">
            <v>4</v>
          </cell>
          <cell r="H109">
            <v>4</v>
          </cell>
        </row>
        <row r="110">
          <cell r="B110"/>
          <cell r="C110"/>
          <cell r="D110"/>
          <cell r="E110"/>
          <cell r="F110"/>
          <cell r="G110">
            <v>0</v>
          </cell>
          <cell r="H110"/>
        </row>
        <row r="111">
          <cell r="B111" t="str">
            <v>1.26.86.107.VIE.00.000</v>
          </cell>
          <cell r="C111" t="str">
            <v>Bình khí N2 chuẩn; Nồng độ N2 99,999%; dung tích 10L; Áp suất khí 150 bar; NSX: Leeden Nox.</v>
          </cell>
          <cell r="D111" t="str">
            <v>Chai</v>
          </cell>
          <cell r="E111">
            <v>250</v>
          </cell>
          <cell r="F111">
            <v>0</v>
          </cell>
          <cell r="G111">
            <v>0</v>
          </cell>
          <cell r="H111">
            <v>100</v>
          </cell>
        </row>
        <row r="112">
          <cell r="B112" t="str">
            <v>1.26.86.009.VIE.00.000</v>
          </cell>
          <cell r="C112" t="str">
            <v>Khí CO2 99.93% (nạp 22kg/chai), 
chai loại 40l</v>
          </cell>
          <cell r="D112" t="str">
            <v>Chai</v>
          </cell>
          <cell r="E112">
            <v>250</v>
          </cell>
          <cell r="F112">
            <v>0</v>
          </cell>
          <cell r="G112">
            <v>0</v>
          </cell>
          <cell r="H112">
            <v>100</v>
          </cell>
        </row>
        <row r="113">
          <cell r="B113" t="str">
            <v>4.59.90.026.VIE.00.000</v>
          </cell>
          <cell r="C113" t="str">
            <v>Bi Nghiền than ĐK 50</v>
          </cell>
          <cell r="D113" t="str">
            <v>Kg</v>
          </cell>
          <cell r="E113">
            <v>1800000</v>
          </cell>
          <cell r="F113">
            <v>95000</v>
          </cell>
          <cell r="G113">
            <v>1705000</v>
          </cell>
          <cell r="H113">
            <v>150000</v>
          </cell>
        </row>
        <row r="114">
          <cell r="B114" t="str">
            <v>1.61.86.373.KOR.00.000</v>
          </cell>
          <cell r="C114" t="str">
            <v>Hạt anion mixbed polishing: Anion Exchange resin : hạt nhựa chuyên dùng cho hệ thống polishing Quy cách 25 lít/ bao</v>
          </cell>
          <cell r="D114" t="str">
            <v>M3</v>
          </cell>
          <cell r="E114">
            <v>0</v>
          </cell>
          <cell r="F114">
            <v>0</v>
          </cell>
          <cell r="G114">
            <v>0</v>
          </cell>
          <cell r="H114" t="str">
            <v>0.8</v>
          </cell>
        </row>
        <row r="115">
          <cell r="B115" t="str">
            <v>4.94.80.285.VIE.00.000</v>
          </cell>
          <cell r="C115" t="str">
            <v>Vải lau màu</v>
          </cell>
          <cell r="D115" t="str">
            <v>Kg</v>
          </cell>
          <cell r="E115">
            <v>400</v>
          </cell>
          <cell r="F115">
            <v>100</v>
          </cell>
          <cell r="G115">
            <v>300</v>
          </cell>
          <cell r="H115">
            <v>100</v>
          </cell>
        </row>
        <row r="116">
          <cell r="B116" t="str">
            <v>8.95.80.006.VIE.00.000</v>
          </cell>
          <cell r="C116" t="str">
            <v>Bao tải loại 50kg</v>
          </cell>
          <cell r="D116" t="str">
            <v>Cái</v>
          </cell>
          <cell r="E116">
            <v>15000</v>
          </cell>
          <cell r="F116">
            <v>8000</v>
          </cell>
          <cell r="G116">
            <v>7000</v>
          </cell>
          <cell r="H116">
            <v>8000</v>
          </cell>
        </row>
        <row r="117">
          <cell r="B117" t="str">
            <v>3.66.72.108.VIE.00.000</v>
          </cell>
          <cell r="C117" t="str">
            <v>Bóng đèn led Bulb Rạng Đông model: TR80N2 18W; Điện áp:220V/50Hz; Ánh sáng vàng; Quang thông: 1500 lm; Kích thước (ØxH):(80 x 145) mm; Loại đuôi:E27; NSX: Rang Dong</v>
          </cell>
          <cell r="D117" t="str">
            <v>Bộ</v>
          </cell>
          <cell r="E117">
            <v>0</v>
          </cell>
          <cell r="F117">
            <v>0</v>
          </cell>
          <cell r="G117">
            <v>0</v>
          </cell>
          <cell r="H117">
            <v>20</v>
          </cell>
        </row>
        <row r="118">
          <cell r="B118" t="str">
            <v>3.66.72.125.VIE.01.000</v>
          </cell>
          <cell r="C118" t="str">
            <v>Bóng đèn led Bulb Model: TR140N1/50W.H; Công suất: 50W; Điện áp:220V/50Hz; Loại đuôi E27 (ánh sáng vàng)</v>
          </cell>
          <cell r="D118" t="str">
            <v>Cái</v>
          </cell>
          <cell r="E118">
            <v>0</v>
          </cell>
          <cell r="F118">
            <v>0</v>
          </cell>
          <cell r="G118">
            <v>0</v>
          </cell>
          <cell r="H118">
            <v>20</v>
          </cell>
        </row>
        <row r="119">
          <cell r="B119" t="str">
            <v>3.66.72.227.VIE.00.000</v>
          </cell>
          <cell r="C119" t="str">
            <v>Đèn led bulb Mã sản phẩm: A60N3/7W, Điện áp: 220V/50Hz, Công suất: 7W</v>
          </cell>
          <cell r="D119" t="str">
            <v>Cái</v>
          </cell>
          <cell r="E119">
            <v>0</v>
          </cell>
          <cell r="F119">
            <v>0</v>
          </cell>
          <cell r="G119">
            <v>0</v>
          </cell>
          <cell r="H119">
            <v>20</v>
          </cell>
        </row>
        <row r="120">
          <cell r="B120"/>
          <cell r="C120" t="str">
            <v>Dung môi jotun Thinnerr NO.17</v>
          </cell>
          <cell r="D120" t="str">
            <v>Lít</v>
          </cell>
          <cell r="E120">
            <v>0</v>
          </cell>
          <cell r="F120">
            <v>0</v>
          </cell>
          <cell r="G120">
            <v>20</v>
          </cell>
          <cell r="H120">
            <v>20</v>
          </cell>
        </row>
        <row r="121">
          <cell r="B121"/>
          <cell r="C121" t="str">
            <v>giấy chà nhám P.800</v>
          </cell>
          <cell r="D121" t="str">
            <v xml:space="preserve">Tờ </v>
          </cell>
          <cell r="E121">
            <v>0</v>
          </cell>
          <cell r="F121">
            <v>0</v>
          </cell>
          <cell r="G121">
            <v>10</v>
          </cell>
          <cell r="H121">
            <v>10</v>
          </cell>
        </row>
        <row r="122">
          <cell r="B122"/>
          <cell r="C122" t="str">
            <v>giấy chà nhám P.240</v>
          </cell>
          <cell r="D122" t="str">
            <v xml:space="preserve">Tờ </v>
          </cell>
          <cell r="E122">
            <v>0</v>
          </cell>
          <cell r="F122">
            <v>0</v>
          </cell>
          <cell r="G122">
            <v>10</v>
          </cell>
          <cell r="H122">
            <v>10</v>
          </cell>
        </row>
        <row r="123">
          <cell r="B123"/>
          <cell r="C123" t="str">
            <v>Can 20 lít</v>
          </cell>
          <cell r="D123" t="str">
            <v xml:space="preserve">Cái </v>
          </cell>
          <cell r="E123">
            <v>0</v>
          </cell>
          <cell r="F123">
            <v>0</v>
          </cell>
          <cell r="G123">
            <v>0</v>
          </cell>
          <cell r="H123">
            <v>10</v>
          </cell>
        </row>
        <row r="124">
          <cell r="B124" t="str">
            <v>1.11.01.002.VIE.00.000</v>
          </cell>
          <cell r="C124" t="str">
            <v>Dầu diesel (DO)</v>
          </cell>
          <cell r="D124" t="str">
            <v>Lít</v>
          </cell>
          <cell r="E124">
            <v>15300</v>
          </cell>
          <cell r="F124">
            <v>0</v>
          </cell>
          <cell r="G124">
            <v>0</v>
          </cell>
          <cell r="H124">
            <v>3000</v>
          </cell>
        </row>
        <row r="125">
          <cell r="B125" t="str">
            <v>1.61.06.038.VIE.00.000</v>
          </cell>
          <cell r="C125" t="str">
            <v>HCL 31%</v>
          </cell>
          <cell r="D125" t="str">
            <v>Kg</v>
          </cell>
          <cell r="E125">
            <v>193545.66666666669</v>
          </cell>
          <cell r="F125">
            <v>28946</v>
          </cell>
          <cell r="G125">
            <v>164599.6667</v>
          </cell>
          <cell r="H125">
            <v>18000</v>
          </cell>
        </row>
        <row r="126">
          <cell r="B126" t="str">
            <v>1.61.26.003.VIE.00.000</v>
          </cell>
          <cell r="C126" t="str">
            <v>Sodium Hypochloride (NaClO 10%) lỏng</v>
          </cell>
          <cell r="D126" t="str">
            <v>Kg</v>
          </cell>
          <cell r="E126">
            <v>58784.123333333329</v>
          </cell>
          <cell r="F126">
            <v>15537</v>
          </cell>
          <cell r="G126">
            <v>43247.123330000002</v>
          </cell>
          <cell r="H126">
            <v>9000</v>
          </cell>
        </row>
        <row r="127">
          <cell r="B127" t="str">
            <v>1.61.16.003.VIE.00.000</v>
          </cell>
          <cell r="C127" t="str">
            <v>Hóa chất-Khí hóa lỏng (NH3)</v>
          </cell>
          <cell r="D127" t="str">
            <v>Kg</v>
          </cell>
          <cell r="E127">
            <v>5927395.5999999996</v>
          </cell>
          <cell r="F127">
            <v>560395.62599999993</v>
          </cell>
          <cell r="G127">
            <v>5696769.5999999996</v>
          </cell>
          <cell r="H127">
            <v>900000</v>
          </cell>
        </row>
        <row r="128">
          <cell r="B128" t="str">
            <v>1.61.16.008.VIE.00.000</v>
          </cell>
          <cell r="C128" t="str">
            <v>Natri Hidroxit (NaOH 32%)</v>
          </cell>
          <cell r="D128" t="str">
            <v>Kg</v>
          </cell>
          <cell r="E128">
            <v>214928.40000000002</v>
          </cell>
          <cell r="F128">
            <v>40496.71</v>
          </cell>
          <cell r="G128">
            <v>202182.42</v>
          </cell>
          <cell r="H128">
            <v>16000</v>
          </cell>
        </row>
        <row r="129">
          <cell r="B129" t="str">
            <v>1.61.86.518.VIE.00.000</v>
          </cell>
          <cell r="C129" t="str">
            <v>Hoá chất- Ammonium hydroxite 20% P (NH4OH)</v>
          </cell>
          <cell r="D129" t="str">
            <v>Kg</v>
          </cell>
          <cell r="E129">
            <v>108297.93933333333</v>
          </cell>
          <cell r="F129">
            <v>8879.44</v>
          </cell>
          <cell r="G129">
            <v>105604.05933333332</v>
          </cell>
          <cell r="H129">
            <v>7000</v>
          </cell>
        </row>
        <row r="130">
          <cell r="B130" t="str">
            <v>1.61.86.566.VIE.02.000</v>
          </cell>
          <cell r="C130" t="str">
            <v>PAC 12% lỏng, màu trắng hoặc vàng nhạt dùng cho xử lý nước cấp</v>
          </cell>
          <cell r="D130" t="str">
            <v>Kg</v>
          </cell>
          <cell r="E130">
            <v>219584</v>
          </cell>
          <cell r="F130">
            <v>17113</v>
          </cell>
          <cell r="G130">
            <v>213150</v>
          </cell>
          <cell r="H130">
            <v>7000</v>
          </cell>
        </row>
        <row r="131">
          <cell r="B131" t="str">
            <v>4.89.00.005.CHN.01.000</v>
          </cell>
          <cell r="C131" t="str">
            <v>Tấm thấm dầu Polypropylen; Kích thước: 41x46cm, dày 5mm; Màu sắc: màu trắng; Quy cách: 100 tấm/thùng</v>
          </cell>
          <cell r="D131" t="str">
            <v>Tấm</v>
          </cell>
          <cell r="E131">
            <v>100</v>
          </cell>
          <cell r="F131">
            <v>0</v>
          </cell>
          <cell r="G131">
            <v>0</v>
          </cell>
          <cell r="H131">
            <v>100</v>
          </cell>
        </row>
        <row r="132">
          <cell r="B132" t="str">
            <v>3.20.84.519.CHN.15.000</v>
          </cell>
          <cell r="C132" t="str">
            <v>Đầu cos pin rỗng 10-12 (mỗi bịch 100 cái); Knipex</v>
          </cell>
          <cell r="D132" t="str">
            <v>Cái</v>
          </cell>
          <cell r="E132">
            <v>6</v>
          </cell>
          <cell r="F132">
            <v>6</v>
          </cell>
          <cell r="G132">
            <v>0</v>
          </cell>
          <cell r="H132">
            <v>6</v>
          </cell>
        </row>
        <row r="133">
          <cell r="B133" t="str">
            <v>3.20.84.525.VIE.01.000</v>
          </cell>
          <cell r="C133" t="str">
            <v>Đầu cốt chẻ Y phủ nhựa 3.5-4 (mỗi bịch 100 cái)</v>
          </cell>
          <cell r="D133" t="str">
            <v>Cái</v>
          </cell>
          <cell r="E133">
            <v>34</v>
          </cell>
          <cell r="F133">
            <v>34</v>
          </cell>
          <cell r="G133">
            <v>0</v>
          </cell>
          <cell r="H133">
            <v>34</v>
          </cell>
        </row>
        <row r="134">
          <cell r="B134" t="str">
            <v>3.20.84.540.CHN.00.000</v>
          </cell>
          <cell r="C134" t="str">
            <v>Đầu cốt kín 2-5 (mỗi bịch 100 cái)</v>
          </cell>
          <cell r="D134" t="str">
            <v>Cái</v>
          </cell>
          <cell r="E134">
            <v>71</v>
          </cell>
          <cell r="F134">
            <v>71</v>
          </cell>
          <cell r="G134">
            <v>0</v>
          </cell>
          <cell r="H134">
            <v>71</v>
          </cell>
        </row>
        <row r="135">
          <cell r="B135" t="str">
            <v>3.25.64.037.VIE.01.000</v>
          </cell>
          <cell r="C135" t="str">
            <v>Chụp đầu cos V 22 màu đỏ</v>
          </cell>
          <cell r="D135" t="str">
            <v>Cái</v>
          </cell>
          <cell r="E135">
            <v>27</v>
          </cell>
          <cell r="F135">
            <v>27</v>
          </cell>
          <cell r="G135">
            <v>0</v>
          </cell>
          <cell r="H135">
            <v>27</v>
          </cell>
        </row>
        <row r="136">
          <cell r="B136" t="str">
            <v>3.30.10.297.CHN.00.000</v>
          </cell>
          <cell r="C136" t="str">
            <v>Dây cắm test board Cái-Cái 20 cm</v>
          </cell>
          <cell r="D136" t="str">
            <v>Cái</v>
          </cell>
          <cell r="E136">
            <v>20</v>
          </cell>
          <cell r="F136">
            <v>20</v>
          </cell>
          <cell r="G136">
            <v>0</v>
          </cell>
          <cell r="H136">
            <v>20</v>
          </cell>
        </row>
        <row r="137">
          <cell r="B137" t="str">
            <v>3.30.10.369.CHN.01.000</v>
          </cell>
          <cell r="C137" t="str">
            <v>Jack kết nối Profibus Contact – 2708232 D-SUB SUBCON-PLUS-PROFIB/SC3</v>
          </cell>
          <cell r="D137" t="str">
            <v>Cái</v>
          </cell>
          <cell r="E137">
            <v>20</v>
          </cell>
          <cell r="F137">
            <v>20</v>
          </cell>
          <cell r="G137">
            <v>0</v>
          </cell>
          <cell r="H137">
            <v>20</v>
          </cell>
        </row>
        <row r="138">
          <cell r="B138" t="str">
            <v>3.30.14.259.CHN.00.000</v>
          </cell>
          <cell r="C138" t="str">
            <v>Cầu chì loại 2A</v>
          </cell>
          <cell r="D138" t="str">
            <v>Cái</v>
          </cell>
          <cell r="E138">
            <v>17</v>
          </cell>
          <cell r="F138">
            <v>17</v>
          </cell>
          <cell r="G138">
            <v>0</v>
          </cell>
          <cell r="H138">
            <v>17</v>
          </cell>
        </row>
        <row r="139">
          <cell r="B139" t="str">
            <v>3.30.14.271.CHN.00.000</v>
          </cell>
          <cell r="C139" t="str">
            <v>Cầu chì ống sứ loại I = 0,5A đường kính 5 x 20mm</v>
          </cell>
          <cell r="D139" t="str">
            <v>Cái</v>
          </cell>
          <cell r="E139">
            <v>190</v>
          </cell>
          <cell r="F139">
            <v>190</v>
          </cell>
          <cell r="G139">
            <v>0</v>
          </cell>
          <cell r="H139">
            <v>190</v>
          </cell>
        </row>
        <row r="140">
          <cell r="B140" t="str">
            <v>3.30.14.273.CHN.00.000</v>
          </cell>
          <cell r="C140" t="str">
            <v>Cầu chì ống sứ loại I = 2A đường kính 5 x 20 mm</v>
          </cell>
          <cell r="D140" t="str">
            <v>Cái</v>
          </cell>
          <cell r="E140">
            <v>580</v>
          </cell>
          <cell r="F140">
            <v>580</v>
          </cell>
          <cell r="G140">
            <v>0</v>
          </cell>
          <cell r="H140">
            <v>580</v>
          </cell>
        </row>
        <row r="141">
          <cell r="B141" t="str">
            <v>3.30.14.274.CHN.00.000</v>
          </cell>
          <cell r="C141" t="str">
            <v>Cầu chì ống sứ loại I = 5A đường kính 5 x 20 mm</v>
          </cell>
          <cell r="D141" t="str">
            <v>Cái</v>
          </cell>
          <cell r="E141">
            <v>380</v>
          </cell>
          <cell r="F141">
            <v>380</v>
          </cell>
          <cell r="G141">
            <v>0</v>
          </cell>
          <cell r="H141">
            <v>380</v>
          </cell>
        </row>
        <row r="142">
          <cell r="B142" t="str">
            <v>3.30.14.470.MEX.00.000</v>
          </cell>
          <cell r="C142" t="str">
            <v>Cầu chì sử dụng cho hê thống DCS Micro-Fuse;0.063A;125V; 1X00030H01; NSX: Emerson</v>
          </cell>
          <cell r="D142" t="str">
            <v>Cái</v>
          </cell>
          <cell r="E142">
            <v>9</v>
          </cell>
          <cell r="F142">
            <v>9</v>
          </cell>
          <cell r="G142">
            <v>0</v>
          </cell>
          <cell r="H142">
            <v>9</v>
          </cell>
        </row>
        <row r="143">
          <cell r="B143" t="str">
            <v>3.30.14.473.HUN.00.000</v>
          </cell>
          <cell r="C143" t="str">
            <v>Fuse model: FD20GB100V20T; 20A 1000VDC 1500VAC; NSX: MERSEN</v>
          </cell>
          <cell r="D143" t="str">
            <v>Cái</v>
          </cell>
          <cell r="E143">
            <v>3</v>
          </cell>
          <cell r="F143">
            <v>3</v>
          </cell>
          <cell r="G143">
            <v>0</v>
          </cell>
          <cell r="H143">
            <v>3</v>
          </cell>
        </row>
        <row r="144">
          <cell r="B144" t="str">
            <v>3.34.40.173.CHN.00.000</v>
          </cell>
          <cell r="C144" t="str">
            <v>Công tắc chọn 2 vị trí XA2ED25 - Schnieder</v>
          </cell>
          <cell r="D144" t="str">
            <v>Cái</v>
          </cell>
          <cell r="E144">
            <v>18</v>
          </cell>
          <cell r="F144">
            <v>18</v>
          </cell>
          <cell r="G144">
            <v>0</v>
          </cell>
          <cell r="H144">
            <v>18</v>
          </cell>
        </row>
        <row r="145">
          <cell r="B145" t="str">
            <v>3.46.19.059.GER.00.000</v>
          </cell>
          <cell r="C145" t="str">
            <v>Module Relay EMUG45 4REL/KSR-G 24/21 – 2943767</v>
          </cell>
          <cell r="D145" t="str">
            <v>Cái</v>
          </cell>
          <cell r="E145">
            <v>1</v>
          </cell>
          <cell r="F145">
            <v>1</v>
          </cell>
          <cell r="G145">
            <v>0</v>
          </cell>
          <cell r="H145">
            <v>1</v>
          </cell>
        </row>
        <row r="146">
          <cell r="B146" t="str">
            <v>3.50.43.123.CHN.00.000</v>
          </cell>
          <cell r="C146" t="str">
            <v>Relay board 2008-7-11 SPM_Relay_Board</v>
          </cell>
          <cell r="D146" t="str">
            <v>Cái</v>
          </cell>
          <cell r="E146">
            <v>2</v>
          </cell>
          <cell r="F146">
            <v>2</v>
          </cell>
          <cell r="G146">
            <v>0</v>
          </cell>
          <cell r="H146">
            <v>2</v>
          </cell>
        </row>
        <row r="147">
          <cell r="B147" t="str">
            <v>3.50.90.442.INA.00.000</v>
          </cell>
          <cell r="C147" t="str">
            <v>Đế relay trung gian (230VAC 12A) RXM2AB2P7; Rơ le kiếng 2CO+led 230VAC - Schneider</v>
          </cell>
          <cell r="D147" t="str">
            <v>Cái</v>
          </cell>
          <cell r="E147">
            <v>1</v>
          </cell>
          <cell r="F147">
            <v>1</v>
          </cell>
          <cell r="G147">
            <v>0</v>
          </cell>
          <cell r="H147">
            <v>1</v>
          </cell>
        </row>
        <row r="148">
          <cell r="B148" t="str">
            <v>3.50.90.656.CHN.00.000</v>
          </cell>
          <cell r="C148" t="str">
            <v>Relay trung gian Loại MY4N-220VAC 14 chân 4 cặp tiếp điểm 5A 220VAC</v>
          </cell>
          <cell r="D148" t="str">
            <v>Cái</v>
          </cell>
          <cell r="E148">
            <v>90</v>
          </cell>
          <cell r="F148">
            <v>90</v>
          </cell>
          <cell r="G148">
            <v>0</v>
          </cell>
          <cell r="H148">
            <v>90</v>
          </cell>
        </row>
        <row r="149">
          <cell r="B149" t="str">
            <v>3.50.90.657.CHN.00.000</v>
          </cell>
          <cell r="C149" t="str">
            <v>Relay trung gian Loại MY4N-24VDC</v>
          </cell>
          <cell r="D149" t="str">
            <v>Cái</v>
          </cell>
          <cell r="E149">
            <v>90</v>
          </cell>
          <cell r="F149">
            <v>90</v>
          </cell>
          <cell r="G149">
            <v>0</v>
          </cell>
          <cell r="H149">
            <v>90</v>
          </cell>
        </row>
        <row r="150">
          <cell r="B150" t="str">
            <v>3.50.91.025.CHN.00.000</v>
          </cell>
          <cell r="C150" t="str">
            <v>Mô đun đầu ra Analogue 6ES73325 HD010AB0</v>
          </cell>
          <cell r="D150" t="str">
            <v>Cái</v>
          </cell>
          <cell r="E150">
            <v>1</v>
          </cell>
          <cell r="F150">
            <v>1</v>
          </cell>
          <cell r="G150">
            <v>0</v>
          </cell>
          <cell r="H150">
            <v>1</v>
          </cell>
        </row>
        <row r="151">
          <cell r="B151" t="str">
            <v>3.50.91.039.GER.02.000</v>
          </cell>
          <cell r="C151" t="str">
            <v>Mô đun mở rộng, Model: 6ES7221-1BH22-0XA0</v>
          </cell>
          <cell r="D151" t="str">
            <v>Cái</v>
          </cell>
          <cell r="E151">
            <v>1</v>
          </cell>
          <cell r="F151">
            <v>1</v>
          </cell>
          <cell r="G151">
            <v>0</v>
          </cell>
          <cell r="H151">
            <v>1</v>
          </cell>
        </row>
        <row r="152">
          <cell r="B152" t="str">
            <v>3.50.91.220.GER.01.000</v>
          </cell>
          <cell r="C152" t="str">
            <v>Module mở rộng Digital DO, 6ES7223-1HF22-0XA8 SIMATIC S7-200CN, hãng: Siemens</v>
          </cell>
          <cell r="D152" t="str">
            <v>Cái</v>
          </cell>
          <cell r="E152">
            <v>1</v>
          </cell>
          <cell r="F152">
            <v>1</v>
          </cell>
          <cell r="G152">
            <v>0</v>
          </cell>
          <cell r="H152">
            <v>1</v>
          </cell>
        </row>
        <row r="153">
          <cell r="B153" t="str">
            <v>3.50.91.878.CHN.00.000</v>
          </cell>
          <cell r="C153" t="str">
            <v>Bộ nguồn SPN50D15, A1DC220VDC +15V/1A; -15V/1ASN: 1206111268</v>
          </cell>
          <cell r="D153" t="str">
            <v>Cái</v>
          </cell>
          <cell r="E153">
            <v>1</v>
          </cell>
          <cell r="F153">
            <v>1</v>
          </cell>
          <cell r="G153">
            <v>0</v>
          </cell>
          <cell r="H153">
            <v>1</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ang 12 2024"/>
      <sheetName val="Lỹ kế số lượng sử dụng"/>
    </sheetNames>
    <sheetDataSet>
      <sheetData sheetId="0">
        <row r="21">
          <cell r="F21">
            <v>210344.50715200003</v>
          </cell>
        </row>
        <row r="22">
          <cell r="F22">
            <v>70533.213333333304</v>
          </cell>
        </row>
        <row r="24">
          <cell r="F24">
            <v>5937653.7398247998</v>
          </cell>
        </row>
        <row r="25">
          <cell r="F25">
            <v>214379.59804920002</v>
          </cell>
        </row>
      </sheetData>
      <sheetData sheetId="1">
        <row r="21">
          <cell r="F21">
            <v>110447.68200000002</v>
          </cell>
        </row>
        <row r="22">
          <cell r="F22">
            <v>40130.449999999997</v>
          </cell>
        </row>
        <row r="24">
          <cell r="F24">
            <v>3133824</v>
          </cell>
        </row>
        <row r="25">
          <cell r="F25">
            <v>119355.61200000001</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46075"/>
  <sheetViews>
    <sheetView topLeftCell="A43" zoomScale="80" zoomScaleNormal="80" workbookViewId="0">
      <selection activeCell="H53" sqref="H53"/>
    </sheetView>
  </sheetViews>
  <sheetFormatPr defaultColWidth="9.140625" defaultRowHeight="16.5" x14ac:dyDescent="0.25"/>
  <cols>
    <col min="1" max="1" width="8.85546875" style="5" customWidth="1"/>
    <col min="2" max="2" width="22.5703125" style="5" customWidth="1"/>
    <col min="3" max="3" width="29.85546875" style="49" customWidth="1"/>
    <col min="4" max="4" width="10.42578125" style="5" customWidth="1"/>
    <col min="5" max="5" width="11" style="5" customWidth="1"/>
    <col min="6" max="7" width="11.7109375" style="5" customWidth="1"/>
    <col min="8" max="8" width="11.7109375" style="237" customWidth="1"/>
    <col min="9" max="9" width="9.5703125" style="5" customWidth="1"/>
    <col min="10" max="10" width="61.28515625" style="49" customWidth="1"/>
    <col min="11" max="11" width="19.5703125" style="94" hidden="1" customWidth="1"/>
    <col min="12" max="12" width="26.42578125" style="8" customWidth="1"/>
    <col min="13" max="19" width="5.5703125" style="8" hidden="1" customWidth="1"/>
    <col min="20" max="24" width="5.5703125" style="8" customWidth="1"/>
    <col min="25" max="16384" width="9.140625" style="8"/>
  </cols>
  <sheetData>
    <row r="1" spans="1:20" ht="28.5" hidden="1" customHeight="1" x14ac:dyDescent="0.25">
      <c r="A1" s="5" t="s">
        <v>8</v>
      </c>
      <c r="C1" s="87"/>
      <c r="D1" s="88"/>
      <c r="E1" s="88"/>
      <c r="F1" s="88"/>
      <c r="G1" s="88"/>
      <c r="H1" s="88"/>
      <c r="I1" s="88"/>
      <c r="J1" s="87"/>
      <c r="K1" s="91"/>
      <c r="L1" s="92"/>
      <c r="M1" s="92"/>
      <c r="N1" s="92"/>
      <c r="O1" s="92"/>
      <c r="P1" s="92"/>
      <c r="Q1" s="92"/>
      <c r="R1" s="92"/>
      <c r="S1" s="92"/>
      <c r="T1" s="92"/>
    </row>
    <row r="2" spans="1:20" ht="28.5" hidden="1" customHeight="1" x14ac:dyDescent="0.25">
      <c r="A2" s="83" t="s">
        <v>9</v>
      </c>
      <c r="B2" s="83"/>
      <c r="C2" s="87"/>
      <c r="D2" s="88"/>
      <c r="E2" s="88"/>
      <c r="F2" s="88"/>
      <c r="G2" s="88"/>
      <c r="H2" s="88"/>
      <c r="I2" s="88"/>
      <c r="J2" s="87"/>
      <c r="K2" s="91"/>
      <c r="L2" s="92"/>
      <c r="M2" s="92"/>
      <c r="N2" s="92"/>
      <c r="O2" s="92"/>
      <c r="P2" s="92"/>
      <c r="Q2" s="92"/>
      <c r="R2" s="92"/>
      <c r="S2" s="92"/>
      <c r="T2" s="92"/>
    </row>
    <row r="3" spans="1:20" ht="19.5" hidden="1" customHeight="1" x14ac:dyDescent="0.25">
      <c r="C3" s="87"/>
      <c r="D3" s="88"/>
      <c r="E3" s="88"/>
      <c r="F3" s="88"/>
      <c r="G3" s="88"/>
      <c r="H3" s="88"/>
      <c r="I3" s="88"/>
      <c r="J3" s="87"/>
      <c r="K3" s="91"/>
      <c r="L3" s="92"/>
      <c r="M3" s="92"/>
      <c r="N3" s="92"/>
      <c r="O3" s="92"/>
      <c r="P3" s="92"/>
      <c r="Q3" s="92"/>
      <c r="R3" s="92"/>
      <c r="S3" s="92"/>
      <c r="T3" s="92"/>
    </row>
    <row r="4" spans="1:20" ht="14.25" hidden="1" customHeight="1" x14ac:dyDescent="0.25">
      <c r="C4" s="87"/>
      <c r="D4" s="88"/>
      <c r="E4" s="88"/>
      <c r="F4" s="88"/>
      <c r="G4" s="88"/>
      <c r="H4" s="88"/>
      <c r="I4" s="88"/>
      <c r="J4" s="87"/>
      <c r="K4" s="91"/>
      <c r="L4" s="92"/>
      <c r="M4" s="92"/>
      <c r="N4" s="92"/>
      <c r="O4" s="92"/>
      <c r="P4" s="92"/>
      <c r="Q4" s="92"/>
      <c r="R4" s="92"/>
      <c r="S4" s="92"/>
      <c r="T4" s="92"/>
    </row>
    <row r="5" spans="1:20" ht="14.25" hidden="1" customHeight="1" x14ac:dyDescent="0.25">
      <c r="B5" s="5" t="s">
        <v>14</v>
      </c>
      <c r="C5" s="87"/>
      <c r="D5" s="88"/>
      <c r="E5" s="88"/>
      <c r="F5" s="88"/>
      <c r="G5" s="88"/>
      <c r="H5" s="88"/>
      <c r="I5" s="88"/>
      <c r="J5" s="87"/>
      <c r="K5" s="91"/>
      <c r="L5" s="92"/>
      <c r="M5" s="92"/>
      <c r="N5" s="92"/>
      <c r="O5" s="92"/>
      <c r="P5" s="92"/>
      <c r="Q5" s="92"/>
      <c r="R5" s="92"/>
      <c r="S5" s="92"/>
      <c r="T5" s="92"/>
    </row>
    <row r="6" spans="1:20" ht="14.25" hidden="1" customHeight="1" x14ac:dyDescent="0.25">
      <c r="B6" s="5" t="s">
        <v>12</v>
      </c>
      <c r="C6" s="87"/>
      <c r="D6" s="88"/>
      <c r="E6" s="88"/>
      <c r="F6" s="88"/>
      <c r="G6" s="88"/>
      <c r="H6" s="88"/>
      <c r="I6" s="88"/>
      <c r="J6" s="87"/>
      <c r="K6" s="91"/>
      <c r="L6" s="92"/>
      <c r="M6" s="92"/>
      <c r="N6" s="92"/>
      <c r="O6" s="92"/>
      <c r="P6" s="92"/>
      <c r="Q6" s="92"/>
      <c r="R6" s="92"/>
      <c r="S6" s="92"/>
      <c r="T6" s="92"/>
    </row>
    <row r="7" spans="1:20" ht="14.25" hidden="1" customHeight="1" x14ac:dyDescent="0.25">
      <c r="B7" s="5" t="s">
        <v>15</v>
      </c>
      <c r="C7" s="87"/>
      <c r="D7" s="88"/>
      <c r="E7" s="88"/>
      <c r="F7" s="88"/>
      <c r="G7" s="88"/>
      <c r="H7" s="88"/>
      <c r="I7" s="88"/>
      <c r="J7" s="87"/>
      <c r="K7" s="91"/>
      <c r="L7" s="92"/>
      <c r="M7" s="92"/>
      <c r="N7" s="92"/>
      <c r="O7" s="92"/>
      <c r="P7" s="92"/>
      <c r="Q7" s="92"/>
      <c r="R7" s="92"/>
      <c r="S7" s="92"/>
      <c r="T7" s="92"/>
    </row>
    <row r="8" spans="1:20" ht="14.25" hidden="1" customHeight="1" x14ac:dyDescent="0.25">
      <c r="B8" s="5" t="s">
        <v>13</v>
      </c>
      <c r="C8" s="87"/>
      <c r="D8" s="88"/>
      <c r="E8" s="88"/>
      <c r="F8" s="88"/>
      <c r="G8" s="88"/>
      <c r="H8" s="88"/>
      <c r="I8" s="88"/>
      <c r="J8" s="87"/>
      <c r="K8" s="91"/>
      <c r="L8" s="92"/>
      <c r="M8" s="92"/>
      <c r="N8" s="92"/>
      <c r="O8" s="92"/>
      <c r="P8" s="92"/>
      <c r="Q8" s="92"/>
      <c r="R8" s="92"/>
      <c r="S8" s="92"/>
      <c r="T8" s="92"/>
    </row>
    <row r="9" spans="1:20" ht="14.25" hidden="1" customHeight="1" x14ac:dyDescent="0.25">
      <c r="C9" s="87"/>
      <c r="D9" s="88"/>
      <c r="E9" s="88"/>
      <c r="F9" s="88"/>
      <c r="G9" s="88"/>
      <c r="H9" s="88"/>
      <c r="I9" s="88"/>
      <c r="J9" s="87"/>
      <c r="K9" s="91"/>
      <c r="L9" s="92"/>
      <c r="M9" s="92"/>
      <c r="N9" s="92"/>
      <c r="O9" s="92"/>
      <c r="P9" s="92"/>
      <c r="Q9" s="92"/>
      <c r="R9" s="92"/>
      <c r="S9" s="92"/>
      <c r="T9" s="92"/>
    </row>
    <row r="10" spans="1:20" ht="45" customHeight="1" x14ac:dyDescent="0.25">
      <c r="A10" s="487" t="s">
        <v>109</v>
      </c>
      <c r="B10" s="487"/>
      <c r="C10" s="87"/>
      <c r="D10" s="88"/>
      <c r="E10" s="88"/>
      <c r="F10" s="88"/>
      <c r="G10" s="88"/>
      <c r="H10" s="88"/>
      <c r="I10" s="88"/>
      <c r="J10" s="93" t="s">
        <v>371</v>
      </c>
      <c r="L10" s="92"/>
      <c r="M10" s="92"/>
      <c r="N10" s="92"/>
      <c r="O10" s="92"/>
      <c r="P10" s="92"/>
      <c r="Q10" s="92"/>
      <c r="R10" s="92"/>
      <c r="S10" s="92"/>
      <c r="T10" s="92"/>
    </row>
    <row r="11" spans="1:20" ht="18.75" x14ac:dyDescent="0.25">
      <c r="A11" s="488" t="s">
        <v>9</v>
      </c>
      <c r="B11" s="488"/>
      <c r="C11" s="229"/>
      <c r="D11" s="96"/>
      <c r="E11" s="96"/>
      <c r="F11" s="96"/>
      <c r="G11" s="96"/>
      <c r="H11" s="96"/>
      <c r="I11" s="96"/>
      <c r="J11" s="229"/>
      <c r="K11" s="99"/>
      <c r="L11" s="95"/>
      <c r="M11" s="95"/>
      <c r="N11" s="95"/>
      <c r="O11" s="95"/>
      <c r="P11" s="95"/>
      <c r="Q11" s="95"/>
      <c r="R11" s="95"/>
      <c r="S11" s="95"/>
      <c r="T11" s="95"/>
    </row>
    <row r="12" spans="1:20" x14ac:dyDescent="0.25">
      <c r="A12" s="486" t="s">
        <v>893</v>
      </c>
      <c r="B12" s="486"/>
      <c r="C12" s="6"/>
      <c r="H12" s="489"/>
      <c r="I12" s="489"/>
      <c r="J12" s="6"/>
    </row>
    <row r="13" spans="1:20" x14ac:dyDescent="0.25">
      <c r="C13" s="6"/>
      <c r="H13" s="5"/>
      <c r="J13" s="6"/>
    </row>
    <row r="14" spans="1:20" s="104" customFormat="1" ht="25.5" x14ac:dyDescent="0.25">
      <c r="A14" s="103"/>
      <c r="B14" s="490" t="s">
        <v>368</v>
      </c>
      <c r="C14" s="490"/>
      <c r="D14" s="490"/>
      <c r="E14" s="490"/>
      <c r="F14" s="490"/>
      <c r="G14" s="490"/>
      <c r="H14" s="490"/>
      <c r="I14" s="490"/>
      <c r="J14" s="490"/>
      <c r="K14" s="91"/>
    </row>
    <row r="15" spans="1:20" x14ac:dyDescent="0.25">
      <c r="B15" s="486" t="s">
        <v>1416</v>
      </c>
      <c r="C15" s="486"/>
      <c r="D15" s="486"/>
      <c r="E15" s="486"/>
      <c r="F15" s="486"/>
      <c r="G15" s="486"/>
      <c r="H15" s="486"/>
      <c r="I15" s="486"/>
      <c r="J15" s="486"/>
      <c r="K15" s="105"/>
    </row>
    <row r="16" spans="1:20" x14ac:dyDescent="0.25">
      <c r="C16" s="6"/>
      <c r="H16" s="5"/>
      <c r="J16" s="6"/>
      <c r="K16" s="105"/>
    </row>
    <row r="17" spans="1:24" x14ac:dyDescent="0.25">
      <c r="B17" s="5" t="s">
        <v>220</v>
      </c>
      <c r="C17" s="6"/>
      <c r="H17" s="5"/>
      <c r="J17" s="6" t="s">
        <v>797</v>
      </c>
      <c r="K17" s="105"/>
    </row>
    <row r="18" spans="1:24" x14ac:dyDescent="0.25">
      <c r="B18" s="5" t="s">
        <v>1417</v>
      </c>
      <c r="C18" s="6"/>
      <c r="H18" s="5"/>
      <c r="J18" s="6" t="s">
        <v>513</v>
      </c>
      <c r="K18" s="105"/>
    </row>
    <row r="19" spans="1:24" x14ac:dyDescent="0.25">
      <c r="C19" s="6"/>
      <c r="H19" s="5"/>
      <c r="J19" s="6" t="s">
        <v>514</v>
      </c>
      <c r="K19" s="105"/>
    </row>
    <row r="20" spans="1:24" x14ac:dyDescent="0.25">
      <c r="A20" s="106"/>
      <c r="B20" s="106"/>
      <c r="C20" s="108"/>
      <c r="D20" s="106"/>
      <c r="E20" s="106"/>
      <c r="F20" s="106"/>
      <c r="G20" s="106"/>
      <c r="H20" s="106"/>
      <c r="I20" s="106"/>
      <c r="J20" s="108"/>
      <c r="K20" s="111"/>
      <c r="L20" s="107"/>
    </row>
    <row r="21" spans="1:24" s="259" customFormat="1" ht="101.25" customHeight="1" x14ac:dyDescent="0.25">
      <c r="A21" s="451" t="s">
        <v>5</v>
      </c>
      <c r="B21" s="451" t="s">
        <v>10</v>
      </c>
      <c r="C21" s="452" t="s">
        <v>11</v>
      </c>
      <c r="D21" s="451" t="s">
        <v>6</v>
      </c>
      <c r="E21" s="451" t="s">
        <v>373</v>
      </c>
      <c r="F21" s="451" t="s">
        <v>404</v>
      </c>
      <c r="G21" s="451" t="s">
        <v>946</v>
      </c>
      <c r="H21" s="453" t="s">
        <v>406</v>
      </c>
      <c r="I21" s="454" t="s">
        <v>407</v>
      </c>
      <c r="J21" s="451" t="s">
        <v>408</v>
      </c>
      <c r="K21" s="468" t="s">
        <v>35</v>
      </c>
      <c r="L21" s="469" t="s">
        <v>108</v>
      </c>
      <c r="M21" s="260"/>
      <c r="N21" s="260"/>
      <c r="O21" s="260"/>
      <c r="P21" s="260"/>
      <c r="Q21" s="260"/>
      <c r="R21" s="264"/>
      <c r="S21" s="260"/>
      <c r="T21" s="260"/>
      <c r="U21" s="264"/>
    </row>
    <row r="22" spans="1:24" s="260" customFormat="1" ht="33" customHeight="1" x14ac:dyDescent="0.25">
      <c r="A22" s="466" t="s">
        <v>18</v>
      </c>
      <c r="B22" s="466"/>
      <c r="C22" s="466"/>
      <c r="D22" s="455"/>
      <c r="E22" s="455"/>
      <c r="F22" s="455"/>
      <c r="G22" s="455"/>
      <c r="H22" s="455"/>
      <c r="I22" s="455"/>
      <c r="J22" s="455"/>
      <c r="K22" s="470"/>
      <c r="L22" s="469"/>
      <c r="M22" s="260" t="s">
        <v>895</v>
      </c>
      <c r="N22" s="260" t="s">
        <v>896</v>
      </c>
      <c r="O22" s="260" t="s">
        <v>812</v>
      </c>
      <c r="P22" s="260" t="s">
        <v>813</v>
      </c>
      <c r="Q22" s="260" t="s">
        <v>827</v>
      </c>
      <c r="R22" s="260" t="s">
        <v>840</v>
      </c>
      <c r="S22" s="260" t="s">
        <v>897</v>
      </c>
      <c r="T22" s="260" t="s">
        <v>849</v>
      </c>
      <c r="U22" s="260" t="s">
        <v>852</v>
      </c>
      <c r="V22" s="260" t="s">
        <v>854</v>
      </c>
      <c r="W22" s="260" t="s">
        <v>858</v>
      </c>
      <c r="X22" s="260" t="s">
        <v>870</v>
      </c>
    </row>
    <row r="23" spans="1:24" s="258" customFormat="1" ht="27.75" customHeight="1" x14ac:dyDescent="0.25">
      <c r="A23" s="455">
        <v>1</v>
      </c>
      <c r="B23" s="455" t="s">
        <v>153</v>
      </c>
      <c r="C23" s="456" t="s">
        <v>54</v>
      </c>
      <c r="D23" s="455" t="s">
        <v>2</v>
      </c>
      <c r="E23" s="454">
        <v>2288</v>
      </c>
      <c r="F23" s="454">
        <v>1369</v>
      </c>
      <c r="G23" s="454">
        <f t="shared" ref="G23:G32" si="0">E23-F23</f>
        <v>919</v>
      </c>
      <c r="H23" s="454">
        <v>200</v>
      </c>
      <c r="I23" s="455"/>
      <c r="J23" s="457" t="s">
        <v>814</v>
      </c>
      <c r="K23" s="471">
        <v>0</v>
      </c>
      <c r="L23" s="455" t="s">
        <v>88</v>
      </c>
      <c r="M23" s="258" t="s">
        <v>895</v>
      </c>
      <c r="N23" s="258" t="s">
        <v>896</v>
      </c>
      <c r="P23" s="463" t="s">
        <v>813</v>
      </c>
      <c r="Q23" s="257" t="s">
        <v>827</v>
      </c>
      <c r="R23" s="257" t="s">
        <v>840</v>
      </c>
      <c r="S23" s="257" t="s">
        <v>1472</v>
      </c>
      <c r="T23" s="257" t="s">
        <v>849</v>
      </c>
      <c r="U23" s="257"/>
    </row>
    <row r="24" spans="1:24" s="257" customFormat="1" ht="27.75" customHeight="1" x14ac:dyDescent="0.25">
      <c r="A24" s="455">
        <v>2</v>
      </c>
      <c r="B24" s="455" t="s">
        <v>153</v>
      </c>
      <c r="C24" s="456" t="s">
        <v>54</v>
      </c>
      <c r="D24" s="455" t="s">
        <v>2</v>
      </c>
      <c r="E24" s="454">
        <v>2288</v>
      </c>
      <c r="F24" s="454">
        <v>1369</v>
      </c>
      <c r="G24" s="454">
        <f t="shared" si="0"/>
        <v>919</v>
      </c>
      <c r="H24" s="454">
        <v>60</v>
      </c>
      <c r="I24" s="455"/>
      <c r="J24" s="457" t="s">
        <v>161</v>
      </c>
      <c r="K24" s="471">
        <v>0</v>
      </c>
      <c r="L24" s="456" t="s">
        <v>140</v>
      </c>
      <c r="M24" s="264" t="s">
        <v>895</v>
      </c>
      <c r="N24" s="259" t="s">
        <v>896</v>
      </c>
      <c r="O24" s="264" t="s">
        <v>812</v>
      </c>
      <c r="P24" s="260" t="s">
        <v>813</v>
      </c>
      <c r="Q24" s="264" t="s">
        <v>827</v>
      </c>
      <c r="R24" s="257" t="s">
        <v>840</v>
      </c>
      <c r="S24" s="257" t="s">
        <v>897</v>
      </c>
      <c r="T24" s="257" t="s">
        <v>849</v>
      </c>
    </row>
    <row r="25" spans="1:24" s="257" customFormat="1" ht="27.75" customHeight="1" x14ac:dyDescent="0.25">
      <c r="A25" s="455">
        <f>A24+1</f>
        <v>3</v>
      </c>
      <c r="B25" s="454" t="s">
        <v>141</v>
      </c>
      <c r="C25" s="457" t="s">
        <v>1418</v>
      </c>
      <c r="D25" s="455" t="s">
        <v>2</v>
      </c>
      <c r="E25" s="454">
        <v>6240</v>
      </c>
      <c r="F25" s="454">
        <v>832</v>
      </c>
      <c r="G25" s="454">
        <f t="shared" si="0"/>
        <v>5408</v>
      </c>
      <c r="H25" s="454">
        <v>416</v>
      </c>
      <c r="I25" s="455"/>
      <c r="J25" s="457" t="s">
        <v>143</v>
      </c>
      <c r="K25" s="472"/>
      <c r="L25" s="456" t="s">
        <v>140</v>
      </c>
      <c r="M25" s="264" t="s">
        <v>895</v>
      </c>
      <c r="N25" s="259" t="s">
        <v>896</v>
      </c>
      <c r="O25" s="264" t="s">
        <v>812</v>
      </c>
      <c r="P25" s="260" t="s">
        <v>813</v>
      </c>
      <c r="Q25" s="264" t="s">
        <v>827</v>
      </c>
      <c r="R25" s="257" t="s">
        <v>840</v>
      </c>
      <c r="S25" s="257" t="s">
        <v>897</v>
      </c>
      <c r="T25" s="257" t="s">
        <v>849</v>
      </c>
    </row>
    <row r="26" spans="1:24" s="257" customFormat="1" ht="27.75" customHeight="1" x14ac:dyDescent="0.25">
      <c r="A26" s="455">
        <f t="shared" ref="A26:A50" si="1">A25+1</f>
        <v>4</v>
      </c>
      <c r="B26" s="454" t="s">
        <v>158</v>
      </c>
      <c r="C26" s="457" t="s">
        <v>159</v>
      </c>
      <c r="D26" s="455" t="s">
        <v>2</v>
      </c>
      <c r="E26" s="454">
        <v>624</v>
      </c>
      <c r="F26" s="454">
        <v>0</v>
      </c>
      <c r="G26" s="454">
        <f t="shared" si="0"/>
        <v>624</v>
      </c>
      <c r="H26" s="454">
        <v>416</v>
      </c>
      <c r="I26" s="455"/>
      <c r="J26" s="456" t="s">
        <v>160</v>
      </c>
      <c r="K26" s="472"/>
      <c r="L26" s="456" t="s">
        <v>140</v>
      </c>
      <c r="M26" s="264" t="s">
        <v>895</v>
      </c>
      <c r="N26" s="259" t="s">
        <v>896</v>
      </c>
      <c r="O26" s="264" t="s">
        <v>812</v>
      </c>
      <c r="P26" s="260" t="s">
        <v>813</v>
      </c>
      <c r="Q26" s="264" t="s">
        <v>827</v>
      </c>
      <c r="R26" s="257" t="s">
        <v>840</v>
      </c>
      <c r="S26" s="257" t="s">
        <v>897</v>
      </c>
      <c r="T26" s="257" t="s">
        <v>849</v>
      </c>
    </row>
    <row r="27" spans="1:24" s="258" customFormat="1" ht="27.75" customHeight="1" x14ac:dyDescent="0.25">
      <c r="A27" s="455">
        <f t="shared" si="1"/>
        <v>5</v>
      </c>
      <c r="B27" s="454" t="s">
        <v>515</v>
      </c>
      <c r="C27" s="457" t="s">
        <v>516</v>
      </c>
      <c r="D27" s="455" t="s">
        <v>2</v>
      </c>
      <c r="E27" s="454">
        <v>1944</v>
      </c>
      <c r="F27" s="454">
        <v>0</v>
      </c>
      <c r="G27" s="454">
        <f t="shared" si="0"/>
        <v>1944</v>
      </c>
      <c r="H27" s="454">
        <v>100</v>
      </c>
      <c r="I27" s="455"/>
      <c r="J27" s="457" t="s">
        <v>160</v>
      </c>
      <c r="K27" s="471"/>
      <c r="L27" s="454" t="s">
        <v>88</v>
      </c>
      <c r="M27" s="465" t="s">
        <v>895</v>
      </c>
      <c r="N27" s="465"/>
      <c r="O27" s="465"/>
      <c r="P27" s="463"/>
      <c r="Q27" s="386" t="s">
        <v>827</v>
      </c>
      <c r="R27" s="257" t="s">
        <v>840</v>
      </c>
      <c r="S27" s="386"/>
      <c r="T27" s="257" t="s">
        <v>849</v>
      </c>
      <c r="U27" s="257"/>
    </row>
    <row r="28" spans="1:24" s="258" customFormat="1" ht="27.75" customHeight="1" x14ac:dyDescent="0.25">
      <c r="A28" s="455">
        <v>6</v>
      </c>
      <c r="B28" s="454" t="s">
        <v>850</v>
      </c>
      <c r="C28" s="457" t="s">
        <v>633</v>
      </c>
      <c r="D28" s="455" t="s">
        <v>2</v>
      </c>
      <c r="E28" s="454">
        <v>927</v>
      </c>
      <c r="F28" s="454">
        <v>300</v>
      </c>
      <c r="G28" s="454">
        <f t="shared" si="0"/>
        <v>627</v>
      </c>
      <c r="H28" s="458">
        <v>50</v>
      </c>
      <c r="I28" s="455"/>
      <c r="J28" s="456" t="s">
        <v>851</v>
      </c>
      <c r="K28" s="471"/>
      <c r="L28" s="454" t="s">
        <v>88</v>
      </c>
      <c r="M28" s="465" t="s">
        <v>895</v>
      </c>
      <c r="N28" s="465" t="s">
        <v>896</v>
      </c>
      <c r="O28" s="465"/>
      <c r="P28" s="463" t="s">
        <v>813</v>
      </c>
      <c r="Q28" s="386" t="s">
        <v>827</v>
      </c>
      <c r="R28" s="386" t="s">
        <v>840</v>
      </c>
      <c r="S28" s="386" t="s">
        <v>1472</v>
      </c>
      <c r="T28" s="257" t="s">
        <v>849</v>
      </c>
      <c r="U28" s="257"/>
    </row>
    <row r="29" spans="1:24" s="259" customFormat="1" ht="21.75" customHeight="1" x14ac:dyDescent="0.25">
      <c r="A29" s="455">
        <v>4</v>
      </c>
      <c r="B29" s="454" t="s">
        <v>850</v>
      </c>
      <c r="C29" s="457" t="s">
        <v>633</v>
      </c>
      <c r="D29" s="455" t="s">
        <v>2</v>
      </c>
      <c r="E29" s="454">
        <v>927</v>
      </c>
      <c r="F29" s="454">
        <v>0</v>
      </c>
      <c r="G29" s="454">
        <f t="shared" si="0"/>
        <v>927</v>
      </c>
      <c r="H29" s="458">
        <v>250</v>
      </c>
      <c r="I29" s="455"/>
      <c r="J29" s="456" t="s">
        <v>1177</v>
      </c>
      <c r="K29" s="471"/>
      <c r="L29" s="454" t="s">
        <v>140</v>
      </c>
      <c r="M29" s="279" t="s">
        <v>895</v>
      </c>
      <c r="N29" s="279" t="s">
        <v>896</v>
      </c>
      <c r="O29" s="279" t="s">
        <v>812</v>
      </c>
      <c r="P29" s="260" t="s">
        <v>813</v>
      </c>
      <c r="Q29" s="280"/>
      <c r="R29" s="280"/>
      <c r="S29" s="280"/>
      <c r="T29" s="264"/>
      <c r="U29" s="264"/>
    </row>
    <row r="30" spans="1:24" s="258" customFormat="1" ht="34.5" customHeight="1" x14ac:dyDescent="0.25">
      <c r="A30" s="455">
        <v>7</v>
      </c>
      <c r="B30" s="454" t="s">
        <v>806</v>
      </c>
      <c r="C30" s="457" t="s">
        <v>807</v>
      </c>
      <c r="D30" s="454" t="s">
        <v>2</v>
      </c>
      <c r="E30" s="454">
        <v>2562</v>
      </c>
      <c r="F30" s="454">
        <v>0</v>
      </c>
      <c r="G30" s="454">
        <f t="shared" si="0"/>
        <v>2562</v>
      </c>
      <c r="H30" s="454">
        <f>VLOOKUP(B30,'[1]Tháng 7.2025'!$B$23:$H$153,7,0)</f>
        <v>208</v>
      </c>
      <c r="I30" s="455"/>
      <c r="J30" s="457" t="s">
        <v>833</v>
      </c>
      <c r="K30" s="472">
        <v>1076</v>
      </c>
      <c r="L30" s="455" t="s">
        <v>88</v>
      </c>
      <c r="M30" s="258" t="s">
        <v>895</v>
      </c>
      <c r="N30" s="258" t="s">
        <v>896</v>
      </c>
      <c r="P30" s="463" t="s">
        <v>813</v>
      </c>
      <c r="Q30" s="257" t="s">
        <v>827</v>
      </c>
      <c r="R30" s="257" t="s">
        <v>840</v>
      </c>
      <c r="S30" s="257" t="s">
        <v>1472</v>
      </c>
      <c r="T30" s="257" t="s">
        <v>849</v>
      </c>
      <c r="U30" s="257"/>
    </row>
    <row r="31" spans="1:24" s="258" customFormat="1" ht="34.5" customHeight="1" x14ac:dyDescent="0.25">
      <c r="A31" s="455">
        <v>8</v>
      </c>
      <c r="B31" s="454" t="s">
        <v>3</v>
      </c>
      <c r="C31" s="457" t="s">
        <v>4</v>
      </c>
      <c r="D31" s="455" t="s">
        <v>2</v>
      </c>
      <c r="E31" s="454">
        <v>1725</v>
      </c>
      <c r="F31" s="454">
        <v>0</v>
      </c>
      <c r="G31" s="454">
        <f t="shared" si="0"/>
        <v>1725</v>
      </c>
      <c r="H31" s="454">
        <v>200</v>
      </c>
      <c r="I31" s="455"/>
      <c r="J31" s="457" t="s">
        <v>823</v>
      </c>
      <c r="K31" s="472" t="s">
        <v>843</v>
      </c>
      <c r="L31" s="455" t="s">
        <v>88</v>
      </c>
      <c r="M31" s="258" t="s">
        <v>895</v>
      </c>
      <c r="N31" s="258" t="s">
        <v>896</v>
      </c>
      <c r="P31" s="463" t="s">
        <v>813</v>
      </c>
      <c r="Q31" s="257" t="s">
        <v>827</v>
      </c>
      <c r="R31" s="257" t="s">
        <v>840</v>
      </c>
      <c r="S31" s="257" t="s">
        <v>1472</v>
      </c>
      <c r="T31" s="257" t="s">
        <v>849</v>
      </c>
      <c r="U31" s="257"/>
    </row>
    <row r="32" spans="1:24" s="259" customFormat="1" ht="21.75" customHeight="1" x14ac:dyDescent="0.25">
      <c r="A32" s="455">
        <f t="shared" si="1"/>
        <v>9</v>
      </c>
      <c r="B32" s="454" t="s">
        <v>1064</v>
      </c>
      <c r="C32" s="457" t="s">
        <v>1065</v>
      </c>
      <c r="D32" s="455" t="s">
        <v>2</v>
      </c>
      <c r="E32" s="454">
        <v>585</v>
      </c>
      <c r="F32" s="454">
        <v>0</v>
      </c>
      <c r="G32" s="454">
        <f t="shared" si="0"/>
        <v>585</v>
      </c>
      <c r="H32" s="454">
        <v>208</v>
      </c>
      <c r="I32" s="455"/>
      <c r="J32" s="457" t="s">
        <v>824</v>
      </c>
      <c r="K32" s="472"/>
      <c r="L32" s="455" t="s">
        <v>88</v>
      </c>
      <c r="M32" s="259" t="s">
        <v>895</v>
      </c>
      <c r="N32" s="259" t="s">
        <v>896</v>
      </c>
      <c r="P32" s="260" t="s">
        <v>813</v>
      </c>
      <c r="Q32" s="264"/>
      <c r="R32" s="264"/>
      <c r="S32" s="264" t="s">
        <v>1472</v>
      </c>
      <c r="T32" s="257" t="s">
        <v>849</v>
      </c>
      <c r="U32" s="264"/>
    </row>
    <row r="33" spans="1:21" s="259" customFormat="1" ht="21.75" customHeight="1" x14ac:dyDescent="0.25">
      <c r="A33" s="455">
        <f>A34+1</f>
        <v>10</v>
      </c>
      <c r="B33" s="454" t="s">
        <v>566</v>
      </c>
      <c r="C33" s="457" t="s">
        <v>1181</v>
      </c>
      <c r="D33" s="455" t="s">
        <v>2</v>
      </c>
      <c r="E33" s="454"/>
      <c r="F33" s="454"/>
      <c r="G33" s="454"/>
      <c r="H33" s="454">
        <v>200</v>
      </c>
      <c r="I33" s="455"/>
      <c r="J33" s="457" t="s">
        <v>1182</v>
      </c>
      <c r="K33" s="472"/>
      <c r="L33" s="455" t="s">
        <v>140</v>
      </c>
      <c r="M33" s="259" t="s">
        <v>895</v>
      </c>
      <c r="N33" s="259" t="s">
        <v>896</v>
      </c>
      <c r="O33" s="259" t="s">
        <v>812</v>
      </c>
      <c r="P33" s="260" t="s">
        <v>813</v>
      </c>
      <c r="Q33" s="264"/>
      <c r="R33" s="264"/>
      <c r="S33" s="264"/>
      <c r="T33" s="264"/>
      <c r="U33" s="264"/>
    </row>
    <row r="34" spans="1:21" s="259" customFormat="1" ht="34.5" customHeight="1" x14ac:dyDescent="0.25">
      <c r="A34" s="455">
        <v>9</v>
      </c>
      <c r="B34" s="454" t="s">
        <v>46</v>
      </c>
      <c r="C34" s="457" t="s">
        <v>1179</v>
      </c>
      <c r="D34" s="455" t="s">
        <v>2</v>
      </c>
      <c r="E34" s="454">
        <v>1717</v>
      </c>
      <c r="F34" s="454">
        <v>50</v>
      </c>
      <c r="G34" s="454">
        <v>0</v>
      </c>
      <c r="H34" s="454">
        <v>50</v>
      </c>
      <c r="I34" s="455"/>
      <c r="J34" s="457" t="s">
        <v>1180</v>
      </c>
      <c r="K34" s="472"/>
      <c r="L34" s="455" t="s">
        <v>140</v>
      </c>
      <c r="M34" s="259" t="s">
        <v>895</v>
      </c>
      <c r="N34" s="259" t="s">
        <v>896</v>
      </c>
      <c r="O34" s="259" t="s">
        <v>812</v>
      </c>
      <c r="P34" s="260" t="s">
        <v>813</v>
      </c>
      <c r="Q34" s="264" t="s">
        <v>827</v>
      </c>
      <c r="R34" s="264" t="s">
        <v>840</v>
      </c>
      <c r="S34" s="264"/>
      <c r="T34" s="264"/>
      <c r="U34" s="264"/>
    </row>
    <row r="35" spans="1:21" s="259" customFormat="1" ht="21.75" customHeight="1" x14ac:dyDescent="0.25">
      <c r="A35" s="455">
        <f>A33+1</f>
        <v>11</v>
      </c>
      <c r="B35" s="454" t="s">
        <v>56</v>
      </c>
      <c r="C35" s="457" t="s">
        <v>57</v>
      </c>
      <c r="D35" s="455" t="s">
        <v>2</v>
      </c>
      <c r="E35" s="454">
        <v>4389</v>
      </c>
      <c r="F35" s="454">
        <v>0</v>
      </c>
      <c r="G35" s="454">
        <f t="shared" ref="G35:G47" si="2">E35-F35</f>
        <v>4389</v>
      </c>
      <c r="H35" s="454">
        <v>209</v>
      </c>
      <c r="I35" s="455"/>
      <c r="J35" s="457" t="s">
        <v>1473</v>
      </c>
      <c r="K35" s="472"/>
      <c r="L35" s="455" t="s">
        <v>88</v>
      </c>
      <c r="M35" s="259" t="s">
        <v>895</v>
      </c>
      <c r="N35" s="259" t="s">
        <v>896</v>
      </c>
      <c r="O35" s="259" t="s">
        <v>812</v>
      </c>
      <c r="P35" s="260" t="s">
        <v>813</v>
      </c>
      <c r="Q35" s="264"/>
      <c r="R35" s="264"/>
      <c r="S35" s="257" t="s">
        <v>1472</v>
      </c>
      <c r="T35" s="257" t="s">
        <v>849</v>
      </c>
      <c r="U35" s="264"/>
    </row>
    <row r="36" spans="1:21" s="259" customFormat="1" ht="36.75" customHeight="1" x14ac:dyDescent="0.25">
      <c r="A36" s="455">
        <f t="shared" si="1"/>
        <v>12</v>
      </c>
      <c r="B36" s="454" t="s">
        <v>56</v>
      </c>
      <c r="C36" s="457" t="s">
        <v>57</v>
      </c>
      <c r="D36" s="455" t="s">
        <v>2</v>
      </c>
      <c r="E36" s="454">
        <v>4389</v>
      </c>
      <c r="F36" s="454">
        <v>0</v>
      </c>
      <c r="G36" s="454">
        <f t="shared" si="2"/>
        <v>4389</v>
      </c>
      <c r="H36" s="454">
        <v>20</v>
      </c>
      <c r="I36" s="455"/>
      <c r="J36" s="457" t="s">
        <v>1313</v>
      </c>
      <c r="K36" s="472"/>
      <c r="L36" s="455" t="s">
        <v>76</v>
      </c>
      <c r="P36" s="260" t="s">
        <v>813</v>
      </c>
      <c r="Q36" s="264"/>
      <c r="R36" s="264"/>
      <c r="S36" s="264"/>
      <c r="T36" s="264"/>
      <c r="U36" s="264"/>
    </row>
    <row r="37" spans="1:21" s="258" customFormat="1" ht="30" customHeight="1" x14ac:dyDescent="0.25">
      <c r="A37" s="455">
        <v>10</v>
      </c>
      <c r="B37" s="454" t="s">
        <v>56</v>
      </c>
      <c r="C37" s="457" t="s">
        <v>57</v>
      </c>
      <c r="D37" s="455" t="s">
        <v>2</v>
      </c>
      <c r="E37" s="454">
        <v>4389</v>
      </c>
      <c r="F37" s="454">
        <v>654</v>
      </c>
      <c r="G37" s="454">
        <f t="shared" si="2"/>
        <v>3735</v>
      </c>
      <c r="H37" s="454">
        <v>209</v>
      </c>
      <c r="I37" s="455"/>
      <c r="J37" s="457" t="s">
        <v>1365</v>
      </c>
      <c r="K37" s="472"/>
      <c r="L37" s="455" t="s">
        <v>88</v>
      </c>
      <c r="P37" s="463" t="s">
        <v>813</v>
      </c>
      <c r="Q37" s="257" t="s">
        <v>827</v>
      </c>
      <c r="R37" s="257" t="s">
        <v>840</v>
      </c>
      <c r="S37" s="257" t="s">
        <v>1472</v>
      </c>
      <c r="T37" s="257" t="s">
        <v>849</v>
      </c>
      <c r="U37" s="257"/>
    </row>
    <row r="38" spans="1:21" s="258" customFormat="1" ht="30" customHeight="1" x14ac:dyDescent="0.25">
      <c r="A38" s="455">
        <v>11</v>
      </c>
      <c r="B38" s="454" t="s">
        <v>79</v>
      </c>
      <c r="C38" s="457" t="s">
        <v>80</v>
      </c>
      <c r="D38" s="455" t="s">
        <v>2</v>
      </c>
      <c r="E38" s="454">
        <v>4389</v>
      </c>
      <c r="F38" s="454">
        <v>0</v>
      </c>
      <c r="G38" s="454">
        <f t="shared" si="2"/>
        <v>4389</v>
      </c>
      <c r="H38" s="454">
        <v>209</v>
      </c>
      <c r="I38" s="455"/>
      <c r="J38" s="457" t="s">
        <v>1314</v>
      </c>
      <c r="K38" s="472" t="s">
        <v>88</v>
      </c>
      <c r="L38" s="455" t="s">
        <v>88</v>
      </c>
      <c r="N38" s="258" t="s">
        <v>896</v>
      </c>
      <c r="P38" s="463" t="s">
        <v>813</v>
      </c>
      <c r="Q38" s="257" t="s">
        <v>827</v>
      </c>
      <c r="R38" s="257" t="s">
        <v>840</v>
      </c>
      <c r="S38" s="257" t="s">
        <v>1472</v>
      </c>
      <c r="T38" s="257" t="s">
        <v>849</v>
      </c>
      <c r="U38" s="257"/>
    </row>
    <row r="39" spans="1:21" s="258" customFormat="1" ht="30" customHeight="1" x14ac:dyDescent="0.25">
      <c r="A39" s="455">
        <v>12</v>
      </c>
      <c r="B39" s="454" t="s">
        <v>447</v>
      </c>
      <c r="C39" s="457" t="s">
        <v>701</v>
      </c>
      <c r="D39" s="455" t="s">
        <v>2</v>
      </c>
      <c r="E39" s="454">
        <v>2374</v>
      </c>
      <c r="F39" s="454">
        <v>0</v>
      </c>
      <c r="G39" s="454">
        <f t="shared" si="2"/>
        <v>2374</v>
      </c>
      <c r="H39" s="454">
        <v>300</v>
      </c>
      <c r="I39" s="455"/>
      <c r="J39" s="456" t="s">
        <v>778</v>
      </c>
      <c r="K39" s="472"/>
      <c r="L39" s="455" t="s">
        <v>88</v>
      </c>
      <c r="M39" s="258" t="s">
        <v>895</v>
      </c>
      <c r="N39" s="258" t="s">
        <v>896</v>
      </c>
      <c r="P39" s="463" t="s">
        <v>813</v>
      </c>
      <c r="Q39" s="257" t="s">
        <v>827</v>
      </c>
      <c r="R39" s="257" t="s">
        <v>840</v>
      </c>
      <c r="S39" s="257" t="s">
        <v>1472</v>
      </c>
      <c r="T39" s="257" t="s">
        <v>849</v>
      </c>
      <c r="U39" s="257"/>
    </row>
    <row r="40" spans="1:21" s="257" customFormat="1" ht="30" customHeight="1" x14ac:dyDescent="0.25">
      <c r="A40" s="455">
        <v>13</v>
      </c>
      <c r="B40" s="454" t="s">
        <v>83</v>
      </c>
      <c r="C40" s="457" t="s">
        <v>1022</v>
      </c>
      <c r="D40" s="455" t="s">
        <v>2</v>
      </c>
      <c r="E40" s="454">
        <v>4158</v>
      </c>
      <c r="F40" s="454">
        <v>0</v>
      </c>
      <c r="G40" s="454">
        <f>E40-F40</f>
        <v>4158</v>
      </c>
      <c r="H40" s="458">
        <v>620</v>
      </c>
      <c r="I40" s="455"/>
      <c r="J40" s="456" t="s">
        <v>778</v>
      </c>
      <c r="K40" s="472"/>
      <c r="L40" s="455" t="s">
        <v>88</v>
      </c>
      <c r="N40" s="464" t="s">
        <v>896</v>
      </c>
      <c r="P40" s="463" t="s">
        <v>813</v>
      </c>
      <c r="Q40" s="257" t="s">
        <v>827</v>
      </c>
      <c r="R40" s="257" t="s">
        <v>840</v>
      </c>
      <c r="S40" s="257" t="s">
        <v>1472</v>
      </c>
      <c r="T40" s="257" t="s">
        <v>849</v>
      </c>
    </row>
    <row r="41" spans="1:21" s="259" customFormat="1" ht="46.5" customHeight="1" x14ac:dyDescent="0.25">
      <c r="A41" s="455">
        <v>14</v>
      </c>
      <c r="B41" s="454" t="s">
        <v>447</v>
      </c>
      <c r="C41" s="457" t="s">
        <v>448</v>
      </c>
      <c r="D41" s="455" t="s">
        <v>2</v>
      </c>
      <c r="E41" s="454">
        <v>2374</v>
      </c>
      <c r="F41" s="454">
        <v>0</v>
      </c>
      <c r="G41" s="454">
        <f t="shared" si="2"/>
        <v>2374</v>
      </c>
      <c r="H41" s="454">
        <v>200</v>
      </c>
      <c r="I41" s="455"/>
      <c r="J41" s="457" t="s">
        <v>869</v>
      </c>
      <c r="K41" s="472"/>
      <c r="L41" s="455" t="s">
        <v>88</v>
      </c>
      <c r="Q41" s="264"/>
      <c r="R41" s="257" t="s">
        <v>840</v>
      </c>
      <c r="S41" s="257" t="s">
        <v>1472</v>
      </c>
      <c r="T41" s="257" t="s">
        <v>849</v>
      </c>
      <c r="U41" s="264"/>
    </row>
    <row r="42" spans="1:21" s="258" customFormat="1" ht="57.75" customHeight="1" x14ac:dyDescent="0.25">
      <c r="A42" s="455">
        <f t="shared" si="1"/>
        <v>15</v>
      </c>
      <c r="B42" s="454" t="s">
        <v>85</v>
      </c>
      <c r="C42" s="457" t="s">
        <v>86</v>
      </c>
      <c r="D42" s="455" t="s">
        <v>2</v>
      </c>
      <c r="E42" s="454">
        <v>4082</v>
      </c>
      <c r="F42" s="454">
        <v>1600</v>
      </c>
      <c r="G42" s="454">
        <f t="shared" si="2"/>
        <v>2482</v>
      </c>
      <c r="H42" s="454">
        <v>208</v>
      </c>
      <c r="I42" s="455"/>
      <c r="J42" s="457" t="s">
        <v>219</v>
      </c>
      <c r="K42" s="472">
        <v>6843</v>
      </c>
      <c r="L42" s="455" t="s">
        <v>88</v>
      </c>
      <c r="M42" s="259"/>
      <c r="N42" s="259"/>
      <c r="O42" s="259"/>
      <c r="P42" s="259"/>
      <c r="Q42" s="264"/>
      <c r="R42" s="257" t="s">
        <v>840</v>
      </c>
      <c r="S42" s="257" t="s">
        <v>1472</v>
      </c>
      <c r="T42" s="257" t="s">
        <v>849</v>
      </c>
      <c r="U42" s="257"/>
    </row>
    <row r="43" spans="1:21" s="264" customFormat="1" ht="21.75" customHeight="1" x14ac:dyDescent="0.25">
      <c r="A43" s="455">
        <f>A40+1</f>
        <v>14</v>
      </c>
      <c r="B43" s="454" t="s">
        <v>816</v>
      </c>
      <c r="C43" s="457" t="s">
        <v>817</v>
      </c>
      <c r="D43" s="455" t="s">
        <v>2</v>
      </c>
      <c r="E43" s="454">
        <v>0</v>
      </c>
      <c r="F43" s="454">
        <v>0</v>
      </c>
      <c r="G43" s="454">
        <f t="shared" si="2"/>
        <v>0</v>
      </c>
      <c r="H43" s="454">
        <v>300</v>
      </c>
      <c r="I43" s="455"/>
      <c r="J43" s="457" t="s">
        <v>957</v>
      </c>
      <c r="K43" s="472"/>
      <c r="L43" s="456" t="s">
        <v>140</v>
      </c>
      <c r="N43" s="281" t="s">
        <v>896</v>
      </c>
      <c r="P43" s="260" t="s">
        <v>813</v>
      </c>
    </row>
    <row r="44" spans="1:21" s="257" customFormat="1" ht="34.5" customHeight="1" x14ac:dyDescent="0.25">
      <c r="A44" s="455">
        <v>16</v>
      </c>
      <c r="B44" s="454" t="s">
        <v>25</v>
      </c>
      <c r="C44" s="457" t="s">
        <v>703</v>
      </c>
      <c r="D44" s="455" t="s">
        <v>2</v>
      </c>
      <c r="E44" s="454">
        <v>50</v>
      </c>
      <c r="F44" s="454">
        <v>0</v>
      </c>
      <c r="G44" s="454">
        <f t="shared" si="2"/>
        <v>50</v>
      </c>
      <c r="H44" s="454">
        <v>208</v>
      </c>
      <c r="I44" s="455"/>
      <c r="J44" s="457" t="s">
        <v>815</v>
      </c>
      <c r="K44" s="472"/>
      <c r="L44" s="456" t="s">
        <v>88</v>
      </c>
      <c r="M44" s="257" t="s">
        <v>895</v>
      </c>
      <c r="N44" s="257" t="s">
        <v>896</v>
      </c>
      <c r="P44" s="463" t="s">
        <v>813</v>
      </c>
      <c r="Q44" s="257" t="s">
        <v>827</v>
      </c>
      <c r="R44" s="257" t="s">
        <v>840</v>
      </c>
      <c r="S44" s="257" t="s">
        <v>1472</v>
      </c>
      <c r="T44" s="257" t="s">
        <v>849</v>
      </c>
    </row>
    <row r="45" spans="1:21" s="258" customFormat="1" ht="45" customHeight="1" x14ac:dyDescent="0.25">
      <c r="A45" s="455">
        <f t="shared" si="1"/>
        <v>17</v>
      </c>
      <c r="B45" s="454" t="s">
        <v>24</v>
      </c>
      <c r="C45" s="457" t="s">
        <v>43</v>
      </c>
      <c r="D45" s="455" t="s">
        <v>2</v>
      </c>
      <c r="E45" s="454">
        <v>50</v>
      </c>
      <c r="F45" s="454">
        <v>0</v>
      </c>
      <c r="G45" s="454">
        <f t="shared" si="2"/>
        <v>50</v>
      </c>
      <c r="H45" s="454">
        <v>200</v>
      </c>
      <c r="I45" s="455"/>
      <c r="J45" s="457" t="s">
        <v>815</v>
      </c>
      <c r="K45" s="472"/>
      <c r="L45" s="456" t="s">
        <v>88</v>
      </c>
      <c r="M45" s="257" t="s">
        <v>895</v>
      </c>
      <c r="Q45" s="257"/>
      <c r="R45" s="257" t="s">
        <v>840</v>
      </c>
      <c r="S45" s="257" t="s">
        <v>1472</v>
      </c>
      <c r="T45" s="257" t="s">
        <v>849</v>
      </c>
      <c r="U45" s="257"/>
    </row>
    <row r="46" spans="1:21" s="258" customFormat="1" ht="57.75" customHeight="1" x14ac:dyDescent="0.25">
      <c r="A46" s="455">
        <f t="shared" si="1"/>
        <v>18</v>
      </c>
      <c r="B46" s="455" t="s">
        <v>841</v>
      </c>
      <c r="C46" s="457" t="s">
        <v>842</v>
      </c>
      <c r="D46" s="454" t="s">
        <v>2</v>
      </c>
      <c r="E46" s="454">
        <v>2740</v>
      </c>
      <c r="F46" s="454">
        <v>0</v>
      </c>
      <c r="G46" s="454">
        <f t="shared" si="2"/>
        <v>2740</v>
      </c>
      <c r="H46" s="454">
        <v>40</v>
      </c>
      <c r="I46" s="455"/>
      <c r="J46" s="457" t="s">
        <v>1366</v>
      </c>
      <c r="K46" s="471" t="s">
        <v>110</v>
      </c>
      <c r="L46" s="455" t="s">
        <v>140</v>
      </c>
      <c r="M46" s="258" t="s">
        <v>895</v>
      </c>
      <c r="N46" s="258" t="s">
        <v>896</v>
      </c>
      <c r="O46" s="258" t="s">
        <v>812</v>
      </c>
      <c r="P46" s="258" t="s">
        <v>813</v>
      </c>
      <c r="Q46" s="257" t="s">
        <v>827</v>
      </c>
      <c r="R46" s="257" t="s">
        <v>840</v>
      </c>
      <c r="S46" s="257"/>
      <c r="T46" s="257"/>
      <c r="U46" s="257"/>
    </row>
    <row r="47" spans="1:21" s="259" customFormat="1" ht="96.75" customHeight="1" x14ac:dyDescent="0.25">
      <c r="A47" s="455">
        <f t="shared" si="1"/>
        <v>19</v>
      </c>
      <c r="B47" s="454" t="s">
        <v>81</v>
      </c>
      <c r="C47" s="457" t="s">
        <v>82</v>
      </c>
      <c r="D47" s="455" t="s">
        <v>66</v>
      </c>
      <c r="E47" s="454">
        <v>0</v>
      </c>
      <c r="F47" s="454">
        <v>0</v>
      </c>
      <c r="G47" s="454">
        <f t="shared" si="2"/>
        <v>0</v>
      </c>
      <c r="H47" s="454">
        <v>540</v>
      </c>
      <c r="I47" s="455"/>
      <c r="J47" s="457" t="s">
        <v>1059</v>
      </c>
      <c r="K47" s="472">
        <v>9385</v>
      </c>
      <c r="L47" s="455" t="s">
        <v>88</v>
      </c>
      <c r="P47" s="260"/>
      <c r="Q47" s="264"/>
      <c r="R47" s="257" t="s">
        <v>840</v>
      </c>
      <c r="S47" s="264"/>
      <c r="T47" s="257" t="s">
        <v>849</v>
      </c>
      <c r="U47" s="264"/>
    </row>
    <row r="48" spans="1:21" s="258" customFormat="1" ht="38.25" customHeight="1" x14ac:dyDescent="0.25">
      <c r="A48" s="455">
        <f t="shared" si="1"/>
        <v>20</v>
      </c>
      <c r="B48" s="454" t="s">
        <v>945</v>
      </c>
      <c r="C48" s="457" t="s">
        <v>878</v>
      </c>
      <c r="D48" s="455" t="s">
        <v>66</v>
      </c>
      <c r="E48" s="454">
        <v>0</v>
      </c>
      <c r="F48" s="454">
        <v>880</v>
      </c>
      <c r="G48" s="454"/>
      <c r="H48" s="454">
        <v>3000</v>
      </c>
      <c r="I48" s="455"/>
      <c r="J48" s="457" t="s">
        <v>853</v>
      </c>
      <c r="K48" s="472">
        <v>9385</v>
      </c>
      <c r="L48" s="454" t="s">
        <v>140</v>
      </c>
      <c r="M48" s="258" t="s">
        <v>895</v>
      </c>
      <c r="N48" s="258" t="s">
        <v>896</v>
      </c>
      <c r="O48" s="258" t="s">
        <v>812</v>
      </c>
      <c r="P48" s="258" t="s">
        <v>813</v>
      </c>
      <c r="Q48" s="257" t="s">
        <v>827</v>
      </c>
      <c r="R48" s="257" t="s">
        <v>840</v>
      </c>
      <c r="S48" s="257"/>
      <c r="T48" s="257"/>
      <c r="U48" s="257"/>
    </row>
    <row r="49" spans="1:21" s="259" customFormat="1" ht="41.25" customHeight="1" x14ac:dyDescent="0.25">
      <c r="A49" s="455">
        <f t="shared" si="1"/>
        <v>21</v>
      </c>
      <c r="B49" s="454" t="s">
        <v>415</v>
      </c>
      <c r="C49" s="457" t="s">
        <v>950</v>
      </c>
      <c r="D49" s="455" t="s">
        <v>66</v>
      </c>
      <c r="E49" s="454">
        <v>3553.5790576240001</v>
      </c>
      <c r="F49" s="454">
        <v>0</v>
      </c>
      <c r="G49" s="454">
        <f>E49-F49</f>
        <v>3553.5790576240001</v>
      </c>
      <c r="H49" s="454"/>
      <c r="I49" s="455"/>
      <c r="J49" s="457" t="s">
        <v>951</v>
      </c>
      <c r="K49" s="472"/>
      <c r="L49" s="455" t="s">
        <v>76</v>
      </c>
      <c r="N49" s="259" t="s">
        <v>896</v>
      </c>
      <c r="O49" s="259" t="s">
        <v>812</v>
      </c>
      <c r="P49" s="259" t="s">
        <v>813</v>
      </c>
      <c r="Q49" s="264"/>
      <c r="R49" s="264"/>
      <c r="S49" s="264"/>
      <c r="T49" s="264"/>
      <c r="U49" s="264"/>
    </row>
    <row r="50" spans="1:21" s="259" customFormat="1" ht="39" customHeight="1" x14ac:dyDescent="0.25">
      <c r="A50" s="455">
        <f t="shared" si="1"/>
        <v>22</v>
      </c>
      <c r="B50" s="454" t="s">
        <v>705</v>
      </c>
      <c r="C50" s="457" t="s">
        <v>706</v>
      </c>
      <c r="D50" s="455" t="s">
        <v>2</v>
      </c>
      <c r="E50" s="454">
        <f>VLOOKUP(B50,'[1]Tháng 7.2025'!$B$23:$H$153,4,0)</f>
        <v>0</v>
      </c>
      <c r="F50" s="454">
        <f>VLOOKUP(B50,'[1]Tháng 7.2025'!$B$23:$H$153,5,0)</f>
        <v>0</v>
      </c>
      <c r="G50" s="454">
        <f>E50-F50</f>
        <v>0</v>
      </c>
      <c r="H50" s="454">
        <v>0</v>
      </c>
      <c r="I50" s="455"/>
      <c r="J50" s="457" t="s">
        <v>707</v>
      </c>
      <c r="K50" s="472"/>
      <c r="L50" s="455" t="s">
        <v>88</v>
      </c>
      <c r="Q50" s="264"/>
      <c r="R50" s="264"/>
      <c r="S50" s="264"/>
      <c r="T50" s="257" t="s">
        <v>849</v>
      </c>
      <c r="U50" s="264"/>
    </row>
    <row r="51" spans="1:21" s="258" customFormat="1" ht="39" customHeight="1" x14ac:dyDescent="0.25">
      <c r="A51" s="455">
        <v>21</v>
      </c>
      <c r="B51" s="454" t="s">
        <v>495</v>
      </c>
      <c r="C51" s="457" t="s">
        <v>1311</v>
      </c>
      <c r="D51" s="455" t="s">
        <v>2</v>
      </c>
      <c r="E51" s="454">
        <v>482.6</v>
      </c>
      <c r="F51" s="454">
        <v>210</v>
      </c>
      <c r="G51" s="454">
        <f>E51-F51</f>
        <v>272.60000000000002</v>
      </c>
      <c r="H51" s="454">
        <v>200</v>
      </c>
      <c r="I51" s="455"/>
      <c r="J51" s="473" t="s">
        <v>1312</v>
      </c>
      <c r="K51" s="472"/>
      <c r="L51" s="455" t="s">
        <v>88</v>
      </c>
      <c r="P51" s="258" t="s">
        <v>813</v>
      </c>
      <c r="Q51" s="257" t="s">
        <v>827</v>
      </c>
      <c r="R51" s="257" t="s">
        <v>840</v>
      </c>
      <c r="S51" s="257" t="s">
        <v>1472</v>
      </c>
      <c r="T51" s="257" t="s">
        <v>849</v>
      </c>
      <c r="U51" s="257"/>
    </row>
    <row r="52" spans="1:21" s="258" customFormat="1" ht="39" customHeight="1" x14ac:dyDescent="0.25">
      <c r="A52" s="455"/>
      <c r="B52" s="454" t="s">
        <v>203</v>
      </c>
      <c r="C52" s="457" t="s">
        <v>204</v>
      </c>
      <c r="D52" s="455" t="s">
        <v>2</v>
      </c>
      <c r="E52" s="454">
        <v>1256</v>
      </c>
      <c r="F52" s="454"/>
      <c r="G52" s="454"/>
      <c r="H52" s="454">
        <v>200</v>
      </c>
      <c r="I52" s="455"/>
      <c r="J52" s="473" t="s">
        <v>510</v>
      </c>
      <c r="K52" s="472"/>
      <c r="L52" s="455" t="s">
        <v>88</v>
      </c>
      <c r="Q52" s="257" t="s">
        <v>827</v>
      </c>
      <c r="R52" s="257"/>
      <c r="S52" s="257" t="s">
        <v>1472</v>
      </c>
      <c r="T52" s="257" t="s">
        <v>849</v>
      </c>
      <c r="U52" s="257"/>
    </row>
    <row r="53" spans="1:21" s="259" customFormat="1" ht="46.5" customHeight="1" x14ac:dyDescent="0.25">
      <c r="A53" s="455">
        <f>A50+1</f>
        <v>23</v>
      </c>
      <c r="B53" s="454" t="s">
        <v>866</v>
      </c>
      <c r="C53" s="457" t="s">
        <v>867</v>
      </c>
      <c r="D53" s="455" t="s">
        <v>2</v>
      </c>
      <c r="E53" s="454">
        <v>0</v>
      </c>
      <c r="F53" s="454">
        <v>0</v>
      </c>
      <c r="G53" s="454">
        <f>E53-F53</f>
        <v>0</v>
      </c>
      <c r="H53" s="454">
        <v>150</v>
      </c>
      <c r="I53" s="455"/>
      <c r="J53" s="457" t="s">
        <v>958</v>
      </c>
      <c r="K53" s="472"/>
      <c r="L53" s="455" t="s">
        <v>76</v>
      </c>
      <c r="N53" s="259" t="s">
        <v>896</v>
      </c>
      <c r="Q53" s="264"/>
      <c r="R53" s="264"/>
      <c r="S53" s="264"/>
      <c r="T53" s="264"/>
      <c r="U53" s="264"/>
    </row>
    <row r="54" spans="1:21" s="260" customFormat="1" ht="48.75" customHeight="1" x14ac:dyDescent="0.25">
      <c r="A54" s="459" t="s">
        <v>19</v>
      </c>
      <c r="B54" s="456"/>
      <c r="C54" s="456"/>
      <c r="D54" s="455"/>
      <c r="E54" s="454"/>
      <c r="F54" s="454"/>
      <c r="G54" s="454"/>
      <c r="H54" s="454"/>
      <c r="I54" s="455"/>
      <c r="J54" s="455"/>
      <c r="K54" s="470"/>
      <c r="L54" s="469"/>
      <c r="O54" s="259"/>
      <c r="Q54" s="285"/>
      <c r="R54" s="285"/>
      <c r="S54" s="285"/>
      <c r="T54" s="285"/>
      <c r="U54" s="285"/>
    </row>
    <row r="55" spans="1:21" s="258" customFormat="1" ht="36.75" customHeight="1" x14ac:dyDescent="0.25">
      <c r="A55" s="455">
        <v>22</v>
      </c>
      <c r="B55" s="454" t="s">
        <v>819</v>
      </c>
      <c r="C55" s="457" t="s">
        <v>820</v>
      </c>
      <c r="D55" s="455" t="s">
        <v>0</v>
      </c>
      <c r="E55" s="454">
        <v>28</v>
      </c>
      <c r="F55" s="454">
        <v>12</v>
      </c>
      <c r="G55" s="454">
        <f t="shared" ref="G55:G64" si="3">E55-F55</f>
        <v>16</v>
      </c>
      <c r="H55" s="454">
        <v>6</v>
      </c>
      <c r="I55" s="455"/>
      <c r="J55" s="485" t="s">
        <v>1615</v>
      </c>
      <c r="K55" s="471">
        <v>50</v>
      </c>
      <c r="L55" s="455" t="s">
        <v>140</v>
      </c>
      <c r="O55" s="258" t="s">
        <v>812</v>
      </c>
      <c r="P55" s="258" t="s">
        <v>813</v>
      </c>
      <c r="Q55" s="257" t="s">
        <v>827</v>
      </c>
      <c r="R55" s="257" t="s">
        <v>840</v>
      </c>
      <c r="S55" s="257"/>
      <c r="T55" s="257" t="s">
        <v>849</v>
      </c>
      <c r="U55" s="257"/>
    </row>
    <row r="56" spans="1:21" s="258" customFormat="1" ht="37.5" customHeight="1" x14ac:dyDescent="0.25">
      <c r="A56" s="455">
        <v>23</v>
      </c>
      <c r="B56" s="455" t="s">
        <v>1080</v>
      </c>
      <c r="C56" s="457" t="s">
        <v>1116</v>
      </c>
      <c r="D56" s="454" t="s">
        <v>0</v>
      </c>
      <c r="E56" s="454">
        <v>0</v>
      </c>
      <c r="F56" s="454">
        <v>0</v>
      </c>
      <c r="G56" s="454">
        <f t="shared" si="3"/>
        <v>0</v>
      </c>
      <c r="H56" s="454">
        <v>6</v>
      </c>
      <c r="I56" s="455"/>
      <c r="J56" s="485" t="s">
        <v>1615</v>
      </c>
      <c r="K56" s="472"/>
      <c r="L56" s="455" t="s">
        <v>140</v>
      </c>
      <c r="Q56" s="257"/>
      <c r="R56" s="257" t="s">
        <v>840</v>
      </c>
      <c r="S56" s="257"/>
      <c r="T56" s="257" t="s">
        <v>849</v>
      </c>
      <c r="U56" s="257"/>
    </row>
    <row r="57" spans="1:21" s="258" customFormat="1" ht="40.5" customHeight="1" x14ac:dyDescent="0.25">
      <c r="A57" s="455">
        <v>24</v>
      </c>
      <c r="B57" s="454" t="s">
        <v>821</v>
      </c>
      <c r="C57" s="457" t="s">
        <v>822</v>
      </c>
      <c r="D57" s="455" t="s">
        <v>0</v>
      </c>
      <c r="E57" s="454">
        <v>10</v>
      </c>
      <c r="F57" s="454">
        <v>0</v>
      </c>
      <c r="G57" s="454">
        <f t="shared" si="3"/>
        <v>10</v>
      </c>
      <c r="H57" s="454">
        <v>2</v>
      </c>
      <c r="I57" s="455"/>
      <c r="J57" s="485" t="s">
        <v>1616</v>
      </c>
      <c r="K57" s="472">
        <v>18</v>
      </c>
      <c r="L57" s="455" t="s">
        <v>140</v>
      </c>
      <c r="Q57" s="257"/>
      <c r="R57" s="257" t="s">
        <v>840</v>
      </c>
      <c r="S57" s="257"/>
      <c r="T57" s="257" t="s">
        <v>849</v>
      </c>
      <c r="U57" s="257"/>
    </row>
    <row r="58" spans="1:21" s="258" customFormat="1" ht="37.5" customHeight="1" x14ac:dyDescent="0.25">
      <c r="A58" s="455">
        <v>25</v>
      </c>
      <c r="B58" s="455" t="s">
        <v>821</v>
      </c>
      <c r="C58" s="457" t="s">
        <v>1115</v>
      </c>
      <c r="D58" s="454" t="s">
        <v>0</v>
      </c>
      <c r="E58" s="454">
        <v>0</v>
      </c>
      <c r="F58" s="454">
        <v>0</v>
      </c>
      <c r="G58" s="454">
        <f t="shared" si="3"/>
        <v>0</v>
      </c>
      <c r="H58" s="454">
        <v>2</v>
      </c>
      <c r="I58" s="455"/>
      <c r="J58" s="485" t="s">
        <v>1616</v>
      </c>
      <c r="K58" s="472"/>
      <c r="L58" s="455" t="s">
        <v>140</v>
      </c>
      <c r="Q58" s="257"/>
      <c r="R58" s="257" t="s">
        <v>840</v>
      </c>
      <c r="S58" s="257"/>
      <c r="T58" s="257" t="s">
        <v>849</v>
      </c>
      <c r="U58" s="257"/>
    </row>
    <row r="59" spans="1:21" s="259" customFormat="1" ht="40.5" customHeight="1" x14ac:dyDescent="0.25">
      <c r="A59" s="455">
        <f>A57+1</f>
        <v>25</v>
      </c>
      <c r="B59" s="454" t="s">
        <v>954</v>
      </c>
      <c r="C59" s="457" t="s">
        <v>860</v>
      </c>
      <c r="D59" s="455" t="s">
        <v>0</v>
      </c>
      <c r="E59" s="454">
        <v>8</v>
      </c>
      <c r="F59" s="454">
        <v>0</v>
      </c>
      <c r="G59" s="454">
        <f t="shared" si="3"/>
        <v>8</v>
      </c>
      <c r="H59" s="454">
        <v>1</v>
      </c>
      <c r="I59" s="455"/>
      <c r="J59" s="457" t="s">
        <v>1310</v>
      </c>
      <c r="K59" s="472"/>
      <c r="L59" s="455" t="s">
        <v>76</v>
      </c>
      <c r="N59" s="259" t="s">
        <v>896</v>
      </c>
      <c r="P59" s="259" t="s">
        <v>813</v>
      </c>
      <c r="Q59" s="264"/>
      <c r="R59" s="257"/>
      <c r="S59" s="264"/>
      <c r="T59" s="264"/>
      <c r="U59" s="264"/>
    </row>
    <row r="60" spans="1:21" s="258" customFormat="1" ht="40.5" customHeight="1" x14ac:dyDescent="0.25">
      <c r="A60" s="455">
        <v>26</v>
      </c>
      <c r="B60" s="454" t="s">
        <v>828</v>
      </c>
      <c r="C60" s="457" t="s">
        <v>832</v>
      </c>
      <c r="D60" s="455" t="s">
        <v>0</v>
      </c>
      <c r="E60" s="454">
        <v>20</v>
      </c>
      <c r="F60" s="454">
        <v>0</v>
      </c>
      <c r="G60" s="454">
        <f t="shared" si="3"/>
        <v>20</v>
      </c>
      <c r="H60" s="454">
        <v>2</v>
      </c>
      <c r="I60" s="455"/>
      <c r="J60" s="485" t="s">
        <v>1617</v>
      </c>
      <c r="K60" s="472"/>
      <c r="L60" s="455" t="s">
        <v>140</v>
      </c>
      <c r="Q60" s="257"/>
      <c r="R60" s="257" t="s">
        <v>840</v>
      </c>
      <c r="S60" s="257"/>
      <c r="T60" s="257" t="s">
        <v>849</v>
      </c>
      <c r="U60" s="257"/>
    </row>
    <row r="61" spans="1:21" s="258" customFormat="1" ht="32.25" customHeight="1" x14ac:dyDescent="0.25">
      <c r="A61" s="455">
        <v>27</v>
      </c>
      <c r="B61" s="455" t="s">
        <v>828</v>
      </c>
      <c r="C61" s="457" t="s">
        <v>1124</v>
      </c>
      <c r="D61" s="454" t="s">
        <v>0</v>
      </c>
      <c r="E61" s="454">
        <v>0</v>
      </c>
      <c r="F61" s="454">
        <v>0</v>
      </c>
      <c r="G61" s="454">
        <f t="shared" si="3"/>
        <v>0</v>
      </c>
      <c r="H61" s="454">
        <v>2</v>
      </c>
      <c r="I61" s="455"/>
      <c r="J61" s="485" t="s">
        <v>1617</v>
      </c>
      <c r="K61" s="472"/>
      <c r="L61" s="455" t="s">
        <v>140</v>
      </c>
      <c r="Q61" s="257"/>
      <c r="R61" s="257" t="s">
        <v>840</v>
      </c>
      <c r="S61" s="257"/>
      <c r="T61" s="257" t="s">
        <v>849</v>
      </c>
      <c r="U61" s="257"/>
    </row>
    <row r="62" spans="1:21" s="257" customFormat="1" ht="38.25" customHeight="1" x14ac:dyDescent="0.25">
      <c r="A62" s="455">
        <v>28</v>
      </c>
      <c r="B62" s="454" t="s">
        <v>829</v>
      </c>
      <c r="C62" s="457" t="s">
        <v>830</v>
      </c>
      <c r="D62" s="455" t="s">
        <v>0</v>
      </c>
      <c r="E62" s="454">
        <v>28</v>
      </c>
      <c r="F62" s="454">
        <v>0</v>
      </c>
      <c r="G62" s="454">
        <f t="shared" si="3"/>
        <v>28</v>
      </c>
      <c r="H62" s="454">
        <v>5</v>
      </c>
      <c r="I62" s="455">
        <v>7</v>
      </c>
      <c r="J62" s="457" t="s">
        <v>1614</v>
      </c>
      <c r="K62" s="472"/>
      <c r="L62" s="455" t="s">
        <v>140</v>
      </c>
      <c r="P62" s="258"/>
      <c r="R62" s="257" t="s">
        <v>840</v>
      </c>
      <c r="T62" s="257" t="s">
        <v>849</v>
      </c>
    </row>
    <row r="63" spans="1:21" s="258" customFormat="1" ht="43.5" customHeight="1" x14ac:dyDescent="0.25">
      <c r="A63" s="455">
        <v>29</v>
      </c>
      <c r="B63" s="454" t="s">
        <v>829</v>
      </c>
      <c r="C63" s="457" t="s">
        <v>831</v>
      </c>
      <c r="D63" s="455" t="s">
        <v>172</v>
      </c>
      <c r="E63" s="454">
        <v>28</v>
      </c>
      <c r="F63" s="454">
        <v>0</v>
      </c>
      <c r="G63" s="454">
        <f t="shared" si="3"/>
        <v>28</v>
      </c>
      <c r="H63" s="454">
        <v>5</v>
      </c>
      <c r="I63" s="455">
        <v>7</v>
      </c>
      <c r="J63" s="457" t="s">
        <v>1614</v>
      </c>
      <c r="K63" s="472"/>
      <c r="L63" s="455" t="s">
        <v>140</v>
      </c>
      <c r="Q63" s="257"/>
      <c r="R63" s="257" t="s">
        <v>840</v>
      </c>
      <c r="S63" s="257"/>
      <c r="T63" s="257" t="s">
        <v>849</v>
      </c>
      <c r="U63" s="257"/>
    </row>
    <row r="64" spans="1:21" s="264" customFormat="1" ht="88.5" customHeight="1" x14ac:dyDescent="0.25">
      <c r="A64" s="455">
        <v>30</v>
      </c>
      <c r="B64" s="454" t="s">
        <v>116</v>
      </c>
      <c r="C64" s="457" t="s">
        <v>64</v>
      </c>
      <c r="D64" s="455" t="s">
        <v>0</v>
      </c>
      <c r="E64" s="454">
        <v>48</v>
      </c>
      <c r="F64" s="454">
        <v>0</v>
      </c>
      <c r="G64" s="454">
        <f t="shared" si="3"/>
        <v>48</v>
      </c>
      <c r="H64" s="454">
        <v>2</v>
      </c>
      <c r="I64" s="455"/>
      <c r="J64" s="485" t="s">
        <v>1618</v>
      </c>
      <c r="K64" s="472"/>
      <c r="L64" s="455" t="s">
        <v>140</v>
      </c>
      <c r="M64" s="264" t="s">
        <v>895</v>
      </c>
      <c r="N64" s="264" t="s">
        <v>896</v>
      </c>
      <c r="P64" s="264" t="s">
        <v>813</v>
      </c>
      <c r="R64" s="264" t="s">
        <v>840</v>
      </c>
      <c r="T64" s="257" t="s">
        <v>849</v>
      </c>
    </row>
    <row r="65" spans="1:21" s="257" customFormat="1" ht="60.75" customHeight="1" x14ac:dyDescent="0.25">
      <c r="A65" s="455">
        <v>31</v>
      </c>
      <c r="B65" s="454" t="s">
        <v>1243</v>
      </c>
      <c r="C65" s="457" t="s">
        <v>1244</v>
      </c>
      <c r="D65" s="455" t="s">
        <v>390</v>
      </c>
      <c r="E65" s="454">
        <v>20000</v>
      </c>
      <c r="F65" s="454">
        <v>10000</v>
      </c>
      <c r="G65" s="454">
        <f>E65-F65</f>
        <v>10000</v>
      </c>
      <c r="H65" s="454">
        <v>5000</v>
      </c>
      <c r="I65" s="455"/>
      <c r="J65" s="457" t="s">
        <v>1245</v>
      </c>
      <c r="K65" s="472"/>
      <c r="L65" s="455" t="s">
        <v>140</v>
      </c>
      <c r="P65" s="257" t="s">
        <v>813</v>
      </c>
      <c r="Q65" s="257" t="s">
        <v>827</v>
      </c>
      <c r="R65" s="257" t="s">
        <v>840</v>
      </c>
      <c r="T65" s="257" t="s">
        <v>849</v>
      </c>
    </row>
    <row r="66" spans="1:21" s="264" customFormat="1" ht="57" customHeight="1" x14ac:dyDescent="0.25">
      <c r="A66" s="455">
        <f>A64+1</f>
        <v>31</v>
      </c>
      <c r="B66" s="454" t="s">
        <v>112</v>
      </c>
      <c r="C66" s="457" t="s">
        <v>60</v>
      </c>
      <c r="D66" s="455" t="s">
        <v>0</v>
      </c>
      <c r="E66" s="454">
        <v>18</v>
      </c>
      <c r="F66" s="454">
        <v>0</v>
      </c>
      <c r="G66" s="454">
        <f t="shared" ref="G66:G143" si="4">E66-F66</f>
        <v>18</v>
      </c>
      <c r="H66" s="454">
        <v>0</v>
      </c>
      <c r="I66" s="455"/>
      <c r="J66" s="467" t="s">
        <v>900</v>
      </c>
      <c r="K66" s="472"/>
      <c r="L66" s="455" t="s">
        <v>140</v>
      </c>
      <c r="M66" s="264" t="s">
        <v>895</v>
      </c>
      <c r="N66" s="264" t="s">
        <v>896</v>
      </c>
      <c r="T66" s="257" t="s">
        <v>849</v>
      </c>
    </row>
    <row r="67" spans="1:21" s="259" customFormat="1" ht="68.25" customHeight="1" x14ac:dyDescent="0.25">
      <c r="A67" s="455">
        <v>32</v>
      </c>
      <c r="B67" s="455" t="s">
        <v>1087</v>
      </c>
      <c r="C67" s="457" t="s">
        <v>1123</v>
      </c>
      <c r="D67" s="454" t="s">
        <v>0</v>
      </c>
      <c r="E67" s="454">
        <v>0</v>
      </c>
      <c r="F67" s="454">
        <v>0</v>
      </c>
      <c r="G67" s="454">
        <f t="shared" si="4"/>
        <v>0</v>
      </c>
      <c r="H67" s="454">
        <v>18</v>
      </c>
      <c r="I67" s="455"/>
      <c r="J67" s="457" t="s">
        <v>1161</v>
      </c>
      <c r="K67" s="472"/>
      <c r="L67" s="455" t="s">
        <v>197</v>
      </c>
      <c r="Q67" s="264"/>
      <c r="R67" s="264" t="s">
        <v>840</v>
      </c>
      <c r="S67" s="264"/>
      <c r="T67" s="264"/>
      <c r="U67" s="264"/>
    </row>
    <row r="68" spans="1:21" s="259" customFormat="1" ht="57.75" customHeight="1" x14ac:dyDescent="0.25">
      <c r="A68" s="455">
        <v>33</v>
      </c>
      <c r="B68" s="455" t="s">
        <v>1088</v>
      </c>
      <c r="C68" s="457" t="s">
        <v>1125</v>
      </c>
      <c r="D68" s="454" t="s">
        <v>0</v>
      </c>
      <c r="E68" s="454">
        <v>0</v>
      </c>
      <c r="F68" s="454">
        <v>0</v>
      </c>
      <c r="G68" s="454">
        <f t="shared" si="4"/>
        <v>0</v>
      </c>
      <c r="H68" s="454">
        <v>18</v>
      </c>
      <c r="I68" s="455"/>
      <c r="J68" s="457" t="s">
        <v>1161</v>
      </c>
      <c r="K68" s="472"/>
      <c r="L68" s="455" t="s">
        <v>197</v>
      </c>
      <c r="Q68" s="264"/>
      <c r="R68" s="264" t="s">
        <v>840</v>
      </c>
      <c r="S68" s="264"/>
      <c r="T68" s="264"/>
      <c r="U68" s="264"/>
    </row>
    <row r="69" spans="1:21" s="258" customFormat="1" ht="81" customHeight="1" x14ac:dyDescent="0.25">
      <c r="A69" s="455">
        <v>34</v>
      </c>
      <c r="B69" s="454" t="s">
        <v>295</v>
      </c>
      <c r="C69" s="457" t="s">
        <v>296</v>
      </c>
      <c r="D69" s="455" t="s">
        <v>0</v>
      </c>
      <c r="E69" s="454">
        <v>0</v>
      </c>
      <c r="F69" s="454">
        <v>0</v>
      </c>
      <c r="G69" s="454">
        <f t="shared" si="4"/>
        <v>0</v>
      </c>
      <c r="H69" s="454">
        <v>6</v>
      </c>
      <c r="I69" s="460"/>
      <c r="J69" s="457" t="s">
        <v>798</v>
      </c>
      <c r="K69" s="472">
        <v>0</v>
      </c>
      <c r="L69" s="455" t="s">
        <v>88</v>
      </c>
      <c r="M69" s="258" t="s">
        <v>895</v>
      </c>
      <c r="Q69" s="257" t="s">
        <v>827</v>
      </c>
      <c r="R69" s="257" t="s">
        <v>840</v>
      </c>
      <c r="S69" s="257"/>
      <c r="T69" s="257" t="s">
        <v>849</v>
      </c>
      <c r="U69" s="257"/>
    </row>
    <row r="70" spans="1:21" s="259" customFormat="1" ht="45" customHeight="1" x14ac:dyDescent="0.25">
      <c r="A70" s="455">
        <f t="shared" ref="A70:A133" si="5">A69+1</f>
        <v>35</v>
      </c>
      <c r="B70" s="455" t="s">
        <v>89</v>
      </c>
      <c r="C70" s="457" t="s">
        <v>90</v>
      </c>
      <c r="D70" s="455" t="s">
        <v>0</v>
      </c>
      <c r="E70" s="454">
        <v>0</v>
      </c>
      <c r="F70" s="454">
        <v>0</v>
      </c>
      <c r="G70" s="454">
        <f t="shared" si="4"/>
        <v>0</v>
      </c>
      <c r="H70" s="454">
        <f>VLOOKUP(B70,'[1]Tháng 7.2025'!$B$23:$H$153,7,0)</f>
        <v>6</v>
      </c>
      <c r="I70" s="460"/>
      <c r="J70" s="457" t="s">
        <v>97</v>
      </c>
      <c r="K70" s="472">
        <v>0</v>
      </c>
      <c r="L70" s="455" t="s">
        <v>88</v>
      </c>
      <c r="Q70" s="264"/>
      <c r="R70" s="264"/>
      <c r="S70" s="264"/>
      <c r="T70" s="257" t="s">
        <v>849</v>
      </c>
      <c r="U70" s="264"/>
    </row>
    <row r="71" spans="1:21" s="258" customFormat="1" ht="85.5" customHeight="1" x14ac:dyDescent="0.25">
      <c r="A71" s="455">
        <v>35</v>
      </c>
      <c r="B71" s="454" t="s">
        <v>855</v>
      </c>
      <c r="C71" s="457" t="s">
        <v>627</v>
      </c>
      <c r="D71" s="455" t="s">
        <v>0</v>
      </c>
      <c r="E71" s="454">
        <v>0</v>
      </c>
      <c r="F71" s="454">
        <v>0</v>
      </c>
      <c r="G71" s="454">
        <f t="shared" si="4"/>
        <v>0</v>
      </c>
      <c r="H71" s="454">
        <v>2</v>
      </c>
      <c r="I71" s="460"/>
      <c r="J71" s="457" t="s">
        <v>628</v>
      </c>
      <c r="K71" s="472"/>
      <c r="L71" s="455" t="s">
        <v>88</v>
      </c>
      <c r="M71" s="258" t="s">
        <v>895</v>
      </c>
      <c r="N71" s="258" t="s">
        <v>896</v>
      </c>
      <c r="Q71" s="257" t="s">
        <v>827</v>
      </c>
      <c r="R71" s="257" t="s">
        <v>840</v>
      </c>
      <c r="S71" s="257"/>
      <c r="T71" s="257" t="s">
        <v>849</v>
      </c>
      <c r="U71" s="257"/>
    </row>
    <row r="72" spans="1:21" s="258" customFormat="1" ht="153.75" customHeight="1" x14ac:dyDescent="0.25">
      <c r="A72" s="455">
        <v>36</v>
      </c>
      <c r="B72" s="454" t="s">
        <v>91</v>
      </c>
      <c r="C72" s="457" t="s">
        <v>92</v>
      </c>
      <c r="D72" s="455" t="s">
        <v>0</v>
      </c>
      <c r="E72" s="454">
        <v>0</v>
      </c>
      <c r="F72" s="454">
        <v>0</v>
      </c>
      <c r="G72" s="454">
        <f t="shared" si="4"/>
        <v>0</v>
      </c>
      <c r="H72" s="454">
        <v>6</v>
      </c>
      <c r="I72" s="460"/>
      <c r="J72" s="457" t="s">
        <v>98</v>
      </c>
      <c r="K72" s="472"/>
      <c r="L72" s="455" t="s">
        <v>88</v>
      </c>
      <c r="M72" s="258" t="s">
        <v>895</v>
      </c>
      <c r="N72" s="258" t="s">
        <v>896</v>
      </c>
      <c r="Q72" s="257" t="s">
        <v>827</v>
      </c>
      <c r="R72" s="257" t="s">
        <v>840</v>
      </c>
      <c r="S72" s="257"/>
      <c r="T72" s="257" t="s">
        <v>849</v>
      </c>
      <c r="U72" s="257"/>
    </row>
    <row r="73" spans="1:21" s="258" customFormat="1" ht="32.25" customHeight="1" x14ac:dyDescent="0.25">
      <c r="A73" s="455">
        <v>37</v>
      </c>
      <c r="B73" s="454" t="s">
        <v>93</v>
      </c>
      <c r="C73" s="457" t="s">
        <v>94</v>
      </c>
      <c r="D73" s="455" t="s">
        <v>0</v>
      </c>
      <c r="E73" s="454">
        <v>12</v>
      </c>
      <c r="F73" s="454">
        <v>0</v>
      </c>
      <c r="G73" s="454">
        <f t="shared" si="4"/>
        <v>12</v>
      </c>
      <c r="H73" s="454">
        <v>6</v>
      </c>
      <c r="I73" s="460"/>
      <c r="J73" s="457" t="s">
        <v>99</v>
      </c>
      <c r="K73" s="472">
        <v>0</v>
      </c>
      <c r="L73" s="455" t="s">
        <v>88</v>
      </c>
      <c r="M73" s="258" t="s">
        <v>895</v>
      </c>
      <c r="N73" s="258" t="s">
        <v>896</v>
      </c>
      <c r="P73" s="257" t="s">
        <v>813</v>
      </c>
      <c r="Q73" s="257" t="s">
        <v>827</v>
      </c>
      <c r="R73" s="257" t="s">
        <v>840</v>
      </c>
      <c r="S73" s="257"/>
      <c r="T73" s="257" t="s">
        <v>849</v>
      </c>
      <c r="U73" s="257"/>
    </row>
    <row r="74" spans="1:21" s="258" customFormat="1" ht="42.75" customHeight="1" x14ac:dyDescent="0.25">
      <c r="A74" s="455">
        <v>38</v>
      </c>
      <c r="B74" s="454" t="s">
        <v>95</v>
      </c>
      <c r="C74" s="457" t="s">
        <v>96</v>
      </c>
      <c r="D74" s="455" t="s">
        <v>0</v>
      </c>
      <c r="E74" s="454">
        <v>24</v>
      </c>
      <c r="F74" s="454">
        <v>12</v>
      </c>
      <c r="G74" s="454">
        <f t="shared" si="4"/>
        <v>12</v>
      </c>
      <c r="H74" s="454">
        <v>6</v>
      </c>
      <c r="I74" s="460"/>
      <c r="J74" s="457" t="s">
        <v>100</v>
      </c>
      <c r="K74" s="472"/>
      <c r="L74" s="454" t="s">
        <v>88</v>
      </c>
      <c r="M74" s="465" t="s">
        <v>895</v>
      </c>
      <c r="N74" s="258" t="s">
        <v>896</v>
      </c>
      <c r="P74" s="257" t="s">
        <v>813</v>
      </c>
      <c r="Q74" s="257" t="s">
        <v>827</v>
      </c>
      <c r="R74" s="257" t="s">
        <v>840</v>
      </c>
      <c r="S74" s="386"/>
      <c r="T74" s="257" t="s">
        <v>849</v>
      </c>
      <c r="U74" s="257"/>
    </row>
    <row r="75" spans="1:21" s="258" customFormat="1" ht="45" customHeight="1" x14ac:dyDescent="0.25">
      <c r="A75" s="455">
        <v>39</v>
      </c>
      <c r="B75" s="455" t="s">
        <v>519</v>
      </c>
      <c r="C75" s="457" t="s">
        <v>518</v>
      </c>
      <c r="D75" s="454" t="s">
        <v>0</v>
      </c>
      <c r="E75" s="454">
        <v>24</v>
      </c>
      <c r="F75" s="454">
        <v>12</v>
      </c>
      <c r="G75" s="454">
        <f t="shared" si="4"/>
        <v>12</v>
      </c>
      <c r="H75" s="454">
        <v>6</v>
      </c>
      <c r="I75" s="455"/>
      <c r="J75" s="457" t="s">
        <v>1140</v>
      </c>
      <c r="K75" s="472"/>
      <c r="L75" s="454" t="s">
        <v>88</v>
      </c>
      <c r="P75" s="257" t="s">
        <v>813</v>
      </c>
      <c r="Q75" s="257"/>
      <c r="R75" s="257" t="s">
        <v>840</v>
      </c>
      <c r="S75" s="257"/>
      <c r="T75" s="257" t="s">
        <v>849</v>
      </c>
      <c r="U75" s="257"/>
    </row>
    <row r="76" spans="1:21" s="258" customFormat="1" ht="44.25" customHeight="1" x14ac:dyDescent="0.25">
      <c r="A76" s="455">
        <v>40</v>
      </c>
      <c r="B76" s="455" t="s">
        <v>1082</v>
      </c>
      <c r="C76" s="457" t="s">
        <v>1118</v>
      </c>
      <c r="D76" s="454" t="s">
        <v>0</v>
      </c>
      <c r="E76" s="454">
        <v>24</v>
      </c>
      <c r="F76" s="454">
        <v>12</v>
      </c>
      <c r="G76" s="454">
        <f t="shared" si="4"/>
        <v>12</v>
      </c>
      <c r="H76" s="454">
        <v>6</v>
      </c>
      <c r="I76" s="455"/>
      <c r="J76" s="457" t="s">
        <v>1140</v>
      </c>
      <c r="K76" s="472"/>
      <c r="L76" s="454" t="s">
        <v>88</v>
      </c>
      <c r="P76" s="257" t="s">
        <v>813</v>
      </c>
      <c r="Q76" s="257"/>
      <c r="R76" s="257" t="s">
        <v>840</v>
      </c>
      <c r="S76" s="257"/>
      <c r="T76" s="257" t="s">
        <v>849</v>
      </c>
      <c r="U76" s="257"/>
    </row>
    <row r="77" spans="1:21" s="258" customFormat="1" ht="44.25" customHeight="1" x14ac:dyDescent="0.25">
      <c r="A77" s="455"/>
      <c r="B77" s="455" t="s">
        <v>708</v>
      </c>
      <c r="C77" s="457" t="s">
        <v>709</v>
      </c>
      <c r="D77" s="454" t="s">
        <v>59</v>
      </c>
      <c r="E77" s="454"/>
      <c r="F77" s="454"/>
      <c r="G77" s="454"/>
      <c r="H77" s="454">
        <v>1</v>
      </c>
      <c r="I77" s="455"/>
      <c r="J77" s="457" t="s">
        <v>1349</v>
      </c>
      <c r="K77" s="472"/>
      <c r="L77" s="454" t="s">
        <v>140</v>
      </c>
      <c r="P77" s="257"/>
      <c r="Q77" s="257"/>
      <c r="R77" s="257"/>
      <c r="S77" s="257" t="s">
        <v>897</v>
      </c>
      <c r="T77" s="257"/>
      <c r="U77" s="257"/>
    </row>
    <row r="78" spans="1:21" s="258" customFormat="1" ht="44.25" customHeight="1" x14ac:dyDescent="0.25">
      <c r="A78" s="455"/>
      <c r="B78" s="455" t="s">
        <v>1085</v>
      </c>
      <c r="C78" s="457" t="s">
        <v>1419</v>
      </c>
      <c r="D78" s="454" t="s">
        <v>59</v>
      </c>
      <c r="E78" s="454"/>
      <c r="F78" s="454"/>
      <c r="G78" s="454"/>
      <c r="H78" s="454">
        <v>1</v>
      </c>
      <c r="I78" s="455"/>
      <c r="J78" s="457" t="s">
        <v>1427</v>
      </c>
      <c r="K78" s="472"/>
      <c r="L78" s="454" t="s">
        <v>140</v>
      </c>
      <c r="P78" s="257"/>
      <c r="Q78" s="257"/>
      <c r="R78" s="257"/>
      <c r="S78" s="257" t="s">
        <v>897</v>
      </c>
      <c r="T78" s="257"/>
      <c r="U78" s="257"/>
    </row>
    <row r="79" spans="1:21" s="258" customFormat="1" ht="44.25" customHeight="1" x14ac:dyDescent="0.25">
      <c r="A79" s="455"/>
      <c r="B79" s="455" t="s">
        <v>1420</v>
      </c>
      <c r="C79" s="457" t="s">
        <v>1421</v>
      </c>
      <c r="D79" s="454" t="s">
        <v>59</v>
      </c>
      <c r="E79" s="454"/>
      <c r="F79" s="454"/>
      <c r="G79" s="454"/>
      <c r="H79" s="454">
        <v>2</v>
      </c>
      <c r="I79" s="455"/>
      <c r="J79" s="457" t="s">
        <v>1428</v>
      </c>
      <c r="K79" s="472"/>
      <c r="L79" s="454" t="s">
        <v>140</v>
      </c>
      <c r="P79" s="257"/>
      <c r="Q79" s="257"/>
      <c r="R79" s="257"/>
      <c r="S79" s="257" t="s">
        <v>897</v>
      </c>
      <c r="T79" s="257"/>
      <c r="U79" s="257"/>
    </row>
    <row r="80" spans="1:21" s="258" customFormat="1" ht="44.25" customHeight="1" x14ac:dyDescent="0.25">
      <c r="A80" s="455"/>
      <c r="B80" s="455" t="s">
        <v>1078</v>
      </c>
      <c r="C80" s="457" t="s">
        <v>1422</v>
      </c>
      <c r="D80" s="454" t="s">
        <v>59</v>
      </c>
      <c r="E80" s="454">
        <v>8</v>
      </c>
      <c r="F80" s="454"/>
      <c r="G80" s="454"/>
      <c r="H80" s="454">
        <v>1</v>
      </c>
      <c r="I80" s="455"/>
      <c r="J80" s="457" t="s">
        <v>1429</v>
      </c>
      <c r="K80" s="472"/>
      <c r="L80" s="454" t="s">
        <v>140</v>
      </c>
      <c r="P80" s="257"/>
      <c r="Q80" s="257"/>
      <c r="R80" s="257"/>
      <c r="S80" s="257" t="s">
        <v>897</v>
      </c>
      <c r="T80" s="257"/>
      <c r="U80" s="257"/>
    </row>
    <row r="81" spans="1:21" s="258" customFormat="1" ht="44.25" customHeight="1" x14ac:dyDescent="0.25">
      <c r="A81" s="455"/>
      <c r="B81" s="455" t="s">
        <v>1423</v>
      </c>
      <c r="C81" s="457" t="s">
        <v>1424</v>
      </c>
      <c r="D81" s="454" t="s">
        <v>59</v>
      </c>
      <c r="E81" s="454"/>
      <c r="F81" s="454"/>
      <c r="G81" s="454"/>
      <c r="H81" s="454">
        <v>4</v>
      </c>
      <c r="I81" s="455"/>
      <c r="J81" s="457" t="s">
        <v>1430</v>
      </c>
      <c r="K81" s="472"/>
      <c r="L81" s="454" t="s">
        <v>140</v>
      </c>
      <c r="P81" s="257"/>
      <c r="Q81" s="257"/>
      <c r="R81" s="257"/>
      <c r="S81" s="257" t="s">
        <v>897</v>
      </c>
      <c r="T81" s="257"/>
      <c r="U81" s="257"/>
    </row>
    <row r="82" spans="1:21" s="258" customFormat="1" ht="44.25" customHeight="1" x14ac:dyDescent="0.25">
      <c r="A82" s="455"/>
      <c r="B82" s="455" t="s">
        <v>1425</v>
      </c>
      <c r="C82" s="457" t="s">
        <v>1426</v>
      </c>
      <c r="D82" s="454" t="s">
        <v>59</v>
      </c>
      <c r="E82" s="454"/>
      <c r="F82" s="454"/>
      <c r="G82" s="454"/>
      <c r="H82" s="454">
        <v>20</v>
      </c>
      <c r="I82" s="455"/>
      <c r="J82" s="457" t="s">
        <v>1431</v>
      </c>
      <c r="K82" s="472"/>
      <c r="L82" s="454" t="s">
        <v>140</v>
      </c>
      <c r="P82" s="257"/>
      <c r="Q82" s="257"/>
      <c r="R82" s="257"/>
      <c r="S82" s="257" t="s">
        <v>897</v>
      </c>
      <c r="T82" s="257"/>
      <c r="U82" s="257"/>
    </row>
    <row r="83" spans="1:21" s="258" customFormat="1" ht="35.25" customHeight="1" x14ac:dyDescent="0.25">
      <c r="A83" s="455">
        <v>41</v>
      </c>
      <c r="B83" s="455" t="s">
        <v>1070</v>
      </c>
      <c r="C83" s="457" t="s">
        <v>1103</v>
      </c>
      <c r="D83" s="454" t="s">
        <v>0</v>
      </c>
      <c r="E83" s="454">
        <v>44</v>
      </c>
      <c r="F83" s="454">
        <v>0</v>
      </c>
      <c r="G83" s="454">
        <f t="shared" si="4"/>
        <v>44</v>
      </c>
      <c r="H83" s="454">
        <v>6</v>
      </c>
      <c r="I83" s="455"/>
      <c r="J83" s="457" t="s">
        <v>1139</v>
      </c>
      <c r="K83" s="472"/>
      <c r="L83" s="455" t="s">
        <v>140</v>
      </c>
      <c r="P83" s="257"/>
      <c r="Q83" s="257"/>
      <c r="R83" s="257"/>
      <c r="S83" s="257" t="s">
        <v>897</v>
      </c>
      <c r="T83" s="257"/>
      <c r="U83" s="257"/>
    </row>
    <row r="84" spans="1:21" s="258" customFormat="1" ht="42.75" customHeight="1" x14ac:dyDescent="0.25">
      <c r="A84" s="455">
        <v>42</v>
      </c>
      <c r="B84" s="455" t="s">
        <v>630</v>
      </c>
      <c r="C84" s="457" t="s">
        <v>631</v>
      </c>
      <c r="D84" s="455" t="s">
        <v>0</v>
      </c>
      <c r="E84" s="454">
        <v>44</v>
      </c>
      <c r="F84" s="454">
        <v>0</v>
      </c>
      <c r="G84" s="454">
        <f t="shared" si="4"/>
        <v>44</v>
      </c>
      <c r="H84" s="454">
        <v>6</v>
      </c>
      <c r="I84" s="460"/>
      <c r="J84" s="457" t="s">
        <v>1432</v>
      </c>
      <c r="K84" s="472"/>
      <c r="L84" s="454" t="s">
        <v>140</v>
      </c>
      <c r="M84" s="465"/>
      <c r="O84" s="465"/>
      <c r="P84" s="257"/>
      <c r="Q84" s="257"/>
      <c r="R84" s="257"/>
      <c r="S84" s="386" t="s">
        <v>897</v>
      </c>
      <c r="T84" s="257"/>
      <c r="U84" s="257"/>
    </row>
    <row r="85" spans="1:21" s="258" customFormat="1" ht="42.75" customHeight="1" x14ac:dyDescent="0.25">
      <c r="A85" s="455"/>
      <c r="B85" s="455" t="s">
        <v>1470</v>
      </c>
      <c r="C85" s="457" t="s">
        <v>1471</v>
      </c>
      <c r="D85" s="455" t="s">
        <v>0</v>
      </c>
      <c r="E85" s="454"/>
      <c r="F85" s="454"/>
      <c r="G85" s="454"/>
      <c r="H85" s="454">
        <v>6</v>
      </c>
      <c r="I85" s="460"/>
      <c r="J85" s="457" t="s">
        <v>798</v>
      </c>
      <c r="K85" s="472"/>
      <c r="L85" s="454" t="s">
        <v>88</v>
      </c>
      <c r="M85" s="465"/>
      <c r="O85" s="465"/>
      <c r="P85" s="257"/>
      <c r="Q85" s="257"/>
      <c r="R85" s="257"/>
      <c r="S85" s="386" t="s">
        <v>897</v>
      </c>
      <c r="T85" s="257" t="s">
        <v>849</v>
      </c>
      <c r="U85" s="257"/>
    </row>
    <row r="86" spans="1:21" s="258" customFormat="1" ht="42.75" customHeight="1" x14ac:dyDescent="0.25">
      <c r="A86" s="455"/>
      <c r="B86" s="455" t="s">
        <v>1467</v>
      </c>
      <c r="C86" s="457" t="s">
        <v>1468</v>
      </c>
      <c r="D86" s="455" t="s">
        <v>0</v>
      </c>
      <c r="E86" s="454">
        <v>24</v>
      </c>
      <c r="F86" s="454"/>
      <c r="G86" s="454"/>
      <c r="H86" s="454">
        <v>6</v>
      </c>
      <c r="I86" s="460"/>
      <c r="J86" s="457" t="s">
        <v>879</v>
      </c>
      <c r="K86" s="472"/>
      <c r="L86" s="454" t="s">
        <v>88</v>
      </c>
      <c r="M86" s="465"/>
      <c r="O86" s="465"/>
      <c r="P86" s="257"/>
      <c r="Q86" s="257"/>
      <c r="R86" s="257"/>
      <c r="S86" s="386" t="s">
        <v>897</v>
      </c>
      <c r="T86" s="257" t="s">
        <v>849</v>
      </c>
      <c r="U86" s="257"/>
    </row>
    <row r="87" spans="1:21" s="258" customFormat="1" ht="102" x14ac:dyDescent="0.25">
      <c r="A87" s="455"/>
      <c r="B87" s="455" t="s">
        <v>1467</v>
      </c>
      <c r="C87" s="457" t="s">
        <v>1468</v>
      </c>
      <c r="D87" s="455" t="s">
        <v>0</v>
      </c>
      <c r="E87" s="454">
        <v>24</v>
      </c>
      <c r="F87" s="454"/>
      <c r="G87" s="454"/>
      <c r="H87" s="454">
        <v>6</v>
      </c>
      <c r="I87" s="460"/>
      <c r="J87" s="476" t="s">
        <v>879</v>
      </c>
      <c r="K87" s="472"/>
      <c r="L87" s="454" t="s">
        <v>88</v>
      </c>
      <c r="M87" s="465"/>
      <c r="O87" s="465"/>
      <c r="P87" s="257"/>
      <c r="Q87" s="257"/>
      <c r="R87" s="257"/>
      <c r="S87" s="386" t="s">
        <v>897</v>
      </c>
      <c r="T87" s="257" t="s">
        <v>849</v>
      </c>
      <c r="U87" s="257"/>
    </row>
    <row r="88" spans="1:21" s="258" customFormat="1" ht="63.75" x14ac:dyDescent="0.25">
      <c r="A88" s="455"/>
      <c r="B88" s="455" t="s">
        <v>855</v>
      </c>
      <c r="C88" s="457" t="s">
        <v>627</v>
      </c>
      <c r="D88" s="455" t="s">
        <v>0</v>
      </c>
      <c r="E88" s="454">
        <v>2</v>
      </c>
      <c r="F88" s="454"/>
      <c r="G88" s="454"/>
      <c r="H88" s="454">
        <v>2</v>
      </c>
      <c r="I88" s="460"/>
      <c r="J88" s="476" t="s">
        <v>628</v>
      </c>
      <c r="K88" s="472"/>
      <c r="L88" s="454" t="s">
        <v>88</v>
      </c>
      <c r="M88" s="465"/>
      <c r="O88" s="465"/>
      <c r="P88" s="257"/>
      <c r="Q88" s="257"/>
      <c r="R88" s="257"/>
      <c r="S88" s="386" t="s">
        <v>897</v>
      </c>
      <c r="T88" s="257" t="s">
        <v>849</v>
      </c>
      <c r="U88" s="257"/>
    </row>
    <row r="89" spans="1:21" s="258" customFormat="1" ht="42.75" customHeight="1" x14ac:dyDescent="0.25">
      <c r="A89" s="455"/>
      <c r="B89" s="455" t="s">
        <v>91</v>
      </c>
      <c r="C89" s="457" t="s">
        <v>92</v>
      </c>
      <c r="D89" s="455" t="s">
        <v>0</v>
      </c>
      <c r="E89" s="454">
        <v>0</v>
      </c>
      <c r="F89" s="454"/>
      <c r="G89" s="454"/>
      <c r="H89" s="454">
        <v>6</v>
      </c>
      <c r="I89" s="460"/>
      <c r="J89" s="476" t="s">
        <v>98</v>
      </c>
      <c r="K89" s="472"/>
      <c r="L89" s="454" t="s">
        <v>88</v>
      </c>
      <c r="M89" s="465"/>
      <c r="O89" s="465"/>
      <c r="P89" s="257"/>
      <c r="Q89" s="257"/>
      <c r="R89" s="257"/>
      <c r="S89" s="386" t="s">
        <v>897</v>
      </c>
      <c r="T89" s="257" t="s">
        <v>849</v>
      </c>
      <c r="U89" s="257"/>
    </row>
    <row r="90" spans="1:21" s="258" customFormat="1" ht="42.75" customHeight="1" x14ac:dyDescent="0.25">
      <c r="A90" s="455"/>
      <c r="B90" s="455" t="s">
        <v>1469</v>
      </c>
      <c r="C90" s="457" t="s">
        <v>94</v>
      </c>
      <c r="D90" s="455" t="s">
        <v>0</v>
      </c>
      <c r="E90" s="454">
        <v>12</v>
      </c>
      <c r="F90" s="454"/>
      <c r="G90" s="454"/>
      <c r="H90" s="454">
        <v>6</v>
      </c>
      <c r="I90" s="460"/>
      <c r="J90" s="476" t="s">
        <v>99</v>
      </c>
      <c r="K90" s="472"/>
      <c r="L90" s="454" t="s">
        <v>88</v>
      </c>
      <c r="M90" s="465"/>
      <c r="O90" s="465"/>
      <c r="P90" s="257"/>
      <c r="Q90" s="257"/>
      <c r="R90" s="257"/>
      <c r="S90" s="386" t="s">
        <v>897</v>
      </c>
      <c r="T90" s="257" t="s">
        <v>849</v>
      </c>
      <c r="U90" s="257"/>
    </row>
    <row r="91" spans="1:21" s="258" customFormat="1" ht="42.75" customHeight="1" x14ac:dyDescent="0.25">
      <c r="A91" s="455"/>
      <c r="B91" s="455" t="s">
        <v>95</v>
      </c>
      <c r="C91" s="457" t="s">
        <v>96</v>
      </c>
      <c r="D91" s="455" t="s">
        <v>0</v>
      </c>
      <c r="E91" s="454">
        <v>24</v>
      </c>
      <c r="F91" s="454"/>
      <c r="G91" s="454"/>
      <c r="H91" s="454">
        <v>6</v>
      </c>
      <c r="I91" s="460"/>
      <c r="J91" s="457" t="s">
        <v>100</v>
      </c>
      <c r="K91" s="472"/>
      <c r="L91" s="454" t="s">
        <v>88</v>
      </c>
      <c r="M91" s="465"/>
      <c r="O91" s="465"/>
      <c r="P91" s="257"/>
      <c r="Q91" s="257"/>
      <c r="R91" s="257"/>
      <c r="S91" s="386" t="s">
        <v>897</v>
      </c>
      <c r="T91" s="257" t="s">
        <v>849</v>
      </c>
      <c r="U91" s="257"/>
    </row>
    <row r="92" spans="1:21" s="258" customFormat="1" ht="42.75" customHeight="1" x14ac:dyDescent="0.25">
      <c r="A92" s="455"/>
      <c r="B92" s="455" t="s">
        <v>1466</v>
      </c>
      <c r="C92" s="457" t="s">
        <v>631</v>
      </c>
      <c r="D92" s="455" t="s">
        <v>0</v>
      </c>
      <c r="E92" s="454">
        <v>44</v>
      </c>
      <c r="F92" s="454"/>
      <c r="G92" s="454"/>
      <c r="H92" s="454">
        <v>6</v>
      </c>
      <c r="I92" s="460"/>
      <c r="J92" s="457" t="s">
        <v>101</v>
      </c>
      <c r="K92" s="472"/>
      <c r="L92" s="454" t="s">
        <v>88</v>
      </c>
      <c r="M92" s="465"/>
      <c r="O92" s="465"/>
      <c r="P92" s="257"/>
      <c r="Q92" s="257"/>
      <c r="R92" s="257"/>
      <c r="S92" s="386" t="s">
        <v>897</v>
      </c>
      <c r="T92" s="257" t="s">
        <v>849</v>
      </c>
      <c r="U92" s="257"/>
    </row>
    <row r="93" spans="1:21" s="258" customFormat="1" ht="42.75" customHeight="1" x14ac:dyDescent="0.25">
      <c r="A93" s="455"/>
      <c r="B93" s="455" t="s">
        <v>1433</v>
      </c>
      <c r="C93" s="457" t="s">
        <v>1434</v>
      </c>
      <c r="D93" s="455" t="s">
        <v>59</v>
      </c>
      <c r="E93" s="454"/>
      <c r="F93" s="454"/>
      <c r="G93" s="454"/>
      <c r="H93" s="454">
        <v>4</v>
      </c>
      <c r="I93" s="460"/>
      <c r="J93" s="457" t="s">
        <v>1441</v>
      </c>
      <c r="K93" s="472"/>
      <c r="L93" s="454" t="s">
        <v>140</v>
      </c>
      <c r="M93" s="465"/>
      <c r="O93" s="465"/>
      <c r="P93" s="257"/>
      <c r="Q93" s="257"/>
      <c r="R93" s="257"/>
      <c r="S93" s="386" t="s">
        <v>897</v>
      </c>
      <c r="T93" s="257"/>
      <c r="U93" s="257"/>
    </row>
    <row r="94" spans="1:21" s="258" customFormat="1" ht="42.75" customHeight="1" x14ac:dyDescent="0.25">
      <c r="A94" s="455"/>
      <c r="B94" s="455" t="s">
        <v>309</v>
      </c>
      <c r="C94" s="457" t="s">
        <v>310</v>
      </c>
      <c r="D94" s="455" t="s">
        <v>59</v>
      </c>
      <c r="E94" s="454"/>
      <c r="F94" s="454"/>
      <c r="G94" s="454"/>
      <c r="H94" s="454">
        <v>4</v>
      </c>
      <c r="I94" s="460"/>
      <c r="J94" s="457" t="s">
        <v>1442</v>
      </c>
      <c r="K94" s="472"/>
      <c r="L94" s="454" t="s">
        <v>140</v>
      </c>
      <c r="M94" s="465"/>
      <c r="O94" s="465"/>
      <c r="P94" s="257"/>
      <c r="Q94" s="257"/>
      <c r="R94" s="257"/>
      <c r="S94" s="386" t="s">
        <v>897</v>
      </c>
      <c r="T94" s="257"/>
      <c r="U94" s="257"/>
    </row>
    <row r="95" spans="1:21" s="258" customFormat="1" ht="42.75" customHeight="1" x14ac:dyDescent="0.25">
      <c r="A95" s="455"/>
      <c r="B95" s="455" t="s">
        <v>1435</v>
      </c>
      <c r="C95" s="457" t="s">
        <v>1436</v>
      </c>
      <c r="D95" s="455" t="s">
        <v>59</v>
      </c>
      <c r="E95" s="454"/>
      <c r="F95" s="454"/>
      <c r="G95" s="454"/>
      <c r="H95" s="454">
        <v>4</v>
      </c>
      <c r="I95" s="460"/>
      <c r="J95" s="457" t="s">
        <v>1443</v>
      </c>
      <c r="K95" s="472"/>
      <c r="L95" s="454" t="s">
        <v>140</v>
      </c>
      <c r="M95" s="465"/>
      <c r="O95" s="465"/>
      <c r="P95" s="257"/>
      <c r="Q95" s="257"/>
      <c r="R95" s="257"/>
      <c r="S95" s="386" t="s">
        <v>897</v>
      </c>
      <c r="T95" s="257"/>
      <c r="U95" s="257"/>
    </row>
    <row r="96" spans="1:21" s="258" customFormat="1" ht="42.75" customHeight="1" x14ac:dyDescent="0.25">
      <c r="A96" s="455"/>
      <c r="B96" s="455" t="s">
        <v>1437</v>
      </c>
      <c r="C96" s="457" t="s">
        <v>1438</v>
      </c>
      <c r="D96" s="455" t="s">
        <v>59</v>
      </c>
      <c r="E96" s="454"/>
      <c r="F96" s="454"/>
      <c r="G96" s="454"/>
      <c r="H96" s="454">
        <v>12</v>
      </c>
      <c r="I96" s="460"/>
      <c r="J96" s="457" t="s">
        <v>1444</v>
      </c>
      <c r="K96" s="472"/>
      <c r="L96" s="454" t="s">
        <v>140</v>
      </c>
      <c r="M96" s="465"/>
      <c r="O96" s="465"/>
      <c r="P96" s="257"/>
      <c r="Q96" s="257"/>
      <c r="R96" s="257"/>
      <c r="S96" s="386" t="s">
        <v>897</v>
      </c>
      <c r="T96" s="257"/>
      <c r="U96" s="257"/>
    </row>
    <row r="97" spans="1:21" s="258" customFormat="1" ht="42.75" customHeight="1" x14ac:dyDescent="0.25">
      <c r="A97" s="455"/>
      <c r="B97" s="455" t="s">
        <v>1439</v>
      </c>
      <c r="C97" s="457" t="s">
        <v>1440</v>
      </c>
      <c r="D97" s="455" t="s">
        <v>59</v>
      </c>
      <c r="E97" s="454"/>
      <c r="F97" s="454"/>
      <c r="G97" s="454"/>
      <c r="H97" s="454">
        <v>1</v>
      </c>
      <c r="I97" s="460"/>
      <c r="J97" s="457" t="s">
        <v>1445</v>
      </c>
      <c r="K97" s="472"/>
      <c r="L97" s="454" t="s">
        <v>140</v>
      </c>
      <c r="M97" s="465"/>
      <c r="O97" s="465"/>
      <c r="P97" s="257"/>
      <c r="Q97" s="257"/>
      <c r="R97" s="257"/>
      <c r="S97" s="386" t="s">
        <v>897</v>
      </c>
      <c r="T97" s="257"/>
      <c r="U97" s="257"/>
    </row>
    <row r="98" spans="1:21" s="258" customFormat="1" ht="42.75" customHeight="1" x14ac:dyDescent="0.25">
      <c r="A98" s="455"/>
      <c r="B98" s="455" t="s">
        <v>1094</v>
      </c>
      <c r="C98" s="457" t="s">
        <v>1130</v>
      </c>
      <c r="D98" s="455" t="s">
        <v>59</v>
      </c>
      <c r="E98" s="454"/>
      <c r="F98" s="454"/>
      <c r="G98" s="454"/>
      <c r="H98" s="454">
        <v>2</v>
      </c>
      <c r="I98" s="460"/>
      <c r="J98" s="457" t="s">
        <v>1446</v>
      </c>
      <c r="K98" s="472"/>
      <c r="L98" s="454" t="s">
        <v>140</v>
      </c>
      <c r="M98" s="465"/>
      <c r="O98" s="465"/>
      <c r="P98" s="257"/>
      <c r="Q98" s="257"/>
      <c r="R98" s="257"/>
      <c r="S98" s="386" t="s">
        <v>897</v>
      </c>
      <c r="T98" s="257"/>
      <c r="U98" s="257"/>
    </row>
    <row r="99" spans="1:21" s="258" customFormat="1" ht="42.75" customHeight="1" x14ac:dyDescent="0.25">
      <c r="A99" s="455"/>
      <c r="B99" s="455" t="s">
        <v>1447</v>
      </c>
      <c r="C99" s="457" t="s">
        <v>1448</v>
      </c>
      <c r="D99" s="455" t="s">
        <v>59</v>
      </c>
      <c r="E99" s="454"/>
      <c r="F99" s="454"/>
      <c r="G99" s="454"/>
      <c r="H99" s="454">
        <v>2</v>
      </c>
      <c r="I99" s="460"/>
      <c r="J99" s="457" t="s">
        <v>1454</v>
      </c>
      <c r="K99" s="472"/>
      <c r="L99" s="454" t="s">
        <v>140</v>
      </c>
      <c r="M99" s="465"/>
      <c r="O99" s="465"/>
      <c r="P99" s="257"/>
      <c r="Q99" s="257"/>
      <c r="R99" s="257"/>
      <c r="S99" s="386" t="s">
        <v>897</v>
      </c>
      <c r="T99" s="257"/>
      <c r="U99" s="257"/>
    </row>
    <row r="100" spans="1:21" s="258" customFormat="1" ht="42.75" customHeight="1" x14ac:dyDescent="0.25">
      <c r="A100" s="455"/>
      <c r="B100" s="455" t="s">
        <v>1449</v>
      </c>
      <c r="C100" s="457" t="s">
        <v>1450</v>
      </c>
      <c r="D100" s="455" t="s">
        <v>59</v>
      </c>
      <c r="E100" s="454"/>
      <c r="F100" s="454"/>
      <c r="G100" s="454"/>
      <c r="H100" s="454">
        <v>1</v>
      </c>
      <c r="I100" s="460"/>
      <c r="J100" s="457" t="s">
        <v>1455</v>
      </c>
      <c r="K100" s="472"/>
      <c r="L100" s="454" t="s">
        <v>140</v>
      </c>
      <c r="M100" s="465"/>
      <c r="O100" s="465"/>
      <c r="P100" s="257"/>
      <c r="Q100" s="257"/>
      <c r="R100" s="257"/>
      <c r="S100" s="386" t="s">
        <v>897</v>
      </c>
      <c r="T100" s="257"/>
      <c r="U100" s="257"/>
    </row>
    <row r="101" spans="1:21" s="258" customFormat="1" ht="42.75" customHeight="1" x14ac:dyDescent="0.25">
      <c r="A101" s="455"/>
      <c r="B101" s="455" t="s">
        <v>954</v>
      </c>
      <c r="C101" s="457" t="s">
        <v>1451</v>
      </c>
      <c r="D101" s="455" t="s">
        <v>59</v>
      </c>
      <c r="E101" s="454"/>
      <c r="F101" s="454"/>
      <c r="G101" s="454"/>
      <c r="H101" s="454">
        <v>1</v>
      </c>
      <c r="I101" s="460"/>
      <c r="J101" s="485" t="s">
        <v>1619</v>
      </c>
      <c r="K101" s="472"/>
      <c r="L101" s="454" t="s">
        <v>140</v>
      </c>
      <c r="M101" s="465"/>
      <c r="O101" s="465"/>
      <c r="P101" s="257"/>
      <c r="Q101" s="257"/>
      <c r="R101" s="257"/>
      <c r="S101" s="386" t="s">
        <v>897</v>
      </c>
      <c r="T101" s="257" t="s">
        <v>849</v>
      </c>
      <c r="U101" s="257"/>
    </row>
    <row r="102" spans="1:21" s="258" customFormat="1" ht="42.75" customHeight="1" x14ac:dyDescent="0.25">
      <c r="A102" s="455"/>
      <c r="B102" s="455" t="s">
        <v>1080</v>
      </c>
      <c r="C102" s="457" t="s">
        <v>820</v>
      </c>
      <c r="D102" s="455" t="s">
        <v>59</v>
      </c>
      <c r="E102" s="454"/>
      <c r="F102" s="454"/>
      <c r="G102" s="454"/>
      <c r="H102" s="454">
        <v>6</v>
      </c>
      <c r="I102" s="460"/>
      <c r="J102" s="457" t="s">
        <v>1457</v>
      </c>
      <c r="K102" s="472"/>
      <c r="L102" s="454" t="s">
        <v>140</v>
      </c>
      <c r="M102" s="465"/>
      <c r="O102" s="465"/>
      <c r="P102" s="257"/>
      <c r="Q102" s="257"/>
      <c r="R102" s="257"/>
      <c r="S102" s="386" t="s">
        <v>897</v>
      </c>
      <c r="T102" s="257" t="s">
        <v>849</v>
      </c>
      <c r="U102" s="257"/>
    </row>
    <row r="103" spans="1:21" s="258" customFormat="1" ht="42.75" customHeight="1" x14ac:dyDescent="0.25">
      <c r="A103" s="455"/>
      <c r="B103" s="455" t="s">
        <v>829</v>
      </c>
      <c r="C103" s="457" t="s">
        <v>831</v>
      </c>
      <c r="D103" s="455" t="s">
        <v>59</v>
      </c>
      <c r="E103" s="454"/>
      <c r="F103" s="454"/>
      <c r="G103" s="454"/>
      <c r="H103" s="454">
        <v>1</v>
      </c>
      <c r="I103" s="460"/>
      <c r="J103" s="457" t="s">
        <v>1458</v>
      </c>
      <c r="K103" s="472"/>
      <c r="L103" s="454" t="s">
        <v>140</v>
      </c>
      <c r="M103" s="465"/>
      <c r="O103" s="465"/>
      <c r="P103" s="257"/>
      <c r="Q103" s="257"/>
      <c r="R103" s="257"/>
      <c r="S103" s="386" t="s">
        <v>897</v>
      </c>
      <c r="T103" s="257" t="s">
        <v>849</v>
      </c>
      <c r="U103" s="257"/>
    </row>
    <row r="104" spans="1:21" s="258" customFormat="1" ht="42.75" customHeight="1" x14ac:dyDescent="0.25">
      <c r="A104" s="455"/>
      <c r="B104" s="455" t="s">
        <v>1452</v>
      </c>
      <c r="C104" s="457" t="s">
        <v>1453</v>
      </c>
      <c r="D104" s="455" t="s">
        <v>59</v>
      </c>
      <c r="E104" s="454"/>
      <c r="F104" s="454"/>
      <c r="G104" s="454"/>
      <c r="H104" s="454">
        <v>2</v>
      </c>
      <c r="I104" s="460"/>
      <c r="J104" s="457" t="s">
        <v>1459</v>
      </c>
      <c r="K104" s="472"/>
      <c r="L104" s="454" t="s">
        <v>140</v>
      </c>
      <c r="M104" s="465"/>
      <c r="O104" s="465"/>
      <c r="P104" s="257"/>
      <c r="Q104" s="257"/>
      <c r="R104" s="257"/>
      <c r="S104" s="386" t="s">
        <v>897</v>
      </c>
      <c r="T104" s="257"/>
      <c r="U104" s="257"/>
    </row>
    <row r="105" spans="1:21" s="258" customFormat="1" ht="42.75" customHeight="1" x14ac:dyDescent="0.25">
      <c r="A105" s="455"/>
      <c r="B105" s="455" t="s">
        <v>641</v>
      </c>
      <c r="C105" s="457" t="s">
        <v>1107</v>
      </c>
      <c r="D105" s="455" t="s">
        <v>59</v>
      </c>
      <c r="E105" s="454"/>
      <c r="F105" s="454"/>
      <c r="G105" s="454"/>
      <c r="H105" s="454">
        <v>2</v>
      </c>
      <c r="I105" s="460"/>
      <c r="J105" s="457" t="s">
        <v>1460</v>
      </c>
      <c r="K105" s="472"/>
      <c r="L105" s="454" t="s">
        <v>140</v>
      </c>
      <c r="M105" s="465"/>
      <c r="O105" s="465"/>
      <c r="P105" s="257"/>
      <c r="Q105" s="257"/>
      <c r="R105" s="257"/>
      <c r="S105" s="386" t="s">
        <v>897</v>
      </c>
      <c r="T105" s="257"/>
      <c r="U105" s="257"/>
    </row>
    <row r="106" spans="1:21" s="258" customFormat="1" ht="56.25" customHeight="1" x14ac:dyDescent="0.25">
      <c r="A106" s="455">
        <f>A84+1</f>
        <v>43</v>
      </c>
      <c r="B106" s="454" t="s">
        <v>856</v>
      </c>
      <c r="C106" s="457" t="s">
        <v>39</v>
      </c>
      <c r="D106" s="455" t="s">
        <v>0</v>
      </c>
      <c r="E106" s="454">
        <v>6</v>
      </c>
      <c r="F106" s="454">
        <v>0</v>
      </c>
      <c r="G106" s="454">
        <f t="shared" si="4"/>
        <v>6</v>
      </c>
      <c r="H106" s="454">
        <v>5</v>
      </c>
      <c r="I106" s="460"/>
      <c r="J106" s="457" t="s">
        <v>623</v>
      </c>
      <c r="K106" s="472"/>
      <c r="L106" s="455" t="s">
        <v>88</v>
      </c>
      <c r="M106" s="258" t="s">
        <v>895</v>
      </c>
      <c r="N106" s="258" t="s">
        <v>896</v>
      </c>
      <c r="O106" s="465"/>
      <c r="P106" s="257" t="s">
        <v>813</v>
      </c>
      <c r="Q106" s="257" t="s">
        <v>827</v>
      </c>
      <c r="R106" s="257" t="s">
        <v>840</v>
      </c>
      <c r="S106" s="257"/>
      <c r="T106" s="257" t="s">
        <v>849</v>
      </c>
      <c r="U106" s="257"/>
    </row>
    <row r="107" spans="1:21" s="258" customFormat="1" ht="63" customHeight="1" x14ac:dyDescent="0.25">
      <c r="A107" s="455">
        <v>44</v>
      </c>
      <c r="B107" s="455" t="s">
        <v>1091</v>
      </c>
      <c r="C107" s="457" t="s">
        <v>39</v>
      </c>
      <c r="D107" s="454" t="s">
        <v>0</v>
      </c>
      <c r="E107" s="454">
        <v>6</v>
      </c>
      <c r="F107" s="454">
        <v>0</v>
      </c>
      <c r="G107" s="454">
        <f t="shared" si="4"/>
        <v>6</v>
      </c>
      <c r="H107" s="454">
        <v>5</v>
      </c>
      <c r="I107" s="455"/>
      <c r="J107" s="457" t="s">
        <v>623</v>
      </c>
      <c r="K107" s="472"/>
      <c r="L107" s="455" t="s">
        <v>88</v>
      </c>
      <c r="P107" s="257" t="s">
        <v>813</v>
      </c>
      <c r="Q107" s="257"/>
      <c r="R107" s="257" t="s">
        <v>840</v>
      </c>
      <c r="S107" s="257" t="s">
        <v>897</v>
      </c>
      <c r="T107" s="257" t="s">
        <v>849</v>
      </c>
      <c r="U107" s="257"/>
    </row>
    <row r="108" spans="1:21" s="258" customFormat="1" ht="74.25" customHeight="1" x14ac:dyDescent="0.25">
      <c r="A108" s="455">
        <v>45</v>
      </c>
      <c r="B108" s="454" t="s">
        <v>857</v>
      </c>
      <c r="C108" s="457" t="s">
        <v>37</v>
      </c>
      <c r="D108" s="455" t="s">
        <v>17</v>
      </c>
      <c r="E108" s="454">
        <v>12</v>
      </c>
      <c r="F108" s="454">
        <v>0</v>
      </c>
      <c r="G108" s="454">
        <f t="shared" si="4"/>
        <v>12</v>
      </c>
      <c r="H108" s="454">
        <v>5</v>
      </c>
      <c r="I108" s="460"/>
      <c r="J108" s="457" t="s">
        <v>846</v>
      </c>
      <c r="K108" s="472" t="s">
        <v>121</v>
      </c>
      <c r="L108" s="455" t="s">
        <v>88</v>
      </c>
      <c r="M108" s="258" t="s">
        <v>895</v>
      </c>
      <c r="N108" s="258" t="s">
        <v>896</v>
      </c>
      <c r="O108" s="465"/>
      <c r="P108" s="257" t="s">
        <v>813</v>
      </c>
      <c r="Q108" s="257" t="s">
        <v>827</v>
      </c>
      <c r="R108" s="257" t="s">
        <v>840</v>
      </c>
      <c r="S108" s="257" t="s">
        <v>897</v>
      </c>
      <c r="T108" s="257" t="s">
        <v>849</v>
      </c>
      <c r="U108" s="257"/>
    </row>
    <row r="109" spans="1:21" s="258" customFormat="1" ht="44.25" customHeight="1" x14ac:dyDescent="0.25">
      <c r="A109" s="455">
        <v>46</v>
      </c>
      <c r="B109" s="455" t="s">
        <v>1090</v>
      </c>
      <c r="C109" s="457" t="s">
        <v>1127</v>
      </c>
      <c r="D109" s="454" t="s">
        <v>0</v>
      </c>
      <c r="E109" s="454">
        <v>12</v>
      </c>
      <c r="F109" s="454">
        <v>0</v>
      </c>
      <c r="G109" s="454">
        <f t="shared" si="4"/>
        <v>12</v>
      </c>
      <c r="H109" s="454">
        <v>4</v>
      </c>
      <c r="I109" s="455"/>
      <c r="J109" s="457" t="s">
        <v>1166</v>
      </c>
      <c r="K109" s="472"/>
      <c r="L109" s="455" t="s">
        <v>197</v>
      </c>
      <c r="P109" s="257" t="s">
        <v>813</v>
      </c>
      <c r="Q109" s="257"/>
      <c r="R109" s="257" t="s">
        <v>840</v>
      </c>
      <c r="S109" s="257"/>
      <c r="T109" s="257"/>
      <c r="U109" s="257"/>
    </row>
    <row r="110" spans="1:21" s="258" customFormat="1" ht="69.75" customHeight="1" x14ac:dyDescent="0.25">
      <c r="A110" s="455">
        <v>47</v>
      </c>
      <c r="B110" s="454" t="s">
        <v>825</v>
      </c>
      <c r="C110" s="457" t="s">
        <v>26</v>
      </c>
      <c r="D110" s="455" t="s">
        <v>17</v>
      </c>
      <c r="E110" s="454">
        <v>8</v>
      </c>
      <c r="F110" s="454">
        <v>0</v>
      </c>
      <c r="G110" s="454">
        <f t="shared" si="4"/>
        <v>8</v>
      </c>
      <c r="H110" s="454">
        <f>VLOOKUP(B110,'[1]Tháng 7.2025'!$B$23:$H$153,7,0)</f>
        <v>2</v>
      </c>
      <c r="I110" s="460"/>
      <c r="J110" s="457" t="s">
        <v>847</v>
      </c>
      <c r="K110" s="471">
        <v>0</v>
      </c>
      <c r="L110" s="455" t="s">
        <v>88</v>
      </c>
      <c r="M110" s="258" t="s">
        <v>895</v>
      </c>
      <c r="N110" s="258" t="s">
        <v>896</v>
      </c>
      <c r="O110" s="465"/>
      <c r="P110" s="257" t="s">
        <v>813</v>
      </c>
      <c r="Q110" s="257" t="s">
        <v>827</v>
      </c>
      <c r="R110" s="257" t="s">
        <v>840</v>
      </c>
      <c r="S110" s="257" t="s">
        <v>897</v>
      </c>
      <c r="T110" s="257" t="s">
        <v>849</v>
      </c>
      <c r="U110" s="257"/>
    </row>
    <row r="111" spans="1:21" s="259" customFormat="1" ht="37.5" customHeight="1" x14ac:dyDescent="0.25">
      <c r="A111" s="455" t="e">
        <f>A133+1</f>
        <v>#REF!</v>
      </c>
      <c r="B111" s="455" t="s">
        <v>1078</v>
      </c>
      <c r="C111" s="457" t="s">
        <v>1113</v>
      </c>
      <c r="D111" s="454" t="s">
        <v>0</v>
      </c>
      <c r="E111" s="454">
        <v>0</v>
      </c>
      <c r="F111" s="454">
        <v>0</v>
      </c>
      <c r="G111" s="454">
        <f t="shared" si="4"/>
        <v>0</v>
      </c>
      <c r="H111" s="454">
        <v>4</v>
      </c>
      <c r="I111" s="455"/>
      <c r="J111" s="457" t="s">
        <v>1154</v>
      </c>
      <c r="K111" s="472"/>
      <c r="L111" s="455" t="s">
        <v>197</v>
      </c>
      <c r="Q111" s="264"/>
      <c r="R111" s="264"/>
      <c r="S111" s="264"/>
      <c r="T111" s="264"/>
      <c r="U111" s="264"/>
    </row>
    <row r="112" spans="1:21" s="264" customFormat="1" ht="33" customHeight="1" x14ac:dyDescent="0.25">
      <c r="A112" s="455">
        <f>A110+1</f>
        <v>48</v>
      </c>
      <c r="B112" s="454" t="s">
        <v>459</v>
      </c>
      <c r="C112" s="457" t="s">
        <v>460</v>
      </c>
      <c r="D112" s="455" t="s">
        <v>59</v>
      </c>
      <c r="E112" s="454">
        <v>0</v>
      </c>
      <c r="F112" s="454">
        <v>0</v>
      </c>
      <c r="G112" s="454">
        <f t="shared" si="4"/>
        <v>0</v>
      </c>
      <c r="H112" s="454">
        <f>VLOOKUP(B112,'[1]Tháng 7.2025'!$B$23:$H$153,7,0)</f>
        <v>2</v>
      </c>
      <c r="I112" s="460"/>
      <c r="J112" s="457" t="s">
        <v>461</v>
      </c>
      <c r="K112" s="471"/>
      <c r="L112" s="456" t="s">
        <v>140</v>
      </c>
    </row>
    <row r="113" spans="1:21" s="258" customFormat="1" ht="71.25" customHeight="1" x14ac:dyDescent="0.25">
      <c r="A113" s="455">
        <v>48</v>
      </c>
      <c r="B113" s="454" t="s">
        <v>361</v>
      </c>
      <c r="C113" s="457" t="s">
        <v>362</v>
      </c>
      <c r="D113" s="454" t="s">
        <v>0</v>
      </c>
      <c r="E113" s="454">
        <v>24</v>
      </c>
      <c r="F113" s="454">
        <v>0</v>
      </c>
      <c r="G113" s="454">
        <f t="shared" si="4"/>
        <v>24</v>
      </c>
      <c r="H113" s="454">
        <f>VLOOKUP(B113,'[1]Tháng 7.2025'!$B$23:$H$153,7,0)</f>
        <v>6</v>
      </c>
      <c r="I113" s="454"/>
      <c r="J113" s="457" t="s">
        <v>879</v>
      </c>
      <c r="K113" s="471"/>
      <c r="L113" s="455" t="s">
        <v>88</v>
      </c>
      <c r="M113" s="258" t="s">
        <v>895</v>
      </c>
      <c r="N113" s="258" t="s">
        <v>896</v>
      </c>
      <c r="P113" s="257" t="s">
        <v>813</v>
      </c>
      <c r="Q113" s="257" t="s">
        <v>827</v>
      </c>
      <c r="R113" s="257" t="s">
        <v>840</v>
      </c>
      <c r="S113" s="257"/>
      <c r="T113" s="257" t="s">
        <v>849</v>
      </c>
      <c r="U113" s="257"/>
    </row>
    <row r="114" spans="1:21" s="259" customFormat="1" ht="41.25" customHeight="1" x14ac:dyDescent="0.25">
      <c r="A114" s="455">
        <v>49</v>
      </c>
      <c r="B114" s="454" t="s">
        <v>335</v>
      </c>
      <c r="C114" s="457" t="s">
        <v>336</v>
      </c>
      <c r="D114" s="455" t="s">
        <v>0</v>
      </c>
      <c r="E114" s="454">
        <v>0</v>
      </c>
      <c r="F114" s="454">
        <v>0</v>
      </c>
      <c r="G114" s="454">
        <f t="shared" si="4"/>
        <v>0</v>
      </c>
      <c r="H114" s="454">
        <v>2</v>
      </c>
      <c r="I114" s="455"/>
      <c r="J114" s="457" t="s">
        <v>1023</v>
      </c>
      <c r="K114" s="472"/>
      <c r="L114" s="455" t="s">
        <v>140</v>
      </c>
      <c r="N114" s="259" t="s">
        <v>896</v>
      </c>
      <c r="Q114" s="264"/>
      <c r="R114" s="257" t="s">
        <v>840</v>
      </c>
      <c r="S114" s="264"/>
      <c r="T114" s="264"/>
      <c r="U114" s="264"/>
    </row>
    <row r="115" spans="1:21" s="259" customFormat="1" ht="46.5" customHeight="1" x14ac:dyDescent="0.25">
      <c r="A115" s="455" t="e">
        <f>#REF!+1</f>
        <v>#REF!</v>
      </c>
      <c r="B115" s="455" t="s">
        <v>335</v>
      </c>
      <c r="C115" s="457" t="s">
        <v>336</v>
      </c>
      <c r="D115" s="454" t="s">
        <v>0</v>
      </c>
      <c r="E115" s="454">
        <v>0</v>
      </c>
      <c r="F115" s="454">
        <v>0</v>
      </c>
      <c r="G115" s="454">
        <f t="shared" si="4"/>
        <v>0</v>
      </c>
      <c r="H115" s="454">
        <v>2</v>
      </c>
      <c r="I115" s="455"/>
      <c r="J115" s="457" t="s">
        <v>1146</v>
      </c>
      <c r="K115" s="472"/>
      <c r="L115" s="455" t="s">
        <v>197</v>
      </c>
      <c r="Q115" s="264"/>
      <c r="R115" s="264"/>
      <c r="S115" s="264"/>
      <c r="T115" s="264"/>
      <c r="U115" s="264"/>
    </row>
    <row r="116" spans="1:21" s="259" customFormat="1" ht="58.5" customHeight="1" x14ac:dyDescent="0.25">
      <c r="A116" s="455">
        <f>A114+1</f>
        <v>50</v>
      </c>
      <c r="B116" s="454" t="s">
        <v>340</v>
      </c>
      <c r="C116" s="457" t="s">
        <v>341</v>
      </c>
      <c r="D116" s="455" t="s">
        <v>0</v>
      </c>
      <c r="E116" s="454">
        <v>0</v>
      </c>
      <c r="F116" s="454">
        <v>0</v>
      </c>
      <c r="G116" s="454">
        <f t="shared" si="4"/>
        <v>0</v>
      </c>
      <c r="H116" s="454">
        <v>2</v>
      </c>
      <c r="I116" s="455"/>
      <c r="J116" s="457" t="s">
        <v>1024</v>
      </c>
      <c r="K116" s="472"/>
      <c r="L116" s="455" t="s">
        <v>140</v>
      </c>
      <c r="N116" s="259" t="s">
        <v>896</v>
      </c>
      <c r="Q116" s="264"/>
      <c r="R116" s="264"/>
      <c r="S116" s="264"/>
      <c r="T116" s="264"/>
      <c r="U116" s="264"/>
    </row>
    <row r="117" spans="1:21" s="259" customFormat="1" ht="57.75" customHeight="1" x14ac:dyDescent="0.25">
      <c r="A117" s="455">
        <v>50</v>
      </c>
      <c r="B117" s="455" t="s">
        <v>340</v>
      </c>
      <c r="C117" s="457" t="s">
        <v>341</v>
      </c>
      <c r="D117" s="454" t="s">
        <v>0</v>
      </c>
      <c r="E117" s="454">
        <v>0</v>
      </c>
      <c r="F117" s="454">
        <v>0</v>
      </c>
      <c r="G117" s="454">
        <f t="shared" si="4"/>
        <v>0</v>
      </c>
      <c r="H117" s="454">
        <v>4</v>
      </c>
      <c r="I117" s="455"/>
      <c r="J117" s="457" t="s">
        <v>1149</v>
      </c>
      <c r="K117" s="472"/>
      <c r="L117" s="455" t="s">
        <v>197</v>
      </c>
      <c r="Q117" s="264"/>
      <c r="R117" s="257" t="s">
        <v>840</v>
      </c>
      <c r="S117" s="264"/>
      <c r="T117" s="264"/>
      <c r="U117" s="264"/>
    </row>
    <row r="118" spans="1:21" s="259" customFormat="1" ht="30" customHeight="1" x14ac:dyDescent="0.25">
      <c r="A118" s="455" t="e">
        <f>#REF!+1</f>
        <v>#REF!</v>
      </c>
      <c r="B118" s="455"/>
      <c r="C118" s="457" t="s">
        <v>1062</v>
      </c>
      <c r="D118" s="454" t="s">
        <v>0</v>
      </c>
      <c r="E118" s="454">
        <v>0</v>
      </c>
      <c r="F118" s="454">
        <v>0</v>
      </c>
      <c r="G118" s="454">
        <f t="shared" si="4"/>
        <v>0</v>
      </c>
      <c r="H118" s="454">
        <v>1</v>
      </c>
      <c r="I118" s="455"/>
      <c r="J118" s="457" t="s">
        <v>1063</v>
      </c>
      <c r="K118" s="472"/>
      <c r="L118" s="455" t="s">
        <v>76</v>
      </c>
      <c r="Q118" s="264"/>
      <c r="R118" s="264"/>
      <c r="S118" s="264"/>
      <c r="T118" s="264"/>
      <c r="U118" s="264"/>
    </row>
    <row r="119" spans="1:21" s="259" customFormat="1" ht="58.5" customHeight="1" x14ac:dyDescent="0.25">
      <c r="A119" s="455" t="e">
        <f t="shared" si="5"/>
        <v>#REF!</v>
      </c>
      <c r="B119" s="455" t="s">
        <v>1066</v>
      </c>
      <c r="C119" s="457" t="s">
        <v>1099</v>
      </c>
      <c r="D119" s="454" t="s">
        <v>0</v>
      </c>
      <c r="E119" s="454">
        <v>0</v>
      </c>
      <c r="F119" s="454">
        <v>0</v>
      </c>
      <c r="G119" s="454">
        <f t="shared" si="4"/>
        <v>0</v>
      </c>
      <c r="H119" s="454">
        <v>1014</v>
      </c>
      <c r="I119" s="455"/>
      <c r="J119" s="457" t="s">
        <v>1135</v>
      </c>
      <c r="K119" s="472"/>
      <c r="L119" s="455" t="s">
        <v>197</v>
      </c>
      <c r="Q119" s="264"/>
      <c r="R119" s="264"/>
      <c r="S119" s="264"/>
      <c r="T119" s="264"/>
      <c r="U119" s="264"/>
    </row>
    <row r="120" spans="1:21" s="259" customFormat="1" ht="35.25" customHeight="1" x14ac:dyDescent="0.25">
      <c r="A120" s="455" t="e">
        <f t="shared" si="5"/>
        <v>#REF!</v>
      </c>
      <c r="B120" s="455" t="s">
        <v>1067</v>
      </c>
      <c r="C120" s="457" t="s">
        <v>1100</v>
      </c>
      <c r="D120" s="454" t="s">
        <v>0</v>
      </c>
      <c r="E120" s="454">
        <v>0</v>
      </c>
      <c r="F120" s="454">
        <v>0</v>
      </c>
      <c r="G120" s="454">
        <f t="shared" si="4"/>
        <v>0</v>
      </c>
      <c r="H120" s="454">
        <v>60</v>
      </c>
      <c r="I120" s="455"/>
      <c r="J120" s="457" t="s">
        <v>1136</v>
      </c>
      <c r="K120" s="472"/>
      <c r="L120" s="455" t="s">
        <v>197</v>
      </c>
      <c r="Q120" s="264"/>
      <c r="R120" s="264"/>
      <c r="S120" s="264"/>
      <c r="T120" s="264"/>
      <c r="U120" s="264"/>
    </row>
    <row r="121" spans="1:21" s="259" customFormat="1" ht="35.25" customHeight="1" x14ac:dyDescent="0.25">
      <c r="A121" s="455" t="e">
        <f t="shared" si="5"/>
        <v>#REF!</v>
      </c>
      <c r="B121" s="455" t="s">
        <v>1068</v>
      </c>
      <c r="C121" s="457" t="s">
        <v>1101</v>
      </c>
      <c r="D121" s="454" t="s">
        <v>0</v>
      </c>
      <c r="E121" s="454">
        <v>0</v>
      </c>
      <c r="F121" s="454">
        <v>0</v>
      </c>
      <c r="G121" s="454">
        <f t="shared" si="4"/>
        <v>0</v>
      </c>
      <c r="H121" s="454">
        <v>30</v>
      </c>
      <c r="I121" s="455"/>
      <c r="J121" s="457" t="s">
        <v>1137</v>
      </c>
      <c r="K121" s="472"/>
      <c r="L121" s="455" t="s">
        <v>197</v>
      </c>
      <c r="Q121" s="264"/>
      <c r="R121" s="264"/>
      <c r="S121" s="264"/>
      <c r="T121" s="264"/>
      <c r="U121" s="264"/>
    </row>
    <row r="122" spans="1:21" s="259" customFormat="1" ht="35.25" customHeight="1" x14ac:dyDescent="0.25">
      <c r="A122" s="455" t="e">
        <f t="shared" si="5"/>
        <v>#REF!</v>
      </c>
      <c r="B122" s="455" t="s">
        <v>1069</v>
      </c>
      <c r="C122" s="457" t="s">
        <v>1102</v>
      </c>
      <c r="D122" s="454" t="s">
        <v>0</v>
      </c>
      <c r="E122" s="454">
        <v>0</v>
      </c>
      <c r="F122" s="454">
        <v>0</v>
      </c>
      <c r="G122" s="454">
        <f t="shared" si="4"/>
        <v>0</v>
      </c>
      <c r="H122" s="454">
        <v>500</v>
      </c>
      <c r="I122" s="455"/>
      <c r="J122" s="457" t="s">
        <v>1138</v>
      </c>
      <c r="K122" s="472"/>
      <c r="L122" s="455" t="s">
        <v>197</v>
      </c>
      <c r="Q122" s="264"/>
      <c r="R122" s="264"/>
      <c r="S122" s="264"/>
      <c r="T122" s="264"/>
      <c r="U122" s="264"/>
    </row>
    <row r="123" spans="1:21" s="259" customFormat="1" ht="35.25" customHeight="1" x14ac:dyDescent="0.25">
      <c r="A123" s="455">
        <f>A75+1</f>
        <v>40</v>
      </c>
      <c r="B123" s="455" t="s">
        <v>871</v>
      </c>
      <c r="C123" s="457" t="s">
        <v>872</v>
      </c>
      <c r="D123" s="454" t="s">
        <v>0</v>
      </c>
      <c r="E123" s="454">
        <v>10</v>
      </c>
      <c r="F123" s="454">
        <v>0</v>
      </c>
      <c r="G123" s="454">
        <f t="shared" si="4"/>
        <v>10</v>
      </c>
      <c r="H123" s="454">
        <v>8</v>
      </c>
      <c r="I123" s="455"/>
      <c r="J123" s="457" t="s">
        <v>1141</v>
      </c>
      <c r="K123" s="472"/>
      <c r="L123" s="455" t="s">
        <v>197</v>
      </c>
      <c r="Q123" s="264"/>
      <c r="R123" s="264"/>
      <c r="S123" s="264"/>
      <c r="T123" s="264"/>
      <c r="U123" s="264"/>
    </row>
    <row r="124" spans="1:21" s="259" customFormat="1" ht="35.25" customHeight="1" x14ac:dyDescent="0.25">
      <c r="A124" s="455">
        <f t="shared" si="5"/>
        <v>41</v>
      </c>
      <c r="B124" s="455" t="s">
        <v>711</v>
      </c>
      <c r="C124" s="457" t="s">
        <v>712</v>
      </c>
      <c r="D124" s="454" t="s">
        <v>0</v>
      </c>
      <c r="E124" s="454">
        <v>10</v>
      </c>
      <c r="F124" s="454">
        <v>0</v>
      </c>
      <c r="G124" s="454">
        <f t="shared" si="4"/>
        <v>10</v>
      </c>
      <c r="H124" s="454">
        <v>3</v>
      </c>
      <c r="I124" s="455"/>
      <c r="J124" s="457" t="s">
        <v>1141</v>
      </c>
      <c r="K124" s="472"/>
      <c r="L124" s="455" t="s">
        <v>197</v>
      </c>
      <c r="Q124" s="264"/>
      <c r="R124" s="264"/>
      <c r="S124" s="264"/>
      <c r="T124" s="264"/>
      <c r="U124" s="264"/>
    </row>
    <row r="125" spans="1:21" s="257" customFormat="1" ht="25.5" customHeight="1" x14ac:dyDescent="0.25">
      <c r="A125" s="455">
        <v>51</v>
      </c>
      <c r="B125" s="454" t="s">
        <v>871</v>
      </c>
      <c r="C125" s="457" t="s">
        <v>872</v>
      </c>
      <c r="D125" s="454" t="s">
        <v>59</v>
      </c>
      <c r="E125" s="454">
        <v>10</v>
      </c>
      <c r="F125" s="454">
        <v>0</v>
      </c>
      <c r="G125" s="454">
        <f t="shared" si="4"/>
        <v>10</v>
      </c>
      <c r="H125" s="454">
        <v>1</v>
      </c>
      <c r="I125" s="454"/>
      <c r="J125" s="457" t="s">
        <v>1364</v>
      </c>
      <c r="K125" s="471"/>
      <c r="L125" s="456" t="s">
        <v>140</v>
      </c>
      <c r="M125" s="257" t="s">
        <v>895</v>
      </c>
      <c r="R125" s="257" t="s">
        <v>840</v>
      </c>
      <c r="S125" s="257" t="s">
        <v>897</v>
      </c>
    </row>
    <row r="126" spans="1:21" s="264" customFormat="1" ht="39" customHeight="1" x14ac:dyDescent="0.25">
      <c r="A126" s="455">
        <f>A125+1</f>
        <v>52</v>
      </c>
      <c r="B126" s="454" t="s">
        <v>711</v>
      </c>
      <c r="C126" s="457" t="s">
        <v>712</v>
      </c>
      <c r="D126" s="454" t="s">
        <v>59</v>
      </c>
      <c r="E126" s="454">
        <v>0</v>
      </c>
      <c r="F126" s="454">
        <v>0</v>
      </c>
      <c r="G126" s="454">
        <f t="shared" si="4"/>
        <v>0</v>
      </c>
      <c r="H126" s="454">
        <v>2</v>
      </c>
      <c r="I126" s="454"/>
      <c r="J126" s="457" t="s">
        <v>875</v>
      </c>
      <c r="K126" s="471"/>
      <c r="L126" s="456" t="s">
        <v>140</v>
      </c>
      <c r="M126" s="264" t="s">
        <v>895</v>
      </c>
      <c r="S126" s="257" t="s">
        <v>897</v>
      </c>
    </row>
    <row r="127" spans="1:21" s="259" customFormat="1" ht="35.25" customHeight="1" x14ac:dyDescent="0.25">
      <c r="A127" s="455">
        <v>52</v>
      </c>
      <c r="B127" s="455" t="s">
        <v>716</v>
      </c>
      <c r="C127" s="457" t="s">
        <v>717</v>
      </c>
      <c r="D127" s="454" t="s">
        <v>0</v>
      </c>
      <c r="E127" s="454">
        <v>0</v>
      </c>
      <c r="F127" s="454">
        <v>0</v>
      </c>
      <c r="G127" s="454">
        <f t="shared" si="4"/>
        <v>0</v>
      </c>
      <c r="H127" s="454">
        <v>2</v>
      </c>
      <c r="I127" s="455"/>
      <c r="J127" s="457" t="s">
        <v>873</v>
      </c>
      <c r="K127" s="472"/>
      <c r="L127" s="456" t="s">
        <v>140</v>
      </c>
      <c r="Q127" s="264"/>
      <c r="R127" s="264" t="s">
        <v>840</v>
      </c>
      <c r="S127" s="257" t="s">
        <v>897</v>
      </c>
      <c r="T127" s="264"/>
      <c r="U127" s="264"/>
    </row>
    <row r="128" spans="1:21" s="259" customFormat="1" ht="35.25" customHeight="1" x14ac:dyDescent="0.25">
      <c r="A128" s="455">
        <v>53</v>
      </c>
      <c r="B128" s="455" t="s">
        <v>1354</v>
      </c>
      <c r="C128" s="457" t="s">
        <v>1355</v>
      </c>
      <c r="D128" s="454" t="s">
        <v>2</v>
      </c>
      <c r="E128" s="454">
        <v>0</v>
      </c>
      <c r="F128" s="454">
        <v>0</v>
      </c>
      <c r="G128" s="454">
        <v>0</v>
      </c>
      <c r="H128" s="454">
        <v>5</v>
      </c>
      <c r="I128" s="455"/>
      <c r="J128" s="457" t="s">
        <v>1356</v>
      </c>
      <c r="K128" s="472"/>
      <c r="L128" s="456" t="s">
        <v>140</v>
      </c>
      <c r="Q128" s="264"/>
      <c r="R128" s="264" t="s">
        <v>840</v>
      </c>
      <c r="S128" s="264"/>
      <c r="T128" s="264"/>
      <c r="U128" s="264"/>
    </row>
    <row r="129" spans="1:21" s="259" customFormat="1" ht="44.25" customHeight="1" x14ac:dyDescent="0.25">
      <c r="A129" s="455">
        <v>54</v>
      </c>
      <c r="B129" s="455" t="s">
        <v>1083</v>
      </c>
      <c r="C129" s="457" t="s">
        <v>1119</v>
      </c>
      <c r="D129" s="454" t="s">
        <v>0</v>
      </c>
      <c r="E129" s="454">
        <v>0</v>
      </c>
      <c r="F129" s="454">
        <v>0</v>
      </c>
      <c r="G129" s="454">
        <f>E129-F129</f>
        <v>0</v>
      </c>
      <c r="H129" s="454">
        <v>10</v>
      </c>
      <c r="I129" s="455"/>
      <c r="J129" s="457" t="s">
        <v>1159</v>
      </c>
      <c r="K129" s="472"/>
      <c r="L129" s="456" t="s">
        <v>140</v>
      </c>
      <c r="Q129" s="264"/>
      <c r="R129" s="264" t="s">
        <v>840</v>
      </c>
      <c r="S129" s="264"/>
      <c r="T129" s="264"/>
      <c r="U129" s="264"/>
    </row>
    <row r="130" spans="1:21" s="259" customFormat="1" ht="35.25" customHeight="1" x14ac:dyDescent="0.25">
      <c r="A130" s="455"/>
      <c r="B130" s="455" t="s">
        <v>1357</v>
      </c>
      <c r="C130" s="457" t="s">
        <v>1358</v>
      </c>
      <c r="D130" s="454" t="s">
        <v>1203</v>
      </c>
      <c r="E130" s="454">
        <v>0</v>
      </c>
      <c r="F130" s="454">
        <v>0</v>
      </c>
      <c r="G130" s="454">
        <f>E130-F130</f>
        <v>0</v>
      </c>
      <c r="H130" s="454">
        <v>50</v>
      </c>
      <c r="I130" s="455"/>
      <c r="J130" s="457" t="s">
        <v>1359</v>
      </c>
      <c r="K130" s="472"/>
      <c r="L130" s="456" t="s">
        <v>1360</v>
      </c>
      <c r="Q130" s="264"/>
      <c r="R130" s="264"/>
      <c r="S130" s="264"/>
      <c r="T130" s="264"/>
      <c r="U130" s="264"/>
    </row>
    <row r="131" spans="1:21" s="259" customFormat="1" ht="46.5" customHeight="1" x14ac:dyDescent="0.25">
      <c r="A131" s="455" t="e">
        <f>#REF!+1</f>
        <v>#REF!</v>
      </c>
      <c r="B131" s="455" t="s">
        <v>1075</v>
      </c>
      <c r="C131" s="457" t="s">
        <v>1110</v>
      </c>
      <c r="D131" s="454" t="s">
        <v>0</v>
      </c>
      <c r="E131" s="454">
        <v>0</v>
      </c>
      <c r="F131" s="454">
        <v>0</v>
      </c>
      <c r="G131" s="454">
        <f t="shared" si="4"/>
        <v>0</v>
      </c>
      <c r="H131" s="454">
        <v>4</v>
      </c>
      <c r="I131" s="455"/>
      <c r="J131" s="457" t="s">
        <v>1152</v>
      </c>
      <c r="K131" s="472"/>
      <c r="L131" s="455" t="s">
        <v>197</v>
      </c>
      <c r="Q131" s="264"/>
      <c r="R131" s="264"/>
      <c r="S131" s="264"/>
      <c r="T131" s="264"/>
      <c r="U131" s="264"/>
    </row>
    <row r="132" spans="1:21" s="259" customFormat="1" ht="52.5" customHeight="1" x14ac:dyDescent="0.25">
      <c r="A132" s="455" t="e">
        <f t="shared" si="5"/>
        <v>#REF!</v>
      </c>
      <c r="B132" s="455" t="s">
        <v>1076</v>
      </c>
      <c r="C132" s="457" t="s">
        <v>1111</v>
      </c>
      <c r="D132" s="454" t="s">
        <v>0</v>
      </c>
      <c r="E132" s="454">
        <v>0</v>
      </c>
      <c r="F132" s="454">
        <v>0</v>
      </c>
      <c r="G132" s="454">
        <f t="shared" si="4"/>
        <v>0</v>
      </c>
      <c r="H132" s="454">
        <v>1</v>
      </c>
      <c r="I132" s="455"/>
      <c r="J132" s="457" t="s">
        <v>1152</v>
      </c>
      <c r="K132" s="472"/>
      <c r="L132" s="455" t="s">
        <v>197</v>
      </c>
      <c r="Q132" s="264"/>
      <c r="R132" s="264"/>
      <c r="S132" s="264"/>
      <c r="T132" s="264"/>
      <c r="U132" s="264"/>
    </row>
    <row r="133" spans="1:21" s="259" customFormat="1" ht="57.75" customHeight="1" x14ac:dyDescent="0.25">
      <c r="A133" s="455" t="e">
        <f t="shared" si="5"/>
        <v>#REF!</v>
      </c>
      <c r="B133" s="455" t="s">
        <v>1077</v>
      </c>
      <c r="C133" s="457" t="s">
        <v>1112</v>
      </c>
      <c r="D133" s="454" t="s">
        <v>0</v>
      </c>
      <c r="E133" s="454">
        <v>0</v>
      </c>
      <c r="F133" s="454">
        <v>0</v>
      </c>
      <c r="G133" s="454">
        <f t="shared" si="4"/>
        <v>0</v>
      </c>
      <c r="H133" s="454">
        <v>4</v>
      </c>
      <c r="I133" s="455"/>
      <c r="J133" s="457" t="s">
        <v>1153</v>
      </c>
      <c r="K133" s="472"/>
      <c r="L133" s="455" t="s">
        <v>197</v>
      </c>
      <c r="Q133" s="264"/>
      <c r="R133" s="264"/>
      <c r="S133" s="264"/>
      <c r="T133" s="264"/>
      <c r="U133" s="264"/>
    </row>
    <row r="134" spans="1:21" s="259" customFormat="1" ht="69" customHeight="1" x14ac:dyDescent="0.25">
      <c r="A134" s="455">
        <v>55</v>
      </c>
      <c r="B134" s="455" t="s">
        <v>708</v>
      </c>
      <c r="C134" s="457" t="s">
        <v>1350</v>
      </c>
      <c r="D134" s="454" t="s">
        <v>0</v>
      </c>
      <c r="E134" s="454">
        <v>0</v>
      </c>
      <c r="F134" s="454">
        <v>0</v>
      </c>
      <c r="G134" s="454">
        <f t="shared" si="4"/>
        <v>0</v>
      </c>
      <c r="H134" s="454">
        <v>1</v>
      </c>
      <c r="I134" s="455"/>
      <c r="J134" s="457" t="s">
        <v>1349</v>
      </c>
      <c r="K134" s="472"/>
      <c r="L134" s="455" t="s">
        <v>140</v>
      </c>
      <c r="Q134" s="264" t="s">
        <v>827</v>
      </c>
      <c r="R134" s="264" t="s">
        <v>840</v>
      </c>
      <c r="S134" s="264"/>
      <c r="T134" s="264"/>
      <c r="U134" s="264"/>
    </row>
    <row r="135" spans="1:21" s="264" customFormat="1" ht="25.5" customHeight="1" x14ac:dyDescent="0.25">
      <c r="A135" s="455">
        <v>56</v>
      </c>
      <c r="B135" s="454" t="s">
        <v>719</v>
      </c>
      <c r="C135" s="457" t="s">
        <v>720</v>
      </c>
      <c r="D135" s="454" t="s">
        <v>0</v>
      </c>
      <c r="E135" s="454">
        <f>VLOOKUP(B135,'[1]Tháng 7.2025'!$B$23:$H$153,4,0)</f>
        <v>10</v>
      </c>
      <c r="F135" s="454">
        <f>VLOOKUP(B135,'[1]Tháng 7.2025'!$B$23:$H$153,5,0)</f>
        <v>2</v>
      </c>
      <c r="G135" s="454">
        <f t="shared" si="4"/>
        <v>8</v>
      </c>
      <c r="H135" s="454">
        <f>VLOOKUP(B135,'[1]Tháng 7.2025'!$B$23:$H$153,7,0)</f>
        <v>10</v>
      </c>
      <c r="I135" s="454"/>
      <c r="J135" s="457" t="s">
        <v>710</v>
      </c>
      <c r="K135" s="471"/>
      <c r="L135" s="456" t="s">
        <v>140</v>
      </c>
      <c r="R135" s="264" t="s">
        <v>840</v>
      </c>
    </row>
    <row r="136" spans="1:21" s="259" customFormat="1" ht="44.25" customHeight="1" x14ac:dyDescent="0.25">
      <c r="A136" s="455">
        <f>A129+1</f>
        <v>55</v>
      </c>
      <c r="B136" s="455" t="s">
        <v>1084</v>
      </c>
      <c r="C136" s="457" t="s">
        <v>1120</v>
      </c>
      <c r="D136" s="454" t="s">
        <v>0</v>
      </c>
      <c r="E136" s="454">
        <v>0</v>
      </c>
      <c r="F136" s="454">
        <v>0</v>
      </c>
      <c r="G136" s="454">
        <f t="shared" si="4"/>
        <v>0</v>
      </c>
      <c r="H136" s="454">
        <v>1</v>
      </c>
      <c r="I136" s="455"/>
      <c r="J136" s="457" t="s">
        <v>1152</v>
      </c>
      <c r="K136" s="472"/>
      <c r="L136" s="455" t="s">
        <v>197</v>
      </c>
      <c r="Q136" s="264"/>
      <c r="R136" s="264"/>
      <c r="S136" s="264"/>
      <c r="T136" s="264"/>
      <c r="U136" s="264"/>
    </row>
    <row r="137" spans="1:21" s="259" customFormat="1" ht="44.25" customHeight="1" x14ac:dyDescent="0.25">
      <c r="A137" s="455" t="e">
        <f>#REF!+1</f>
        <v>#REF!</v>
      </c>
      <c r="B137" s="455" t="s">
        <v>1086</v>
      </c>
      <c r="C137" s="457" t="s">
        <v>1122</v>
      </c>
      <c r="D137" s="454" t="s">
        <v>0</v>
      </c>
      <c r="E137" s="454">
        <v>0</v>
      </c>
      <c r="F137" s="454">
        <v>0</v>
      </c>
      <c r="G137" s="454">
        <f t="shared" si="4"/>
        <v>0</v>
      </c>
      <c r="H137" s="454">
        <v>4</v>
      </c>
      <c r="I137" s="455"/>
      <c r="J137" s="457" t="s">
        <v>1152</v>
      </c>
      <c r="K137" s="472"/>
      <c r="L137" s="455" t="s">
        <v>197</v>
      </c>
      <c r="Q137" s="264"/>
      <c r="R137" s="264"/>
      <c r="S137" s="264"/>
      <c r="T137" s="264"/>
      <c r="U137" s="264"/>
    </row>
    <row r="138" spans="1:21" s="259" customFormat="1" ht="44.25" customHeight="1" x14ac:dyDescent="0.25">
      <c r="A138" s="455">
        <f>A68+1</f>
        <v>34</v>
      </c>
      <c r="B138" s="455" t="s">
        <v>1089</v>
      </c>
      <c r="C138" s="457" t="s">
        <v>1126</v>
      </c>
      <c r="D138" s="454" t="s">
        <v>0</v>
      </c>
      <c r="E138" s="454">
        <v>0</v>
      </c>
      <c r="F138" s="454">
        <v>0</v>
      </c>
      <c r="G138" s="454">
        <f t="shared" si="4"/>
        <v>0</v>
      </c>
      <c r="H138" s="454">
        <v>4</v>
      </c>
      <c r="I138" s="455"/>
      <c r="J138" s="457" t="s">
        <v>1164</v>
      </c>
      <c r="K138" s="472"/>
      <c r="L138" s="455" t="s">
        <v>197</v>
      </c>
      <c r="Q138" s="264"/>
      <c r="R138" s="264"/>
      <c r="S138" s="264"/>
      <c r="T138" s="264"/>
      <c r="U138" s="264"/>
    </row>
    <row r="139" spans="1:21" s="259" customFormat="1" ht="57.75" customHeight="1" x14ac:dyDescent="0.25">
      <c r="A139" s="455">
        <f t="shared" ref="A139:A142" si="6">A138+1</f>
        <v>35</v>
      </c>
      <c r="B139" s="455" t="s">
        <v>357</v>
      </c>
      <c r="C139" s="457" t="s">
        <v>358</v>
      </c>
      <c r="D139" s="454" t="s">
        <v>0</v>
      </c>
      <c r="E139" s="454">
        <v>2</v>
      </c>
      <c r="F139" s="454">
        <v>0</v>
      </c>
      <c r="G139" s="454">
        <f t="shared" si="4"/>
        <v>2</v>
      </c>
      <c r="H139" s="454">
        <v>4</v>
      </c>
      <c r="I139" s="455"/>
      <c r="J139" s="457" t="s">
        <v>1165</v>
      </c>
      <c r="K139" s="472"/>
      <c r="L139" s="455" t="s">
        <v>197</v>
      </c>
      <c r="Q139" s="264"/>
      <c r="R139" s="264"/>
      <c r="S139" s="264"/>
      <c r="T139" s="264"/>
      <c r="U139" s="264"/>
    </row>
    <row r="140" spans="1:21" s="259" customFormat="1" ht="63" customHeight="1" x14ac:dyDescent="0.25">
      <c r="A140" s="455">
        <f>A107+1</f>
        <v>45</v>
      </c>
      <c r="B140" s="455" t="s">
        <v>363</v>
      </c>
      <c r="C140" s="457" t="s">
        <v>364</v>
      </c>
      <c r="D140" s="454" t="s">
        <v>0</v>
      </c>
      <c r="E140" s="454">
        <v>0</v>
      </c>
      <c r="F140" s="454">
        <v>0</v>
      </c>
      <c r="G140" s="454">
        <f t="shared" si="4"/>
        <v>0</v>
      </c>
      <c r="H140" s="454">
        <v>26</v>
      </c>
      <c r="I140" s="455"/>
      <c r="J140" s="457" t="s">
        <v>1167</v>
      </c>
      <c r="K140" s="472"/>
      <c r="L140" s="455" t="s">
        <v>197</v>
      </c>
      <c r="Q140" s="264"/>
      <c r="R140" s="264"/>
      <c r="S140" s="264"/>
      <c r="T140" s="264"/>
      <c r="U140" s="264"/>
    </row>
    <row r="141" spans="1:21" s="259" customFormat="1" ht="63" customHeight="1" x14ac:dyDescent="0.25">
      <c r="A141" s="455">
        <f t="shared" si="6"/>
        <v>46</v>
      </c>
      <c r="B141" s="455" t="s">
        <v>1092</v>
      </c>
      <c r="C141" s="457" t="s">
        <v>1128</v>
      </c>
      <c r="D141" s="454" t="s">
        <v>0</v>
      </c>
      <c r="E141" s="454">
        <v>0</v>
      </c>
      <c r="F141" s="454">
        <v>0</v>
      </c>
      <c r="G141" s="454">
        <f t="shared" si="4"/>
        <v>0</v>
      </c>
      <c r="H141" s="454">
        <v>2</v>
      </c>
      <c r="I141" s="455"/>
      <c r="J141" s="457" t="s">
        <v>1152</v>
      </c>
      <c r="K141" s="472"/>
      <c r="L141" s="455" t="s">
        <v>197</v>
      </c>
      <c r="Q141" s="264"/>
      <c r="R141" s="264"/>
      <c r="S141" s="264"/>
      <c r="T141" s="264"/>
      <c r="U141" s="264"/>
    </row>
    <row r="142" spans="1:21" s="259" customFormat="1" ht="63" customHeight="1" x14ac:dyDescent="0.25">
      <c r="A142" s="455">
        <f t="shared" si="6"/>
        <v>47</v>
      </c>
      <c r="B142" s="455" t="s">
        <v>1093</v>
      </c>
      <c r="C142" s="457" t="s">
        <v>1129</v>
      </c>
      <c r="D142" s="454" t="s">
        <v>0</v>
      </c>
      <c r="E142" s="454">
        <v>0</v>
      </c>
      <c r="F142" s="454">
        <v>0</v>
      </c>
      <c r="G142" s="454">
        <f t="shared" si="4"/>
        <v>0</v>
      </c>
      <c r="H142" s="454">
        <v>1</v>
      </c>
      <c r="I142" s="455"/>
      <c r="J142" s="457" t="s">
        <v>1152</v>
      </c>
      <c r="K142" s="472"/>
      <c r="L142" s="455" t="s">
        <v>197</v>
      </c>
      <c r="Q142" s="264"/>
      <c r="R142" s="264"/>
      <c r="S142" s="264"/>
      <c r="T142" s="264"/>
      <c r="U142" s="264"/>
    </row>
    <row r="143" spans="1:21" s="264" customFormat="1" ht="45" customHeight="1" x14ac:dyDescent="0.25">
      <c r="A143" s="455" t="e">
        <f>#REF!+1</f>
        <v>#REF!</v>
      </c>
      <c r="B143" s="454" t="s">
        <v>715</v>
      </c>
      <c r="C143" s="457" t="s">
        <v>714</v>
      </c>
      <c r="D143" s="454" t="s">
        <v>0</v>
      </c>
      <c r="E143" s="454">
        <v>0</v>
      </c>
      <c r="F143" s="454">
        <v>0</v>
      </c>
      <c r="G143" s="454">
        <f t="shared" si="4"/>
        <v>0</v>
      </c>
      <c r="H143" s="454">
        <f>VLOOKUP(B143,'[1]Tháng 7.2025'!$B$23:$H$153,7,0)</f>
        <v>4</v>
      </c>
      <c r="I143" s="454"/>
      <c r="J143" s="457" t="s">
        <v>710</v>
      </c>
      <c r="K143" s="471"/>
      <c r="L143" s="456" t="s">
        <v>140</v>
      </c>
    </row>
    <row r="144" spans="1:21" s="258" customFormat="1" ht="51.75" customHeight="1" x14ac:dyDescent="0.25">
      <c r="A144" s="455">
        <v>57</v>
      </c>
      <c r="B144" s="454" t="s">
        <v>615</v>
      </c>
      <c r="C144" s="457" t="s">
        <v>616</v>
      </c>
      <c r="D144" s="455" t="s">
        <v>0</v>
      </c>
      <c r="E144" s="454">
        <v>1000</v>
      </c>
      <c r="F144" s="454">
        <v>80</v>
      </c>
      <c r="G144" s="454">
        <f>E144-F144</f>
        <v>920</v>
      </c>
      <c r="H144" s="454">
        <v>20</v>
      </c>
      <c r="I144" s="460"/>
      <c r="J144" s="457" t="s">
        <v>617</v>
      </c>
      <c r="K144" s="472">
        <v>1815</v>
      </c>
      <c r="L144" s="455" t="s">
        <v>76</v>
      </c>
      <c r="M144" s="258" t="s">
        <v>895</v>
      </c>
      <c r="N144" s="258" t="s">
        <v>896</v>
      </c>
      <c r="O144" s="258" t="s">
        <v>812</v>
      </c>
      <c r="P144" s="258" t="s">
        <v>813</v>
      </c>
      <c r="Q144" s="257" t="s">
        <v>827</v>
      </c>
      <c r="R144" s="257" t="s">
        <v>840</v>
      </c>
      <c r="S144" s="257" t="s">
        <v>897</v>
      </c>
      <c r="T144" s="257"/>
      <c r="U144" s="257"/>
    </row>
    <row r="145" spans="1:21" s="258" customFormat="1" ht="51.75" customHeight="1" x14ac:dyDescent="0.25">
      <c r="A145" s="455">
        <f>A144+1</f>
        <v>58</v>
      </c>
      <c r="B145" s="454" t="s">
        <v>618</v>
      </c>
      <c r="C145" s="457" t="s">
        <v>619</v>
      </c>
      <c r="D145" s="455" t="s">
        <v>0</v>
      </c>
      <c r="E145" s="454">
        <v>175</v>
      </c>
      <c r="F145" s="454">
        <v>32</v>
      </c>
      <c r="G145" s="454">
        <f>E145-F145</f>
        <v>143</v>
      </c>
      <c r="H145" s="454">
        <v>54</v>
      </c>
      <c r="I145" s="460"/>
      <c r="J145" s="457" t="s">
        <v>620</v>
      </c>
      <c r="K145" s="472"/>
      <c r="L145" s="455" t="s">
        <v>76</v>
      </c>
      <c r="M145" s="258" t="s">
        <v>895</v>
      </c>
      <c r="N145" s="258" t="s">
        <v>896</v>
      </c>
      <c r="O145" s="258" t="s">
        <v>812</v>
      </c>
      <c r="P145" s="258" t="s">
        <v>813</v>
      </c>
      <c r="Q145" s="257" t="s">
        <v>827</v>
      </c>
      <c r="R145" s="257" t="s">
        <v>840</v>
      </c>
      <c r="S145" s="257" t="s">
        <v>897</v>
      </c>
      <c r="T145" s="257" t="s">
        <v>849</v>
      </c>
      <c r="U145" s="257"/>
    </row>
    <row r="146" spans="1:21" s="260" customFormat="1" ht="34.5" customHeight="1" x14ac:dyDescent="0.25">
      <c r="A146" s="459" t="s">
        <v>20</v>
      </c>
      <c r="B146" s="455"/>
      <c r="C146" s="456"/>
      <c r="D146" s="455"/>
      <c r="E146" s="454"/>
      <c r="F146" s="454"/>
      <c r="G146" s="454"/>
      <c r="H146" s="454"/>
      <c r="I146" s="455"/>
      <c r="J146" s="455"/>
      <c r="K146" s="470"/>
      <c r="L146" s="469"/>
      <c r="Q146" s="285"/>
      <c r="R146" s="285"/>
      <c r="S146" s="285"/>
      <c r="T146" s="285"/>
      <c r="U146" s="285"/>
    </row>
    <row r="147" spans="1:21" s="257" customFormat="1" ht="60.75" customHeight="1" x14ac:dyDescent="0.25">
      <c r="A147" s="455">
        <v>59</v>
      </c>
      <c r="B147" s="455" t="s">
        <v>49</v>
      </c>
      <c r="C147" s="457" t="s">
        <v>50</v>
      </c>
      <c r="D147" s="455" t="s">
        <v>51</v>
      </c>
      <c r="E147" s="454">
        <v>0</v>
      </c>
      <c r="F147" s="454">
        <v>0</v>
      </c>
      <c r="G147" s="454">
        <f t="shared" ref="G147" si="7">E147-F147</f>
        <v>0</v>
      </c>
      <c r="H147" s="454">
        <v>30</v>
      </c>
      <c r="I147" s="455"/>
      <c r="J147" s="457" t="s">
        <v>876</v>
      </c>
      <c r="K147" s="472">
        <v>0</v>
      </c>
      <c r="L147" s="457" t="s">
        <v>140</v>
      </c>
      <c r="M147" s="386"/>
      <c r="N147" s="386" t="s">
        <v>896</v>
      </c>
      <c r="O147" s="386"/>
      <c r="Q147" s="386" t="s">
        <v>827</v>
      </c>
      <c r="R147" s="386" t="s">
        <v>840</v>
      </c>
      <c r="S147" s="386"/>
    </row>
    <row r="148" spans="1:21" s="257" customFormat="1" ht="43.5" customHeight="1" x14ac:dyDescent="0.25">
      <c r="A148" s="455">
        <v>60</v>
      </c>
      <c r="B148" s="455" t="s">
        <v>166</v>
      </c>
      <c r="C148" s="457" t="s">
        <v>167</v>
      </c>
      <c r="D148" s="455" t="s">
        <v>51</v>
      </c>
      <c r="E148" s="454">
        <v>0</v>
      </c>
      <c r="F148" s="454">
        <v>81</v>
      </c>
      <c r="G148" s="454">
        <v>0</v>
      </c>
      <c r="H148" s="454">
        <v>30</v>
      </c>
      <c r="I148" s="455"/>
      <c r="J148" s="457" t="s">
        <v>168</v>
      </c>
      <c r="K148" s="472">
        <v>4</v>
      </c>
      <c r="L148" s="456" t="s">
        <v>140</v>
      </c>
      <c r="N148" s="257" t="s">
        <v>896</v>
      </c>
      <c r="Q148" s="257" t="s">
        <v>827</v>
      </c>
      <c r="R148" s="257" t="s">
        <v>840</v>
      </c>
    </row>
    <row r="149" spans="1:21" s="258" customFormat="1" ht="30.75" customHeight="1" x14ac:dyDescent="0.25">
      <c r="A149" s="455">
        <f t="shared" ref="A149:A177" si="8">A148+1</f>
        <v>61</v>
      </c>
      <c r="B149" s="455" t="s">
        <v>174</v>
      </c>
      <c r="C149" s="456" t="s">
        <v>102</v>
      </c>
      <c r="D149" s="455" t="s">
        <v>66</v>
      </c>
      <c r="E149" s="454">
        <v>1800000</v>
      </c>
      <c r="F149" s="454">
        <v>47500</v>
      </c>
      <c r="G149" s="454">
        <v>0</v>
      </c>
      <c r="H149" s="454">
        <f>VLOOKUP(B149,'[1]Tháng 7.2025'!$B$23:$H$153,7,0)</f>
        <v>150000</v>
      </c>
      <c r="I149" s="455"/>
      <c r="J149" s="457" t="s">
        <v>103</v>
      </c>
      <c r="K149" s="471">
        <v>239581</v>
      </c>
      <c r="L149" s="455" t="s">
        <v>88</v>
      </c>
      <c r="M149" s="258" t="s">
        <v>895</v>
      </c>
      <c r="N149" s="258" t="s">
        <v>896</v>
      </c>
      <c r="Q149" s="257" t="s">
        <v>827</v>
      </c>
      <c r="R149" s="257" t="s">
        <v>840</v>
      </c>
      <c r="S149" s="257"/>
      <c r="T149" s="257" t="s">
        <v>849</v>
      </c>
      <c r="U149" s="257"/>
    </row>
    <row r="150" spans="1:21" s="258" customFormat="1" ht="30.75" customHeight="1" x14ac:dyDescent="0.25">
      <c r="A150" s="455">
        <f t="shared" si="8"/>
        <v>62</v>
      </c>
      <c r="B150" s="455" t="s">
        <v>880</v>
      </c>
      <c r="C150" s="456" t="s">
        <v>881</v>
      </c>
      <c r="D150" s="455" t="s">
        <v>66</v>
      </c>
      <c r="E150" s="454">
        <v>1800000</v>
      </c>
      <c r="F150" s="454">
        <v>0</v>
      </c>
      <c r="G150" s="454">
        <v>0</v>
      </c>
      <c r="H150" s="454">
        <v>30500</v>
      </c>
      <c r="I150" s="455"/>
      <c r="J150" s="457" t="s">
        <v>862</v>
      </c>
      <c r="K150" s="471"/>
      <c r="L150" s="455" t="s">
        <v>88</v>
      </c>
      <c r="M150" s="258" t="s">
        <v>895</v>
      </c>
      <c r="N150" s="258" t="s">
        <v>896</v>
      </c>
      <c r="Q150" s="257" t="s">
        <v>827</v>
      </c>
      <c r="R150" s="257" t="s">
        <v>840</v>
      </c>
      <c r="S150" s="257"/>
      <c r="T150" s="257" t="s">
        <v>849</v>
      </c>
      <c r="U150" s="257"/>
    </row>
    <row r="151" spans="1:21" s="258" customFormat="1" ht="30.75" customHeight="1" x14ac:dyDescent="0.25">
      <c r="A151" s="455">
        <f t="shared" si="8"/>
        <v>63</v>
      </c>
      <c r="B151" s="455" t="s">
        <v>147</v>
      </c>
      <c r="C151" s="457" t="s">
        <v>148</v>
      </c>
      <c r="D151" s="455" t="s">
        <v>66</v>
      </c>
      <c r="E151" s="454">
        <v>0</v>
      </c>
      <c r="F151" s="454">
        <v>0</v>
      </c>
      <c r="G151" s="454">
        <v>0</v>
      </c>
      <c r="H151" s="454">
        <f>VLOOKUP(B151,'[1]Tháng 7.2025'!$B$23:$H$153,7,0)</f>
        <v>100</v>
      </c>
      <c r="I151" s="454"/>
      <c r="J151" s="461" t="s">
        <v>374</v>
      </c>
      <c r="K151" s="472">
        <v>5379</v>
      </c>
      <c r="L151" s="455" t="s">
        <v>385</v>
      </c>
      <c r="N151" s="258" t="s">
        <v>896</v>
      </c>
      <c r="Q151" s="257" t="s">
        <v>827</v>
      </c>
      <c r="R151" s="257" t="s">
        <v>840</v>
      </c>
      <c r="S151" s="257"/>
      <c r="T151" s="257"/>
      <c r="U151" s="257"/>
    </row>
    <row r="152" spans="1:21" s="258" customFormat="1" ht="30.75" customHeight="1" x14ac:dyDescent="0.25">
      <c r="A152" s="455">
        <f t="shared" si="8"/>
        <v>64</v>
      </c>
      <c r="B152" s="455" t="s">
        <v>149</v>
      </c>
      <c r="C152" s="457" t="s">
        <v>150</v>
      </c>
      <c r="D152" s="455" t="s">
        <v>0</v>
      </c>
      <c r="E152" s="454">
        <v>0</v>
      </c>
      <c r="F152" s="454">
        <v>0</v>
      </c>
      <c r="G152" s="454">
        <v>0</v>
      </c>
      <c r="H152" s="454">
        <v>5000</v>
      </c>
      <c r="I152" s="454"/>
      <c r="J152" s="461" t="s">
        <v>151</v>
      </c>
      <c r="K152" s="472">
        <v>15000</v>
      </c>
      <c r="L152" s="455" t="s">
        <v>385</v>
      </c>
      <c r="M152" s="258" t="s">
        <v>895</v>
      </c>
      <c r="N152" s="258" t="s">
        <v>896</v>
      </c>
      <c r="Q152" s="257" t="s">
        <v>827</v>
      </c>
      <c r="R152" s="257" t="s">
        <v>840</v>
      </c>
      <c r="S152" s="257"/>
      <c r="T152" s="257"/>
      <c r="U152" s="257"/>
    </row>
    <row r="153" spans="1:21" s="259" customFormat="1" ht="30.75" customHeight="1" x14ac:dyDescent="0.25">
      <c r="A153" s="455">
        <f t="shared" si="8"/>
        <v>65</v>
      </c>
      <c r="B153" s="454" t="s">
        <v>883</v>
      </c>
      <c r="C153" s="457" t="s">
        <v>884</v>
      </c>
      <c r="D153" s="455" t="s">
        <v>0</v>
      </c>
      <c r="E153" s="454">
        <v>0</v>
      </c>
      <c r="F153" s="454">
        <v>0</v>
      </c>
      <c r="G153" s="454">
        <v>0</v>
      </c>
      <c r="H153" s="454">
        <v>150</v>
      </c>
      <c r="I153" s="454"/>
      <c r="J153" s="461" t="s">
        <v>906</v>
      </c>
      <c r="K153" s="472"/>
      <c r="L153" s="455" t="s">
        <v>385</v>
      </c>
      <c r="M153" s="259" t="s">
        <v>895</v>
      </c>
      <c r="N153" s="259" t="s">
        <v>896</v>
      </c>
      <c r="Q153" s="264"/>
      <c r="R153" s="264"/>
      <c r="S153" s="264"/>
      <c r="T153" s="264"/>
      <c r="U153" s="264"/>
    </row>
    <row r="154" spans="1:21" s="259" customFormat="1" ht="30.75" customHeight="1" x14ac:dyDescent="0.25">
      <c r="A154" s="455">
        <f t="shared" si="8"/>
        <v>66</v>
      </c>
      <c r="B154" s="454" t="s">
        <v>885</v>
      </c>
      <c r="C154" s="457" t="s">
        <v>886</v>
      </c>
      <c r="D154" s="454" t="s">
        <v>0</v>
      </c>
      <c r="E154" s="454">
        <v>0</v>
      </c>
      <c r="F154" s="454">
        <v>0</v>
      </c>
      <c r="G154" s="454">
        <v>0</v>
      </c>
      <c r="H154" s="454">
        <v>100</v>
      </c>
      <c r="I154" s="454"/>
      <c r="J154" s="461" t="s">
        <v>906</v>
      </c>
      <c r="K154" s="472"/>
      <c r="L154" s="455" t="s">
        <v>385</v>
      </c>
      <c r="M154" s="259" t="s">
        <v>895</v>
      </c>
      <c r="N154" s="259" t="s">
        <v>896</v>
      </c>
      <c r="Q154" s="264"/>
      <c r="R154" s="264"/>
      <c r="S154" s="264"/>
      <c r="T154" s="264"/>
      <c r="U154" s="264"/>
    </row>
    <row r="155" spans="1:21" s="259" customFormat="1" ht="30.75" customHeight="1" x14ac:dyDescent="0.25">
      <c r="A155" s="455">
        <f t="shared" si="8"/>
        <v>67</v>
      </c>
      <c r="B155" s="454" t="s">
        <v>887</v>
      </c>
      <c r="C155" s="457" t="s">
        <v>888</v>
      </c>
      <c r="D155" s="454" t="s">
        <v>66</v>
      </c>
      <c r="E155" s="454">
        <v>0</v>
      </c>
      <c r="F155" s="454">
        <v>0</v>
      </c>
      <c r="G155" s="454">
        <v>0</v>
      </c>
      <c r="H155" s="454">
        <v>10</v>
      </c>
      <c r="I155" s="454"/>
      <c r="J155" s="461" t="s">
        <v>906</v>
      </c>
      <c r="K155" s="472"/>
      <c r="L155" s="455" t="s">
        <v>385</v>
      </c>
      <c r="M155" s="259" t="s">
        <v>895</v>
      </c>
      <c r="N155" s="259" t="s">
        <v>896</v>
      </c>
      <c r="Q155" s="264"/>
      <c r="R155" s="264"/>
      <c r="S155" s="264"/>
      <c r="T155" s="264"/>
      <c r="U155" s="264"/>
    </row>
    <row r="156" spans="1:21" s="259" customFormat="1" ht="30.75" customHeight="1" x14ac:dyDescent="0.25">
      <c r="A156" s="455">
        <f t="shared" si="8"/>
        <v>68</v>
      </c>
      <c r="B156" s="454" t="s">
        <v>552</v>
      </c>
      <c r="C156" s="457" t="s">
        <v>553</v>
      </c>
      <c r="D156" s="454" t="s">
        <v>0</v>
      </c>
      <c r="E156" s="454">
        <v>0</v>
      </c>
      <c r="F156" s="454">
        <v>0</v>
      </c>
      <c r="G156" s="454">
        <v>0</v>
      </c>
      <c r="H156" s="454">
        <v>10</v>
      </c>
      <c r="I156" s="454"/>
      <c r="J156" s="461" t="s">
        <v>906</v>
      </c>
      <c r="K156" s="472"/>
      <c r="L156" s="455" t="s">
        <v>385</v>
      </c>
      <c r="M156" s="259" t="s">
        <v>895</v>
      </c>
      <c r="N156" s="259" t="s">
        <v>896</v>
      </c>
      <c r="Q156" s="264"/>
      <c r="R156" s="264"/>
      <c r="S156" s="264"/>
      <c r="T156" s="264"/>
      <c r="U156" s="264"/>
    </row>
    <row r="157" spans="1:21" s="259" customFormat="1" ht="30.75" customHeight="1" x14ac:dyDescent="0.25">
      <c r="A157" s="455">
        <f t="shared" si="8"/>
        <v>69</v>
      </c>
      <c r="B157" s="454" t="s">
        <v>889</v>
      </c>
      <c r="C157" s="457" t="s">
        <v>890</v>
      </c>
      <c r="D157" s="454" t="s">
        <v>390</v>
      </c>
      <c r="E157" s="454">
        <v>0</v>
      </c>
      <c r="F157" s="454">
        <v>0</v>
      </c>
      <c r="G157" s="454">
        <v>0</v>
      </c>
      <c r="H157" s="454">
        <v>100</v>
      </c>
      <c r="I157" s="454"/>
      <c r="J157" s="461" t="s">
        <v>906</v>
      </c>
      <c r="K157" s="472"/>
      <c r="L157" s="455" t="s">
        <v>385</v>
      </c>
      <c r="M157" s="259" t="s">
        <v>895</v>
      </c>
      <c r="N157" s="259" t="s">
        <v>896</v>
      </c>
      <c r="Q157" s="264"/>
      <c r="R157" s="264"/>
      <c r="S157" s="264"/>
      <c r="T157" s="264"/>
      <c r="U157" s="264"/>
    </row>
    <row r="158" spans="1:21" s="259" customFormat="1" ht="30.75" customHeight="1" x14ac:dyDescent="0.25">
      <c r="A158" s="455">
        <f t="shared" si="8"/>
        <v>70</v>
      </c>
      <c r="B158" s="454" t="s">
        <v>891</v>
      </c>
      <c r="C158" s="457" t="s">
        <v>892</v>
      </c>
      <c r="D158" s="454" t="s">
        <v>390</v>
      </c>
      <c r="E158" s="454">
        <v>0</v>
      </c>
      <c r="F158" s="454">
        <v>0</v>
      </c>
      <c r="G158" s="454">
        <v>0</v>
      </c>
      <c r="H158" s="454">
        <v>100</v>
      </c>
      <c r="I158" s="454"/>
      <c r="J158" s="461" t="s">
        <v>906</v>
      </c>
      <c r="K158" s="472"/>
      <c r="L158" s="455" t="s">
        <v>385</v>
      </c>
      <c r="M158" s="259" t="s">
        <v>895</v>
      </c>
      <c r="N158" s="259" t="s">
        <v>896</v>
      </c>
      <c r="Q158" s="264"/>
      <c r="R158" s="264"/>
      <c r="S158" s="264"/>
      <c r="T158" s="264"/>
      <c r="U158" s="264"/>
    </row>
    <row r="159" spans="1:21" s="259" customFormat="1" ht="25.5" x14ac:dyDescent="0.25">
      <c r="A159" s="455">
        <f t="shared" si="8"/>
        <v>71</v>
      </c>
      <c r="B159" s="455" t="s">
        <v>975</v>
      </c>
      <c r="C159" s="457" t="s">
        <v>1007</v>
      </c>
      <c r="D159" s="454" t="s">
        <v>0</v>
      </c>
      <c r="E159" s="454">
        <v>0</v>
      </c>
      <c r="F159" s="454">
        <v>0</v>
      </c>
      <c r="G159" s="454">
        <v>0</v>
      </c>
      <c r="H159" s="454">
        <v>200</v>
      </c>
      <c r="I159" s="455"/>
      <c r="J159" s="457" t="s">
        <v>1169</v>
      </c>
      <c r="K159" s="472"/>
      <c r="L159" s="455" t="s">
        <v>197</v>
      </c>
      <c r="Q159" s="264"/>
      <c r="R159" s="264"/>
      <c r="S159" s="264"/>
      <c r="T159" s="264"/>
      <c r="U159" s="264"/>
    </row>
    <row r="160" spans="1:21" s="259" customFormat="1" ht="15.75" x14ac:dyDescent="0.25">
      <c r="A160" s="455">
        <f t="shared" si="8"/>
        <v>72</v>
      </c>
      <c r="B160" s="455" t="s">
        <v>1095</v>
      </c>
      <c r="C160" s="457" t="s">
        <v>1131</v>
      </c>
      <c r="D160" s="454" t="s">
        <v>0</v>
      </c>
      <c r="E160" s="454">
        <v>0</v>
      </c>
      <c r="F160" s="454">
        <v>0</v>
      </c>
      <c r="G160" s="454">
        <v>0</v>
      </c>
      <c r="H160" s="454">
        <v>32</v>
      </c>
      <c r="I160" s="455"/>
      <c r="J160" s="457" t="s">
        <v>1169</v>
      </c>
      <c r="K160" s="472"/>
      <c r="L160" s="455" t="s">
        <v>197</v>
      </c>
      <c r="Q160" s="264"/>
      <c r="R160" s="264"/>
      <c r="S160" s="264"/>
      <c r="T160" s="264"/>
      <c r="U160" s="264"/>
    </row>
    <row r="161" spans="1:21" s="259" customFormat="1" ht="15.75" x14ac:dyDescent="0.25">
      <c r="A161" s="455">
        <f t="shared" si="8"/>
        <v>73</v>
      </c>
      <c r="B161" s="455" t="s">
        <v>1096</v>
      </c>
      <c r="C161" s="457" t="s">
        <v>1132</v>
      </c>
      <c r="D161" s="454" t="s">
        <v>0</v>
      </c>
      <c r="E161" s="454">
        <v>0</v>
      </c>
      <c r="F161" s="454">
        <v>0</v>
      </c>
      <c r="G161" s="454">
        <v>0</v>
      </c>
      <c r="H161" s="454">
        <v>32</v>
      </c>
      <c r="I161" s="455"/>
      <c r="J161" s="457" t="s">
        <v>1169</v>
      </c>
      <c r="K161" s="472"/>
      <c r="L161" s="455" t="s">
        <v>197</v>
      </c>
      <c r="Q161" s="264"/>
      <c r="R161" s="264"/>
      <c r="S161" s="264"/>
      <c r="T161" s="264"/>
      <c r="U161" s="264"/>
    </row>
    <row r="162" spans="1:21" s="259" customFormat="1" ht="25.5" x14ac:dyDescent="0.25">
      <c r="A162" s="455">
        <f t="shared" si="8"/>
        <v>74</v>
      </c>
      <c r="B162" s="455" t="s">
        <v>1097</v>
      </c>
      <c r="C162" s="457" t="s">
        <v>1133</v>
      </c>
      <c r="D162" s="454" t="s">
        <v>0</v>
      </c>
      <c r="E162" s="454">
        <v>0</v>
      </c>
      <c r="F162" s="454">
        <v>0</v>
      </c>
      <c r="G162" s="454">
        <v>0</v>
      </c>
      <c r="H162" s="454">
        <v>80</v>
      </c>
      <c r="I162" s="455"/>
      <c r="J162" s="457" t="s">
        <v>1169</v>
      </c>
      <c r="K162" s="472"/>
      <c r="L162" s="455" t="s">
        <v>197</v>
      </c>
      <c r="Q162" s="264"/>
      <c r="R162" s="264"/>
      <c r="S162" s="264"/>
      <c r="T162" s="264"/>
      <c r="U162" s="264"/>
    </row>
    <row r="163" spans="1:21" s="259" customFormat="1" ht="26.25" customHeight="1" x14ac:dyDescent="0.25">
      <c r="A163" s="455">
        <v>65</v>
      </c>
      <c r="B163" s="457" t="s">
        <v>1351</v>
      </c>
      <c r="C163" s="457" t="s">
        <v>1200</v>
      </c>
      <c r="D163" s="454" t="s">
        <v>2</v>
      </c>
      <c r="E163" s="454">
        <v>0</v>
      </c>
      <c r="F163" s="454">
        <v>0</v>
      </c>
      <c r="G163" s="454">
        <v>0</v>
      </c>
      <c r="H163" s="454">
        <v>10</v>
      </c>
      <c r="I163" s="455"/>
      <c r="J163" s="457" t="s">
        <v>1169</v>
      </c>
      <c r="K163" s="472"/>
      <c r="L163" s="455" t="s">
        <v>197</v>
      </c>
      <c r="Q163" s="264" t="s">
        <v>827</v>
      </c>
      <c r="R163" s="257" t="s">
        <v>840</v>
      </c>
      <c r="S163" s="264"/>
      <c r="T163" s="264"/>
      <c r="U163" s="264"/>
    </row>
    <row r="164" spans="1:21" s="259" customFormat="1" ht="33" customHeight="1" x14ac:dyDescent="0.25">
      <c r="A164" s="455">
        <v>66</v>
      </c>
      <c r="B164" s="457" t="s">
        <v>1352</v>
      </c>
      <c r="C164" s="457" t="s">
        <v>1353</v>
      </c>
      <c r="D164" s="454" t="s">
        <v>51</v>
      </c>
      <c r="E164" s="454">
        <v>0</v>
      </c>
      <c r="F164" s="454">
        <v>0</v>
      </c>
      <c r="G164" s="454">
        <v>0</v>
      </c>
      <c r="H164" s="454">
        <v>10</v>
      </c>
      <c r="I164" s="455"/>
      <c r="J164" s="457" t="s">
        <v>1169</v>
      </c>
      <c r="K164" s="472"/>
      <c r="L164" s="455" t="s">
        <v>197</v>
      </c>
      <c r="Q164" s="264" t="s">
        <v>827</v>
      </c>
      <c r="R164" s="257" t="s">
        <v>840</v>
      </c>
      <c r="S164" s="264"/>
      <c r="T164" s="264"/>
      <c r="U164" s="264"/>
    </row>
    <row r="165" spans="1:21" s="259" customFormat="1" ht="15.75" x14ac:dyDescent="0.25">
      <c r="A165" s="455">
        <f>A162+1</f>
        <v>75</v>
      </c>
      <c r="B165" s="455" t="s">
        <v>1098</v>
      </c>
      <c r="C165" s="457" t="s">
        <v>1134</v>
      </c>
      <c r="D165" s="454" t="s">
        <v>0</v>
      </c>
      <c r="E165" s="454">
        <v>0</v>
      </c>
      <c r="F165" s="454">
        <v>0</v>
      </c>
      <c r="G165" s="454">
        <v>0</v>
      </c>
      <c r="H165" s="454">
        <v>30</v>
      </c>
      <c r="I165" s="455"/>
      <c r="J165" s="457" t="s">
        <v>1169</v>
      </c>
      <c r="K165" s="472"/>
      <c r="L165" s="455" t="s">
        <v>197</v>
      </c>
      <c r="Q165" s="264" t="s">
        <v>827</v>
      </c>
      <c r="R165" s="257" t="s">
        <v>840</v>
      </c>
      <c r="S165" s="264"/>
      <c r="T165" s="264"/>
      <c r="U165" s="264"/>
    </row>
    <row r="166" spans="1:21" s="259" customFormat="1" ht="15.75" x14ac:dyDescent="0.25">
      <c r="A166" s="455">
        <f t="shared" si="8"/>
        <v>76</v>
      </c>
      <c r="B166" s="455" t="s">
        <v>552</v>
      </c>
      <c r="C166" s="457" t="s">
        <v>553</v>
      </c>
      <c r="D166" s="454" t="s">
        <v>0</v>
      </c>
      <c r="E166" s="454">
        <v>0</v>
      </c>
      <c r="F166" s="454">
        <v>0</v>
      </c>
      <c r="G166" s="454">
        <v>0</v>
      </c>
      <c r="H166" s="454">
        <v>36</v>
      </c>
      <c r="I166" s="455"/>
      <c r="J166" s="457" t="s">
        <v>1169</v>
      </c>
      <c r="K166" s="472"/>
      <c r="L166" s="455" t="s">
        <v>197</v>
      </c>
      <c r="Q166" s="264" t="s">
        <v>827</v>
      </c>
      <c r="R166" s="257" t="s">
        <v>840</v>
      </c>
      <c r="S166" s="264"/>
      <c r="T166" s="264"/>
      <c r="U166" s="264"/>
    </row>
    <row r="167" spans="1:21" s="259" customFormat="1" ht="15.75" x14ac:dyDescent="0.25">
      <c r="A167" s="455">
        <f t="shared" si="8"/>
        <v>77</v>
      </c>
      <c r="B167" s="455" t="s">
        <v>885</v>
      </c>
      <c r="C167" s="457" t="s">
        <v>886</v>
      </c>
      <c r="D167" s="454" t="s">
        <v>0</v>
      </c>
      <c r="E167" s="454">
        <v>0</v>
      </c>
      <c r="F167" s="454">
        <v>0</v>
      </c>
      <c r="G167" s="454">
        <v>0</v>
      </c>
      <c r="H167" s="454">
        <v>200</v>
      </c>
      <c r="I167" s="455"/>
      <c r="J167" s="457" t="s">
        <v>1169</v>
      </c>
      <c r="K167" s="472"/>
      <c r="L167" s="455" t="s">
        <v>197</v>
      </c>
      <c r="P167" s="259" t="s">
        <v>813</v>
      </c>
      <c r="Q167" s="264" t="s">
        <v>827</v>
      </c>
      <c r="R167" s="257" t="s">
        <v>840</v>
      </c>
      <c r="S167" s="264"/>
      <c r="T167" s="264"/>
      <c r="U167" s="264"/>
    </row>
    <row r="168" spans="1:21" s="259" customFormat="1" ht="30.75" customHeight="1" x14ac:dyDescent="0.25">
      <c r="A168" s="455">
        <v>67</v>
      </c>
      <c r="B168" s="455" t="s">
        <v>199</v>
      </c>
      <c r="C168" s="457" t="s">
        <v>799</v>
      </c>
      <c r="D168" s="455" t="s">
        <v>2</v>
      </c>
      <c r="E168" s="454">
        <v>0</v>
      </c>
      <c r="F168" s="454">
        <v>0</v>
      </c>
      <c r="G168" s="454">
        <v>0</v>
      </c>
      <c r="H168" s="454">
        <v>50</v>
      </c>
      <c r="I168" s="454"/>
      <c r="J168" s="457" t="s">
        <v>802</v>
      </c>
      <c r="K168" s="472"/>
      <c r="L168" s="455" t="s">
        <v>385</v>
      </c>
      <c r="M168" s="259" t="s">
        <v>895</v>
      </c>
      <c r="N168" s="462" t="s">
        <v>896</v>
      </c>
      <c r="P168" s="259" t="s">
        <v>813</v>
      </c>
      <c r="Q168" s="264" t="s">
        <v>827</v>
      </c>
      <c r="R168" s="257" t="s">
        <v>840</v>
      </c>
      <c r="S168" s="264"/>
      <c r="T168" s="264"/>
      <c r="U168" s="264"/>
    </row>
    <row r="169" spans="1:21" s="259" customFormat="1" ht="30.75" customHeight="1" x14ac:dyDescent="0.25">
      <c r="A169" s="455">
        <f t="shared" si="8"/>
        <v>68</v>
      </c>
      <c r="B169" s="455" t="s">
        <v>1055</v>
      </c>
      <c r="C169" s="457" t="s">
        <v>1056</v>
      </c>
      <c r="D169" s="455" t="s">
        <v>804</v>
      </c>
      <c r="E169" s="454">
        <v>0</v>
      </c>
      <c r="F169" s="454">
        <v>0</v>
      </c>
      <c r="G169" s="454">
        <v>0</v>
      </c>
      <c r="H169" s="454">
        <v>50</v>
      </c>
      <c r="I169" s="454"/>
      <c r="J169" s="457" t="s">
        <v>803</v>
      </c>
      <c r="K169" s="472"/>
      <c r="L169" s="455" t="s">
        <v>385</v>
      </c>
      <c r="M169" s="259" t="s">
        <v>895</v>
      </c>
      <c r="N169" s="462" t="s">
        <v>896</v>
      </c>
      <c r="Q169" s="264" t="s">
        <v>827</v>
      </c>
      <c r="R169" s="257" t="s">
        <v>840</v>
      </c>
      <c r="S169" s="264"/>
      <c r="T169" s="264"/>
      <c r="U169" s="264"/>
    </row>
    <row r="170" spans="1:21" s="259" customFormat="1" ht="30.75" customHeight="1" x14ac:dyDescent="0.25">
      <c r="A170" s="455">
        <f t="shared" si="8"/>
        <v>69</v>
      </c>
      <c r="B170" s="455" t="s">
        <v>1057</v>
      </c>
      <c r="C170" s="457" t="s">
        <v>1058</v>
      </c>
      <c r="D170" s="455" t="s">
        <v>804</v>
      </c>
      <c r="E170" s="454">
        <v>0</v>
      </c>
      <c r="F170" s="454">
        <v>0</v>
      </c>
      <c r="G170" s="454">
        <v>0</v>
      </c>
      <c r="H170" s="454">
        <v>50</v>
      </c>
      <c r="I170" s="454"/>
      <c r="J170" s="457" t="s">
        <v>803</v>
      </c>
      <c r="K170" s="472"/>
      <c r="L170" s="455" t="s">
        <v>385</v>
      </c>
      <c r="M170" s="259" t="s">
        <v>895</v>
      </c>
      <c r="N170" s="462" t="s">
        <v>896</v>
      </c>
      <c r="Q170" s="264" t="s">
        <v>827</v>
      </c>
      <c r="R170" s="257" t="s">
        <v>840</v>
      </c>
      <c r="S170" s="264"/>
      <c r="T170" s="264"/>
      <c r="U170" s="264"/>
    </row>
    <row r="171" spans="1:21" s="258" customFormat="1" ht="53.25" customHeight="1" x14ac:dyDescent="0.25">
      <c r="A171" s="455">
        <f t="shared" si="8"/>
        <v>70</v>
      </c>
      <c r="B171" s="454" t="s">
        <v>40</v>
      </c>
      <c r="C171" s="457" t="s">
        <v>1</v>
      </c>
      <c r="D171" s="455" t="s">
        <v>2</v>
      </c>
      <c r="E171" s="454">
        <v>16200</v>
      </c>
      <c r="F171" s="454">
        <v>6000</v>
      </c>
      <c r="G171" s="454">
        <v>0</v>
      </c>
      <c r="H171" s="454">
        <v>3200</v>
      </c>
      <c r="I171" s="454"/>
      <c r="J171" s="461" t="s">
        <v>1533</v>
      </c>
      <c r="K171" s="472"/>
      <c r="L171" s="455" t="s">
        <v>76</v>
      </c>
      <c r="M171" s="258" t="s">
        <v>895</v>
      </c>
      <c r="N171" s="258" t="s">
        <v>896</v>
      </c>
      <c r="O171" s="258" t="s">
        <v>812</v>
      </c>
      <c r="P171" s="258" t="s">
        <v>813</v>
      </c>
      <c r="Q171" s="257" t="s">
        <v>827</v>
      </c>
      <c r="R171" s="257" t="s">
        <v>840</v>
      </c>
      <c r="S171" s="257"/>
      <c r="T171" s="257" t="s">
        <v>849</v>
      </c>
      <c r="U171" s="257"/>
    </row>
    <row r="172" spans="1:21" s="258" customFormat="1" ht="53.25" customHeight="1" x14ac:dyDescent="0.25">
      <c r="A172" s="455">
        <f t="shared" si="8"/>
        <v>71</v>
      </c>
      <c r="B172" s="454" t="s">
        <v>130</v>
      </c>
      <c r="C172" s="457" t="s">
        <v>131</v>
      </c>
      <c r="D172" s="455" t="s">
        <v>66</v>
      </c>
      <c r="E172" s="454">
        <v>206904.96973333333</v>
      </c>
      <c r="F172" s="454">
        <v>55676</v>
      </c>
      <c r="G172" s="482">
        <f t="shared" ref="G172:G177" si="9">E172-F172</f>
        <v>151228.96973333333</v>
      </c>
      <c r="H172" s="454">
        <v>20000</v>
      </c>
      <c r="I172" s="454"/>
      <c r="J172" s="461" t="s">
        <v>808</v>
      </c>
      <c r="K172" s="472"/>
      <c r="L172" s="455" t="s">
        <v>76</v>
      </c>
      <c r="M172" s="258" t="s">
        <v>895</v>
      </c>
      <c r="N172" s="445" t="s">
        <v>896</v>
      </c>
      <c r="O172" s="258" t="s">
        <v>812</v>
      </c>
      <c r="P172" s="258" t="s">
        <v>813</v>
      </c>
      <c r="Q172" s="257" t="s">
        <v>827</v>
      </c>
      <c r="R172" s="257" t="s">
        <v>840</v>
      </c>
      <c r="S172" s="257"/>
      <c r="T172" s="257"/>
      <c r="U172" s="257"/>
    </row>
    <row r="173" spans="1:21" s="258" customFormat="1" ht="53.25" customHeight="1" x14ac:dyDescent="0.25">
      <c r="A173" s="455">
        <f t="shared" si="8"/>
        <v>72</v>
      </c>
      <c r="B173" s="454" t="s">
        <v>67</v>
      </c>
      <c r="C173" s="457" t="s">
        <v>68</v>
      </c>
      <c r="D173" s="455" t="s">
        <v>66</v>
      </c>
      <c r="E173" s="454">
        <v>64958.94</v>
      </c>
      <c r="F173" s="454">
        <v>27629.3</v>
      </c>
      <c r="G173" s="482">
        <f t="shared" si="9"/>
        <v>37329.64</v>
      </c>
      <c r="H173" s="454">
        <v>18000</v>
      </c>
      <c r="I173" s="454"/>
      <c r="J173" s="456" t="s">
        <v>134</v>
      </c>
      <c r="K173" s="472"/>
      <c r="L173" s="455" t="s">
        <v>76</v>
      </c>
      <c r="M173" s="258" t="s">
        <v>895</v>
      </c>
      <c r="N173" s="445" t="s">
        <v>896</v>
      </c>
      <c r="O173" s="258" t="s">
        <v>812</v>
      </c>
      <c r="P173" s="258" t="s">
        <v>813</v>
      </c>
      <c r="Q173" s="257" t="s">
        <v>827</v>
      </c>
      <c r="R173" s="257" t="s">
        <v>840</v>
      </c>
      <c r="S173" s="257"/>
      <c r="T173" s="257"/>
      <c r="U173" s="257"/>
    </row>
    <row r="174" spans="1:21" s="258" customFormat="1" ht="53.25" customHeight="1" x14ac:dyDescent="0.25">
      <c r="A174" s="455">
        <f t="shared" si="8"/>
        <v>73</v>
      </c>
      <c r="B174" s="455" t="s">
        <v>69</v>
      </c>
      <c r="C174" s="457" t="s">
        <v>774</v>
      </c>
      <c r="D174" s="455" t="s">
        <v>66</v>
      </c>
      <c r="E174" s="454">
        <v>5922674.0470867204</v>
      </c>
      <c r="F174" s="454">
        <v>1204946.6259999999</v>
      </c>
      <c r="G174" s="482">
        <f t="shared" si="9"/>
        <v>4717727.4210867202</v>
      </c>
      <c r="H174" s="454">
        <f>VLOOKUP(B174,'[1]Tháng 7.2025'!$B$23:$H$153,7,0)</f>
        <v>900000</v>
      </c>
      <c r="I174" s="454"/>
      <c r="J174" s="461" t="s">
        <v>772</v>
      </c>
      <c r="K174" s="472"/>
      <c r="L174" s="455" t="s">
        <v>76</v>
      </c>
      <c r="M174" s="258" t="s">
        <v>895</v>
      </c>
      <c r="N174" s="445" t="s">
        <v>896</v>
      </c>
      <c r="O174" s="258" t="s">
        <v>812</v>
      </c>
      <c r="P174" s="258" t="s">
        <v>813</v>
      </c>
      <c r="Q174" s="257" t="s">
        <v>827</v>
      </c>
      <c r="R174" s="257" t="s">
        <v>840</v>
      </c>
      <c r="S174" s="257"/>
      <c r="T174" s="257"/>
      <c r="U174" s="257"/>
    </row>
    <row r="175" spans="1:21" s="258" customFormat="1" ht="53.25" customHeight="1" x14ac:dyDescent="0.25">
      <c r="A175" s="455">
        <f t="shared" si="8"/>
        <v>74</v>
      </c>
      <c r="B175" s="454" t="s">
        <v>72</v>
      </c>
      <c r="C175" s="457" t="s">
        <v>73</v>
      </c>
      <c r="D175" s="455" t="s">
        <v>66</v>
      </c>
      <c r="E175" s="454">
        <v>235630.41759999999</v>
      </c>
      <c r="F175" s="454">
        <v>73809.86</v>
      </c>
      <c r="G175" s="482">
        <f t="shared" si="9"/>
        <v>161820.5576</v>
      </c>
      <c r="H175" s="454">
        <v>26000</v>
      </c>
      <c r="I175" s="454"/>
      <c r="J175" s="461" t="s">
        <v>809</v>
      </c>
      <c r="K175" s="472"/>
      <c r="L175" s="455" t="s">
        <v>76</v>
      </c>
      <c r="M175" s="258" t="s">
        <v>895</v>
      </c>
      <c r="N175" s="258" t="s">
        <v>896</v>
      </c>
      <c r="O175" s="258" t="s">
        <v>812</v>
      </c>
      <c r="P175" s="258" t="s">
        <v>813</v>
      </c>
      <c r="Q175" s="257" t="s">
        <v>827</v>
      </c>
      <c r="R175" s="257" t="s">
        <v>840</v>
      </c>
      <c r="S175" s="257"/>
      <c r="T175" s="257"/>
      <c r="U175" s="257"/>
    </row>
    <row r="176" spans="1:21" s="258" customFormat="1" ht="53.25" customHeight="1" x14ac:dyDescent="0.25">
      <c r="A176" s="455">
        <f t="shared" si="8"/>
        <v>75</v>
      </c>
      <c r="B176" s="454" t="s">
        <v>137</v>
      </c>
      <c r="C176" s="457" t="s">
        <v>138</v>
      </c>
      <c r="D176" s="455" t="s">
        <v>66</v>
      </c>
      <c r="E176" s="454">
        <v>100920.97651851852</v>
      </c>
      <c r="F176" s="454">
        <v>18618.14</v>
      </c>
      <c r="G176" s="482">
        <f t="shared" si="9"/>
        <v>82302.836518518525</v>
      </c>
      <c r="H176" s="454">
        <v>16000</v>
      </c>
      <c r="I176" s="454"/>
      <c r="J176" s="461" t="s">
        <v>810</v>
      </c>
      <c r="K176" s="472"/>
      <c r="L176" s="455" t="s">
        <v>76</v>
      </c>
      <c r="M176" s="258" t="s">
        <v>895</v>
      </c>
      <c r="N176" s="445" t="s">
        <v>896</v>
      </c>
      <c r="O176" s="258" t="s">
        <v>812</v>
      </c>
      <c r="P176" s="258" t="s">
        <v>813</v>
      </c>
      <c r="Q176" s="257" t="s">
        <v>827</v>
      </c>
      <c r="R176" s="257" t="s">
        <v>840</v>
      </c>
      <c r="S176" s="257"/>
      <c r="T176" s="257"/>
      <c r="U176" s="257"/>
    </row>
    <row r="177" spans="1:21" s="258" customFormat="1" ht="53.25" customHeight="1" x14ac:dyDescent="0.25">
      <c r="A177" s="455">
        <f t="shared" si="8"/>
        <v>76</v>
      </c>
      <c r="B177" s="455" t="s">
        <v>144</v>
      </c>
      <c r="C177" s="457" t="s">
        <v>145</v>
      </c>
      <c r="D177" s="455" t="s">
        <v>66</v>
      </c>
      <c r="E177" s="454">
        <v>218080</v>
      </c>
      <c r="F177" s="454">
        <v>29855</v>
      </c>
      <c r="G177" s="482">
        <f t="shared" si="9"/>
        <v>188225</v>
      </c>
      <c r="H177" s="454">
        <v>18000</v>
      </c>
      <c r="I177" s="454"/>
      <c r="J177" s="461" t="s">
        <v>811</v>
      </c>
      <c r="K177" s="472"/>
      <c r="L177" s="455" t="s">
        <v>76</v>
      </c>
      <c r="M177" s="258" t="s">
        <v>895</v>
      </c>
      <c r="N177" s="445" t="s">
        <v>896</v>
      </c>
      <c r="O177" s="258" t="s">
        <v>812</v>
      </c>
      <c r="P177" s="258" t="s">
        <v>813</v>
      </c>
      <c r="Q177" s="257" t="s">
        <v>827</v>
      </c>
      <c r="R177" s="257" t="s">
        <v>840</v>
      </c>
      <c r="S177" s="257"/>
      <c r="T177" s="257"/>
      <c r="U177" s="257"/>
    </row>
    <row r="178" spans="1:21" s="258" customFormat="1" ht="53.25" customHeight="1" x14ac:dyDescent="0.25">
      <c r="A178" s="455"/>
      <c r="B178" s="455" t="s">
        <v>1461</v>
      </c>
      <c r="C178" s="457" t="s">
        <v>1462</v>
      </c>
      <c r="D178" s="455" t="s">
        <v>2</v>
      </c>
      <c r="E178" s="454"/>
      <c r="F178" s="454"/>
      <c r="G178" s="454"/>
      <c r="H178" s="454">
        <v>2000</v>
      </c>
      <c r="I178" s="454"/>
      <c r="J178" s="461"/>
      <c r="K178" s="472"/>
      <c r="L178" s="455" t="s">
        <v>140</v>
      </c>
      <c r="Q178" s="257"/>
      <c r="R178" s="257"/>
      <c r="S178" s="257" t="s">
        <v>897</v>
      </c>
      <c r="T178" s="257"/>
      <c r="U178" s="257"/>
    </row>
    <row r="179" spans="1:21" s="258" customFormat="1" ht="53.25" customHeight="1" x14ac:dyDescent="0.25">
      <c r="A179" s="455"/>
      <c r="B179" s="455" t="s">
        <v>1463</v>
      </c>
      <c r="C179" s="457" t="s">
        <v>1464</v>
      </c>
      <c r="D179" s="455" t="s">
        <v>2</v>
      </c>
      <c r="E179" s="454"/>
      <c r="F179" s="454"/>
      <c r="G179" s="454"/>
      <c r="H179" s="454">
        <v>4000</v>
      </c>
      <c r="I179" s="454"/>
      <c r="J179" s="461"/>
      <c r="K179" s="472"/>
      <c r="L179" s="455" t="s">
        <v>140</v>
      </c>
      <c r="Q179" s="257"/>
      <c r="R179" s="257"/>
      <c r="S179" s="257" t="s">
        <v>897</v>
      </c>
      <c r="T179" s="257"/>
      <c r="U179" s="257"/>
    </row>
    <row r="180" spans="1:21" s="258" customFormat="1" ht="53.25" customHeight="1" x14ac:dyDescent="0.25">
      <c r="A180" s="455"/>
      <c r="B180" s="455" t="s">
        <v>1243</v>
      </c>
      <c r="C180" s="457" t="s">
        <v>1244</v>
      </c>
      <c r="D180" s="455" t="s">
        <v>1465</v>
      </c>
      <c r="E180" s="454"/>
      <c r="F180" s="454"/>
      <c r="G180" s="454"/>
      <c r="H180" s="454">
        <v>5000</v>
      </c>
      <c r="I180" s="454"/>
      <c r="J180" s="461"/>
      <c r="K180" s="472"/>
      <c r="L180" s="455" t="s">
        <v>140</v>
      </c>
      <c r="Q180" s="257"/>
      <c r="R180" s="257"/>
      <c r="S180" s="257" t="s">
        <v>897</v>
      </c>
      <c r="T180" s="257"/>
      <c r="U180" s="257"/>
    </row>
    <row r="181" spans="1:21" ht="24" customHeight="1" x14ac:dyDescent="0.25">
      <c r="A181" s="455">
        <v>77</v>
      </c>
      <c r="B181" s="467" t="s">
        <v>1474</v>
      </c>
      <c r="C181" s="467" t="s">
        <v>1475</v>
      </c>
      <c r="D181" s="454" t="s">
        <v>0</v>
      </c>
      <c r="E181" s="454">
        <v>1</v>
      </c>
      <c r="F181" s="454">
        <v>0</v>
      </c>
      <c r="G181" s="454">
        <v>0</v>
      </c>
      <c r="H181" s="454">
        <v>1</v>
      </c>
      <c r="I181" s="455"/>
      <c r="J181" s="475" t="s">
        <v>1517</v>
      </c>
      <c r="K181" s="474"/>
      <c r="L181" s="475"/>
      <c r="R181" s="257"/>
      <c r="S181" s="257" t="s">
        <v>897</v>
      </c>
    </row>
    <row r="182" spans="1:21" ht="33.75" customHeight="1" x14ac:dyDescent="0.25">
      <c r="A182" s="455">
        <v>78</v>
      </c>
      <c r="B182" s="467" t="s">
        <v>1476</v>
      </c>
      <c r="C182" s="467" t="s">
        <v>1477</v>
      </c>
      <c r="D182" s="454" t="s">
        <v>0</v>
      </c>
      <c r="E182" s="454">
        <v>5</v>
      </c>
      <c r="F182" s="454">
        <v>5</v>
      </c>
      <c r="G182" s="454">
        <v>0</v>
      </c>
      <c r="H182" s="454">
        <v>5</v>
      </c>
      <c r="I182" s="455"/>
      <c r="J182" s="475" t="s">
        <v>1518</v>
      </c>
      <c r="K182" s="474"/>
      <c r="L182" s="475"/>
      <c r="S182" s="257" t="s">
        <v>897</v>
      </c>
    </row>
    <row r="183" spans="1:21" ht="33.75" customHeight="1" x14ac:dyDescent="0.25">
      <c r="A183" s="455">
        <v>79</v>
      </c>
      <c r="B183" s="467" t="s">
        <v>1478</v>
      </c>
      <c r="C183" s="467" t="s">
        <v>1194</v>
      </c>
      <c r="D183" s="454" t="s">
        <v>0</v>
      </c>
      <c r="E183" s="454">
        <v>1</v>
      </c>
      <c r="F183" s="454">
        <v>1</v>
      </c>
      <c r="G183" s="454">
        <v>0</v>
      </c>
      <c r="H183" s="454">
        <v>1</v>
      </c>
      <c r="I183" s="455"/>
      <c r="J183" s="475" t="s">
        <v>1519</v>
      </c>
      <c r="K183" s="474"/>
      <c r="L183" s="475"/>
      <c r="S183" s="257" t="s">
        <v>897</v>
      </c>
    </row>
    <row r="184" spans="1:21" ht="33.75" customHeight="1" x14ac:dyDescent="0.25">
      <c r="A184" s="455">
        <v>80</v>
      </c>
      <c r="B184" s="467" t="s">
        <v>1195</v>
      </c>
      <c r="C184" s="467" t="s">
        <v>1196</v>
      </c>
      <c r="D184" s="454" t="s">
        <v>0</v>
      </c>
      <c r="E184" s="454">
        <v>3</v>
      </c>
      <c r="F184" s="454">
        <v>3</v>
      </c>
      <c r="G184" s="454">
        <v>0</v>
      </c>
      <c r="H184" s="454">
        <v>3</v>
      </c>
      <c r="I184" s="455"/>
      <c r="J184" s="475" t="s">
        <v>1520</v>
      </c>
      <c r="K184" s="474"/>
      <c r="L184" s="475"/>
      <c r="S184" s="257" t="s">
        <v>897</v>
      </c>
    </row>
    <row r="185" spans="1:21" ht="24" customHeight="1" x14ac:dyDescent="0.25">
      <c r="A185" s="455">
        <v>81</v>
      </c>
      <c r="B185" s="467" t="s">
        <v>1479</v>
      </c>
      <c r="C185" s="467" t="s">
        <v>1480</v>
      </c>
      <c r="D185" s="454" t="s">
        <v>0</v>
      </c>
      <c r="E185" s="454">
        <v>1</v>
      </c>
      <c r="F185" s="454">
        <v>0</v>
      </c>
      <c r="G185" s="454">
        <v>0</v>
      </c>
      <c r="H185" s="454">
        <v>1</v>
      </c>
      <c r="I185" s="455"/>
      <c r="J185" s="475" t="s">
        <v>1521</v>
      </c>
      <c r="K185" s="474"/>
      <c r="L185" s="475"/>
      <c r="S185" s="257" t="s">
        <v>897</v>
      </c>
    </row>
    <row r="186" spans="1:21" ht="24" customHeight="1" x14ac:dyDescent="0.25">
      <c r="A186" s="455">
        <v>82</v>
      </c>
      <c r="B186" s="467" t="s">
        <v>1481</v>
      </c>
      <c r="C186" s="467" t="s">
        <v>1482</v>
      </c>
      <c r="D186" s="454" t="s">
        <v>0</v>
      </c>
      <c r="E186" s="454">
        <v>1</v>
      </c>
      <c r="F186" s="454">
        <v>0</v>
      </c>
      <c r="G186" s="454">
        <v>0</v>
      </c>
      <c r="H186" s="454">
        <v>1</v>
      </c>
      <c r="I186" s="455"/>
      <c r="J186" s="475" t="s">
        <v>1521</v>
      </c>
      <c r="K186" s="474"/>
      <c r="L186" s="475"/>
      <c r="S186" s="257" t="s">
        <v>897</v>
      </c>
    </row>
    <row r="187" spans="1:21" ht="59.25" customHeight="1" x14ac:dyDescent="0.25">
      <c r="A187" s="455">
        <v>83</v>
      </c>
      <c r="B187" s="467" t="s">
        <v>1483</v>
      </c>
      <c r="C187" s="467" t="s">
        <v>1484</v>
      </c>
      <c r="D187" s="454" t="s">
        <v>0</v>
      </c>
      <c r="E187" s="454">
        <v>3</v>
      </c>
      <c r="F187" s="454">
        <v>0</v>
      </c>
      <c r="G187" s="454">
        <v>0</v>
      </c>
      <c r="H187" s="454">
        <v>3</v>
      </c>
      <c r="I187" s="455"/>
      <c r="J187" s="475" t="s">
        <v>1522</v>
      </c>
      <c r="K187" s="474"/>
      <c r="L187" s="475"/>
      <c r="S187" s="257" t="s">
        <v>897</v>
      </c>
    </row>
    <row r="188" spans="1:21" ht="59.25" customHeight="1" x14ac:dyDescent="0.25">
      <c r="A188" s="455">
        <v>84</v>
      </c>
      <c r="B188" s="454" t="s">
        <v>1485</v>
      </c>
      <c r="C188" s="457" t="s">
        <v>1486</v>
      </c>
      <c r="D188" s="454" t="s">
        <v>0</v>
      </c>
      <c r="E188" s="454">
        <v>4</v>
      </c>
      <c r="F188" s="454">
        <v>0</v>
      </c>
      <c r="G188" s="454">
        <v>0</v>
      </c>
      <c r="H188" s="454">
        <v>4</v>
      </c>
      <c r="I188" s="455"/>
      <c r="J188" s="475" t="s">
        <v>1523</v>
      </c>
      <c r="K188" s="474"/>
      <c r="L188" s="475"/>
      <c r="S188" s="257" t="s">
        <v>897</v>
      </c>
    </row>
    <row r="189" spans="1:21" ht="42.75" customHeight="1" x14ac:dyDescent="0.25">
      <c r="A189" s="455">
        <v>85</v>
      </c>
      <c r="B189" s="467" t="s">
        <v>1487</v>
      </c>
      <c r="C189" s="467" t="s">
        <v>1488</v>
      </c>
      <c r="D189" s="454" t="s">
        <v>0</v>
      </c>
      <c r="E189" s="454">
        <v>2</v>
      </c>
      <c r="F189" s="454">
        <v>0</v>
      </c>
      <c r="G189" s="454">
        <v>0</v>
      </c>
      <c r="H189" s="454">
        <v>2</v>
      </c>
      <c r="I189" s="455"/>
      <c r="J189" s="475" t="s">
        <v>1517</v>
      </c>
      <c r="K189" s="474"/>
      <c r="L189" s="475"/>
      <c r="S189" s="257" t="s">
        <v>897</v>
      </c>
    </row>
    <row r="190" spans="1:21" ht="30" customHeight="1" x14ac:dyDescent="0.25">
      <c r="A190" s="455">
        <v>86</v>
      </c>
      <c r="B190" s="467" t="s">
        <v>1489</v>
      </c>
      <c r="C190" s="467" t="s">
        <v>1490</v>
      </c>
      <c r="D190" s="454" t="s">
        <v>0</v>
      </c>
      <c r="E190" s="454">
        <v>2</v>
      </c>
      <c r="F190" s="454">
        <v>0</v>
      </c>
      <c r="G190" s="454">
        <v>0</v>
      </c>
      <c r="H190" s="454">
        <v>2</v>
      </c>
      <c r="I190" s="455"/>
      <c r="J190" s="475" t="s">
        <v>1524</v>
      </c>
      <c r="K190" s="474"/>
      <c r="L190" s="475"/>
      <c r="S190" s="257" t="s">
        <v>897</v>
      </c>
    </row>
    <row r="191" spans="1:21" ht="35.25" customHeight="1" x14ac:dyDescent="0.25">
      <c r="A191" s="455">
        <v>87</v>
      </c>
      <c r="B191" s="467" t="s">
        <v>1491</v>
      </c>
      <c r="C191" s="467" t="s">
        <v>1492</v>
      </c>
      <c r="D191" s="454" t="s">
        <v>0</v>
      </c>
      <c r="E191" s="454">
        <v>1</v>
      </c>
      <c r="F191" s="454">
        <v>0</v>
      </c>
      <c r="G191" s="454">
        <v>0</v>
      </c>
      <c r="H191" s="454">
        <v>1</v>
      </c>
      <c r="I191" s="455"/>
      <c r="J191" s="475" t="s">
        <v>1525</v>
      </c>
      <c r="K191" s="474"/>
      <c r="L191" s="475"/>
      <c r="S191" s="257" t="s">
        <v>897</v>
      </c>
    </row>
    <row r="192" spans="1:21" ht="32.25" customHeight="1" x14ac:dyDescent="0.25">
      <c r="A192" s="455">
        <v>88</v>
      </c>
      <c r="B192" s="467" t="s">
        <v>1493</v>
      </c>
      <c r="C192" s="467" t="s">
        <v>1494</v>
      </c>
      <c r="D192" s="454" t="s">
        <v>0</v>
      </c>
      <c r="E192" s="454">
        <v>1</v>
      </c>
      <c r="F192" s="454">
        <v>0</v>
      </c>
      <c r="G192" s="454">
        <v>0</v>
      </c>
      <c r="H192" s="454">
        <v>1</v>
      </c>
      <c r="I192" s="455"/>
      <c r="J192" s="475" t="s">
        <v>1526</v>
      </c>
      <c r="K192" s="474"/>
      <c r="L192" s="475"/>
      <c r="S192" s="257" t="s">
        <v>897</v>
      </c>
    </row>
    <row r="193" spans="1:19" ht="48.75" customHeight="1" x14ac:dyDescent="0.25">
      <c r="A193" s="455">
        <v>89</v>
      </c>
      <c r="B193" s="467" t="s">
        <v>1495</v>
      </c>
      <c r="C193" s="467" t="s">
        <v>1496</v>
      </c>
      <c r="D193" s="454" t="s">
        <v>0</v>
      </c>
      <c r="E193" s="454">
        <v>1</v>
      </c>
      <c r="F193" s="454">
        <v>0</v>
      </c>
      <c r="G193" s="454">
        <v>0</v>
      </c>
      <c r="H193" s="454">
        <v>1</v>
      </c>
      <c r="I193" s="455"/>
      <c r="J193" s="475" t="s">
        <v>1525</v>
      </c>
      <c r="K193" s="474"/>
      <c r="L193" s="475"/>
      <c r="S193" s="257" t="s">
        <v>897</v>
      </c>
    </row>
    <row r="194" spans="1:19" ht="56.25" customHeight="1" x14ac:dyDescent="0.25">
      <c r="A194" s="455">
        <v>90</v>
      </c>
      <c r="B194" s="467" t="s">
        <v>1336</v>
      </c>
      <c r="C194" s="467" t="s">
        <v>1497</v>
      </c>
      <c r="D194" s="454" t="s">
        <v>428</v>
      </c>
      <c r="E194" s="454">
        <v>50</v>
      </c>
      <c r="F194" s="454">
        <v>0</v>
      </c>
      <c r="G194" s="454">
        <v>0</v>
      </c>
      <c r="H194" s="454">
        <v>180</v>
      </c>
      <c r="I194" s="455"/>
      <c r="J194" s="475" t="s">
        <v>1527</v>
      </c>
      <c r="K194" s="474"/>
      <c r="L194" s="475"/>
      <c r="S194" s="257" t="s">
        <v>897</v>
      </c>
    </row>
    <row r="195" spans="1:19" ht="72.75" customHeight="1" x14ac:dyDescent="0.25">
      <c r="A195" s="455">
        <v>91</v>
      </c>
      <c r="B195" s="467" t="s">
        <v>1334</v>
      </c>
      <c r="C195" s="467" t="s">
        <v>1318</v>
      </c>
      <c r="D195" s="454" t="s">
        <v>51</v>
      </c>
      <c r="E195" s="454">
        <v>20</v>
      </c>
      <c r="F195" s="454">
        <v>0</v>
      </c>
      <c r="G195" s="454">
        <v>0</v>
      </c>
      <c r="H195" s="454">
        <v>20</v>
      </c>
      <c r="I195" s="455"/>
      <c r="J195" s="475" t="s">
        <v>1527</v>
      </c>
      <c r="K195" s="474"/>
      <c r="L195" s="475"/>
      <c r="S195" s="257" t="s">
        <v>897</v>
      </c>
    </row>
    <row r="196" spans="1:19" ht="26.25" customHeight="1" x14ac:dyDescent="0.25">
      <c r="A196" s="455">
        <v>92</v>
      </c>
      <c r="B196" s="455" t="s">
        <v>970</v>
      </c>
      <c r="C196" s="467" t="s">
        <v>1246</v>
      </c>
      <c r="D196" s="454" t="s">
        <v>51</v>
      </c>
      <c r="E196" s="455">
        <v>20</v>
      </c>
      <c r="F196" s="454">
        <v>0</v>
      </c>
      <c r="G196" s="454">
        <v>0</v>
      </c>
      <c r="H196" s="455">
        <v>20</v>
      </c>
      <c r="I196" s="455"/>
      <c r="J196" s="457" t="s">
        <v>1528</v>
      </c>
      <c r="K196" s="474"/>
      <c r="L196" s="475"/>
      <c r="S196" s="257" t="s">
        <v>897</v>
      </c>
    </row>
    <row r="197" spans="1:19" ht="26.25" customHeight="1" x14ac:dyDescent="0.25">
      <c r="A197" s="455">
        <v>93</v>
      </c>
      <c r="B197" s="455" t="s">
        <v>1498</v>
      </c>
      <c r="C197" s="467" t="s">
        <v>1499</v>
      </c>
      <c r="D197" s="454" t="s">
        <v>1019</v>
      </c>
      <c r="E197" s="455">
        <v>6</v>
      </c>
      <c r="F197" s="454">
        <v>0</v>
      </c>
      <c r="G197" s="454">
        <v>0</v>
      </c>
      <c r="H197" s="455">
        <v>6</v>
      </c>
      <c r="I197" s="455"/>
      <c r="J197" s="457" t="s">
        <v>1520</v>
      </c>
      <c r="K197" s="474"/>
      <c r="L197" s="475"/>
      <c r="S197" s="257" t="s">
        <v>897</v>
      </c>
    </row>
    <row r="198" spans="1:19" ht="26.25" customHeight="1" x14ac:dyDescent="0.25">
      <c r="A198" s="455">
        <v>94</v>
      </c>
      <c r="B198" s="455" t="s">
        <v>943</v>
      </c>
      <c r="C198" s="467" t="s">
        <v>944</v>
      </c>
      <c r="D198" s="454" t="s">
        <v>1019</v>
      </c>
      <c r="E198" s="455">
        <v>4</v>
      </c>
      <c r="F198" s="454">
        <v>0</v>
      </c>
      <c r="G198" s="454">
        <v>0</v>
      </c>
      <c r="H198" s="455">
        <v>4</v>
      </c>
      <c r="I198" s="455"/>
      <c r="J198" s="457" t="s">
        <v>1520</v>
      </c>
      <c r="K198" s="474"/>
      <c r="L198" s="475"/>
      <c r="S198" s="257" t="s">
        <v>897</v>
      </c>
    </row>
    <row r="199" spans="1:19" ht="26.25" customHeight="1" x14ac:dyDescent="0.25">
      <c r="A199" s="455">
        <v>95</v>
      </c>
      <c r="B199" s="455" t="s">
        <v>1369</v>
      </c>
      <c r="C199" s="467" t="s">
        <v>1370</v>
      </c>
      <c r="D199" s="454" t="s">
        <v>1500</v>
      </c>
      <c r="E199" s="455">
        <v>20</v>
      </c>
      <c r="F199" s="454">
        <v>0</v>
      </c>
      <c r="G199" s="454">
        <v>0</v>
      </c>
      <c r="H199" s="455">
        <v>20</v>
      </c>
      <c r="I199" s="455"/>
      <c r="J199" s="457" t="s">
        <v>1520</v>
      </c>
      <c r="K199" s="474"/>
      <c r="L199" s="475"/>
      <c r="S199" s="257" t="s">
        <v>897</v>
      </c>
    </row>
    <row r="200" spans="1:19" ht="26.25" customHeight="1" x14ac:dyDescent="0.25">
      <c r="A200" s="455">
        <v>96</v>
      </c>
      <c r="B200" s="455" t="s">
        <v>1371</v>
      </c>
      <c r="C200" s="467" t="s">
        <v>1372</v>
      </c>
      <c r="D200" s="454" t="s">
        <v>0</v>
      </c>
      <c r="E200" s="455">
        <v>17</v>
      </c>
      <c r="F200" s="454">
        <v>0</v>
      </c>
      <c r="G200" s="454">
        <v>0</v>
      </c>
      <c r="H200" s="455">
        <v>17</v>
      </c>
      <c r="I200" s="455"/>
      <c r="J200" s="457" t="s">
        <v>1520</v>
      </c>
      <c r="K200" s="474"/>
      <c r="L200" s="475"/>
      <c r="S200" s="257" t="s">
        <v>897</v>
      </c>
    </row>
    <row r="201" spans="1:19" ht="26.25" customHeight="1" x14ac:dyDescent="0.25">
      <c r="A201" s="455">
        <v>97</v>
      </c>
      <c r="B201" s="455" t="s">
        <v>1501</v>
      </c>
      <c r="C201" s="467" t="s">
        <v>1502</v>
      </c>
      <c r="D201" s="454" t="s">
        <v>0</v>
      </c>
      <c r="E201" s="455">
        <v>50</v>
      </c>
      <c r="F201" s="454">
        <v>0</v>
      </c>
      <c r="G201" s="454">
        <v>0</v>
      </c>
      <c r="H201" s="455">
        <v>50</v>
      </c>
      <c r="I201" s="455"/>
      <c r="J201" s="457" t="s">
        <v>1520</v>
      </c>
      <c r="K201" s="474"/>
      <c r="L201" s="475"/>
      <c r="S201" s="257" t="s">
        <v>897</v>
      </c>
    </row>
    <row r="202" spans="1:19" ht="26.25" customHeight="1" x14ac:dyDescent="0.25">
      <c r="A202" s="455">
        <v>98</v>
      </c>
      <c r="B202" s="455" t="s">
        <v>1337</v>
      </c>
      <c r="C202" s="467" t="s">
        <v>1338</v>
      </c>
      <c r="D202" s="454" t="s">
        <v>74</v>
      </c>
      <c r="E202" s="455">
        <v>200</v>
      </c>
      <c r="F202" s="454">
        <v>0</v>
      </c>
      <c r="G202" s="454">
        <v>0</v>
      </c>
      <c r="H202" s="455">
        <v>200</v>
      </c>
      <c r="I202" s="455"/>
      <c r="J202" s="457" t="s">
        <v>1528</v>
      </c>
      <c r="K202" s="474"/>
      <c r="L202" s="475"/>
      <c r="S202" s="257" t="s">
        <v>897</v>
      </c>
    </row>
    <row r="203" spans="1:19" ht="26.25" customHeight="1" x14ac:dyDescent="0.25">
      <c r="A203" s="455">
        <v>99</v>
      </c>
      <c r="B203" s="455" t="s">
        <v>1503</v>
      </c>
      <c r="C203" s="467" t="s">
        <v>1504</v>
      </c>
      <c r="D203" s="454" t="s">
        <v>74</v>
      </c>
      <c r="E203" s="455">
        <v>1</v>
      </c>
      <c r="F203" s="454">
        <v>0</v>
      </c>
      <c r="G203" s="454">
        <v>0</v>
      </c>
      <c r="H203" s="455">
        <v>1</v>
      </c>
      <c r="I203" s="455"/>
      <c r="J203" s="457" t="s">
        <v>1529</v>
      </c>
      <c r="K203" s="474"/>
      <c r="L203" s="475"/>
      <c r="S203" s="257" t="s">
        <v>897</v>
      </c>
    </row>
    <row r="204" spans="1:19" ht="26.25" customHeight="1" x14ac:dyDescent="0.25">
      <c r="A204" s="455">
        <v>100</v>
      </c>
      <c r="B204" s="455" t="s">
        <v>1335</v>
      </c>
      <c r="C204" s="467" t="s">
        <v>277</v>
      </c>
      <c r="D204" s="454" t="s">
        <v>51</v>
      </c>
      <c r="E204" s="455">
        <v>30</v>
      </c>
      <c r="F204" s="454">
        <v>0</v>
      </c>
      <c r="G204" s="454">
        <v>0</v>
      </c>
      <c r="H204" s="455">
        <v>500</v>
      </c>
      <c r="I204" s="455"/>
      <c r="J204" s="457" t="s">
        <v>1530</v>
      </c>
      <c r="K204" s="474"/>
      <c r="L204" s="475"/>
      <c r="S204" s="257" t="s">
        <v>897</v>
      </c>
    </row>
    <row r="205" spans="1:19" ht="26.25" customHeight="1" x14ac:dyDescent="0.25">
      <c r="A205" s="455">
        <v>101</v>
      </c>
      <c r="B205" s="455" t="s">
        <v>1505</v>
      </c>
      <c r="C205" s="467" t="s">
        <v>1506</v>
      </c>
      <c r="D205" s="454" t="s">
        <v>1203</v>
      </c>
      <c r="E205" s="455">
        <v>100</v>
      </c>
      <c r="F205" s="454">
        <v>0</v>
      </c>
      <c r="G205" s="454">
        <v>0</v>
      </c>
      <c r="H205" s="455">
        <v>100</v>
      </c>
      <c r="I205" s="455"/>
      <c r="J205" s="457" t="s">
        <v>1530</v>
      </c>
      <c r="K205" s="474"/>
      <c r="L205" s="475"/>
      <c r="S205" s="257" t="s">
        <v>897</v>
      </c>
    </row>
    <row r="206" spans="1:19" ht="26.25" customHeight="1" x14ac:dyDescent="0.25">
      <c r="A206" s="455">
        <v>102</v>
      </c>
      <c r="B206" s="455" t="s">
        <v>1507</v>
      </c>
      <c r="C206" s="467" t="s">
        <v>1508</v>
      </c>
      <c r="D206" s="454" t="s">
        <v>0</v>
      </c>
      <c r="E206" s="455">
        <v>320</v>
      </c>
      <c r="F206" s="454">
        <v>0</v>
      </c>
      <c r="G206" s="454">
        <v>0</v>
      </c>
      <c r="H206" s="455">
        <v>320</v>
      </c>
      <c r="I206" s="455"/>
      <c r="J206" s="457"/>
      <c r="K206" s="474"/>
      <c r="L206" s="475"/>
      <c r="S206" s="257" t="s">
        <v>897</v>
      </c>
    </row>
    <row r="207" spans="1:19" ht="26.25" customHeight="1" x14ac:dyDescent="0.25">
      <c r="A207" s="455">
        <v>103</v>
      </c>
      <c r="B207" s="455" t="s">
        <v>1509</v>
      </c>
      <c r="C207" s="467" t="s">
        <v>1510</v>
      </c>
      <c r="D207" s="454" t="s">
        <v>0</v>
      </c>
      <c r="E207" s="455">
        <v>8</v>
      </c>
      <c r="F207" s="454">
        <v>0</v>
      </c>
      <c r="G207" s="454">
        <v>0</v>
      </c>
      <c r="H207" s="455">
        <v>8</v>
      </c>
      <c r="I207" s="455"/>
      <c r="J207" s="457" t="s">
        <v>1531</v>
      </c>
      <c r="K207" s="474"/>
      <c r="L207" s="475"/>
      <c r="S207" s="257" t="s">
        <v>897</v>
      </c>
    </row>
    <row r="208" spans="1:19" ht="26.25" customHeight="1" x14ac:dyDescent="0.25">
      <c r="A208" s="455">
        <v>104</v>
      </c>
      <c r="B208" s="455" t="s">
        <v>1511</v>
      </c>
      <c r="C208" s="467" t="s">
        <v>1512</v>
      </c>
      <c r="D208" s="454" t="s">
        <v>0</v>
      </c>
      <c r="E208" s="455">
        <v>10</v>
      </c>
      <c r="F208" s="454">
        <v>0</v>
      </c>
      <c r="G208" s="454">
        <v>0</v>
      </c>
      <c r="H208" s="455">
        <v>10</v>
      </c>
      <c r="I208" s="455"/>
      <c r="J208" s="457" t="s">
        <v>1531</v>
      </c>
      <c r="K208" s="474"/>
      <c r="L208" s="475"/>
      <c r="S208" s="257" t="s">
        <v>897</v>
      </c>
    </row>
    <row r="209" spans="1:20" ht="26.25" customHeight="1" x14ac:dyDescent="0.25">
      <c r="A209" s="455">
        <v>105</v>
      </c>
      <c r="B209" s="455" t="s">
        <v>1513</v>
      </c>
      <c r="C209" s="467" t="s">
        <v>1514</v>
      </c>
      <c r="D209" s="454" t="s">
        <v>0</v>
      </c>
      <c r="E209" s="455">
        <v>12</v>
      </c>
      <c r="F209" s="454">
        <v>0</v>
      </c>
      <c r="G209" s="454">
        <v>0</v>
      </c>
      <c r="H209" s="455">
        <v>12</v>
      </c>
      <c r="I209" s="455"/>
      <c r="J209" s="457" t="s">
        <v>1531</v>
      </c>
      <c r="K209" s="474"/>
      <c r="L209" s="475"/>
      <c r="S209" s="257" t="s">
        <v>897</v>
      </c>
    </row>
    <row r="210" spans="1:20" ht="26.25" customHeight="1" x14ac:dyDescent="0.25">
      <c r="A210" s="455">
        <v>106</v>
      </c>
      <c r="B210" s="455" t="s">
        <v>1515</v>
      </c>
      <c r="C210" s="467" t="s">
        <v>1516</v>
      </c>
      <c r="D210" s="454" t="s">
        <v>0</v>
      </c>
      <c r="E210" s="455">
        <v>24</v>
      </c>
      <c r="F210" s="454">
        <v>0</v>
      </c>
      <c r="G210" s="454">
        <v>0</v>
      </c>
      <c r="H210" s="455">
        <v>24</v>
      </c>
      <c r="I210" s="455"/>
      <c r="J210" s="457" t="s">
        <v>1532</v>
      </c>
      <c r="K210" s="474"/>
      <c r="L210" s="475"/>
      <c r="S210" s="257" t="s">
        <v>897</v>
      </c>
    </row>
    <row r="211" spans="1:20" x14ac:dyDescent="0.25">
      <c r="B211" s="225" t="s">
        <v>156</v>
      </c>
      <c r="C211" s="225" t="s">
        <v>118</v>
      </c>
      <c r="D211" s="225" t="s">
        <v>74</v>
      </c>
      <c r="H211" s="480">
        <v>100</v>
      </c>
      <c r="J211" s="225" t="s">
        <v>75</v>
      </c>
      <c r="L211" s="455" t="s">
        <v>76</v>
      </c>
      <c r="T211" s="257" t="s">
        <v>849</v>
      </c>
    </row>
    <row r="212" spans="1:20" x14ac:dyDescent="0.25">
      <c r="B212" s="477" t="s">
        <v>149</v>
      </c>
      <c r="C212" s="478" t="s">
        <v>150</v>
      </c>
      <c r="D212" s="223" t="s">
        <v>59</v>
      </c>
      <c r="H212" s="480">
        <v>2000</v>
      </c>
      <c r="J212" s="479" t="s">
        <v>1540</v>
      </c>
      <c r="L212" s="455" t="s">
        <v>76</v>
      </c>
      <c r="T212" s="257" t="s">
        <v>849</v>
      </c>
    </row>
    <row r="213" spans="1:20" x14ac:dyDescent="0.25">
      <c r="B213" s="477" t="s">
        <v>1328</v>
      </c>
      <c r="C213" s="478" t="s">
        <v>1534</v>
      </c>
      <c r="D213" s="223" t="s">
        <v>1247</v>
      </c>
      <c r="H213" s="480">
        <v>4</v>
      </c>
      <c r="J213" s="479" t="s">
        <v>1541</v>
      </c>
      <c r="L213" s="455" t="s">
        <v>76</v>
      </c>
      <c r="T213" s="257" t="s">
        <v>849</v>
      </c>
    </row>
    <row r="214" spans="1:20" x14ac:dyDescent="0.25">
      <c r="B214" s="477" t="s">
        <v>978</v>
      </c>
      <c r="C214" s="478" t="s">
        <v>1010</v>
      </c>
      <c r="D214" s="477" t="s">
        <v>66</v>
      </c>
      <c r="H214" s="481">
        <v>200</v>
      </c>
      <c r="J214" s="479" t="s">
        <v>1542</v>
      </c>
      <c r="L214" s="455" t="s">
        <v>76</v>
      </c>
      <c r="T214" s="257" t="s">
        <v>849</v>
      </c>
    </row>
    <row r="215" spans="1:20" x14ac:dyDescent="0.25">
      <c r="B215" s="477" t="s">
        <v>975</v>
      </c>
      <c r="C215" s="478" t="s">
        <v>1007</v>
      </c>
      <c r="D215" s="477" t="s">
        <v>66</v>
      </c>
      <c r="H215" s="481">
        <v>200</v>
      </c>
      <c r="J215" s="479" t="s">
        <v>1542</v>
      </c>
      <c r="L215" s="455" t="s">
        <v>76</v>
      </c>
      <c r="T215" s="257" t="s">
        <v>849</v>
      </c>
    </row>
    <row r="216" spans="1:20" x14ac:dyDescent="0.25">
      <c r="B216" s="477" t="s">
        <v>1098</v>
      </c>
      <c r="C216" s="478" t="s">
        <v>1134</v>
      </c>
      <c r="D216" s="477" t="s">
        <v>66</v>
      </c>
      <c r="H216" s="481">
        <v>200</v>
      </c>
      <c r="J216" s="479" t="s">
        <v>1542</v>
      </c>
      <c r="L216" s="455" t="s">
        <v>76</v>
      </c>
      <c r="T216" s="257" t="s">
        <v>849</v>
      </c>
    </row>
    <row r="217" spans="1:20" x14ac:dyDescent="0.25">
      <c r="B217" s="477" t="s">
        <v>1250</v>
      </c>
      <c r="C217" s="478" t="s">
        <v>1251</v>
      </c>
      <c r="D217" s="477" t="s">
        <v>1252</v>
      </c>
      <c r="H217" s="481">
        <v>10</v>
      </c>
      <c r="J217" s="479" t="s">
        <v>1542</v>
      </c>
      <c r="L217" s="455" t="s">
        <v>76</v>
      </c>
      <c r="T217" s="257" t="s">
        <v>849</v>
      </c>
    </row>
    <row r="218" spans="1:20" x14ac:dyDescent="0.25">
      <c r="B218" s="477" t="s">
        <v>1535</v>
      </c>
      <c r="C218" s="478" t="s">
        <v>1536</v>
      </c>
      <c r="D218" s="477" t="s">
        <v>66</v>
      </c>
      <c r="H218" s="481">
        <v>50</v>
      </c>
      <c r="J218" s="479" t="s">
        <v>1542</v>
      </c>
      <c r="L218" s="455" t="s">
        <v>76</v>
      </c>
      <c r="T218" s="257" t="s">
        <v>849</v>
      </c>
    </row>
    <row r="219" spans="1:20" x14ac:dyDescent="0.25">
      <c r="B219" s="477" t="s">
        <v>1335</v>
      </c>
      <c r="C219" s="478" t="s">
        <v>277</v>
      </c>
      <c r="D219" s="477" t="s">
        <v>51</v>
      </c>
      <c r="H219" s="481">
        <v>100</v>
      </c>
      <c r="J219" s="479" t="s">
        <v>1542</v>
      </c>
      <c r="L219" s="455" t="s">
        <v>76</v>
      </c>
      <c r="T219" s="257" t="s">
        <v>849</v>
      </c>
    </row>
    <row r="220" spans="1:20" x14ac:dyDescent="0.25">
      <c r="B220" s="477" t="s">
        <v>250</v>
      </c>
      <c r="C220" s="478" t="s">
        <v>261</v>
      </c>
      <c r="D220" s="477" t="s">
        <v>411</v>
      </c>
      <c r="H220" s="481">
        <v>50</v>
      </c>
      <c r="J220" s="479" t="s">
        <v>1542</v>
      </c>
      <c r="L220" s="455" t="s">
        <v>76</v>
      </c>
      <c r="T220" s="257" t="s">
        <v>849</v>
      </c>
    </row>
    <row r="221" spans="1:20" x14ac:dyDescent="0.25">
      <c r="B221" s="477" t="s">
        <v>147</v>
      </c>
      <c r="C221" s="478" t="s">
        <v>148</v>
      </c>
      <c r="D221" s="477" t="s">
        <v>66</v>
      </c>
      <c r="H221" s="481">
        <v>600</v>
      </c>
      <c r="J221" s="479" t="s">
        <v>1543</v>
      </c>
      <c r="L221" s="455" t="s">
        <v>76</v>
      </c>
      <c r="T221" s="257" t="s">
        <v>849</v>
      </c>
    </row>
    <row r="222" spans="1:20" x14ac:dyDescent="0.25">
      <c r="B222" s="477" t="s">
        <v>963</v>
      </c>
      <c r="C222" s="478" t="s">
        <v>1537</v>
      </c>
      <c r="D222" s="477" t="s">
        <v>411</v>
      </c>
      <c r="H222" s="481">
        <v>100</v>
      </c>
      <c r="J222" s="479" t="s">
        <v>1544</v>
      </c>
      <c r="L222" s="455" t="s">
        <v>76</v>
      </c>
      <c r="T222" s="257" t="s">
        <v>849</v>
      </c>
    </row>
    <row r="223" spans="1:20" x14ac:dyDescent="0.25">
      <c r="B223" s="477" t="s">
        <v>1538</v>
      </c>
      <c r="C223" s="478" t="s">
        <v>1539</v>
      </c>
      <c r="D223" s="477" t="s">
        <v>0</v>
      </c>
      <c r="H223" s="481">
        <v>6</v>
      </c>
      <c r="J223" s="479" t="s">
        <v>1545</v>
      </c>
      <c r="L223" s="455" t="s">
        <v>76</v>
      </c>
      <c r="T223" s="257" t="s">
        <v>849</v>
      </c>
    </row>
    <row r="224" spans="1:20" x14ac:dyDescent="0.25">
      <c r="B224" s="477" t="s">
        <v>258</v>
      </c>
      <c r="C224" s="478" t="s">
        <v>269</v>
      </c>
      <c r="D224" s="477" t="s">
        <v>0</v>
      </c>
      <c r="H224" s="481">
        <v>20</v>
      </c>
      <c r="J224" s="479" t="s">
        <v>1542</v>
      </c>
      <c r="L224" s="455" t="s">
        <v>76</v>
      </c>
      <c r="T224" s="257" t="s">
        <v>849</v>
      </c>
    </row>
    <row r="225" spans="2:20" ht="24" x14ac:dyDescent="0.25">
      <c r="B225" s="483" t="s">
        <v>1546</v>
      </c>
      <c r="C225" s="483" t="s">
        <v>1547</v>
      </c>
      <c r="D225" s="483" t="s">
        <v>0</v>
      </c>
      <c r="E225" s="484">
        <v>15</v>
      </c>
      <c r="F225" s="484">
        <v>15</v>
      </c>
      <c r="G225" s="484">
        <v>0</v>
      </c>
      <c r="H225" s="484">
        <v>15</v>
      </c>
      <c r="I225" s="484">
        <v>15</v>
      </c>
      <c r="J225" s="483" t="s">
        <v>491</v>
      </c>
      <c r="L225" s="8" t="s">
        <v>136</v>
      </c>
      <c r="T225" s="257" t="s">
        <v>849</v>
      </c>
    </row>
    <row r="226" spans="2:20" x14ac:dyDescent="0.25">
      <c r="B226" s="483" t="s">
        <v>1548</v>
      </c>
      <c r="C226" s="483" t="s">
        <v>1549</v>
      </c>
      <c r="D226" s="483" t="s">
        <v>0</v>
      </c>
      <c r="E226" s="484">
        <v>14</v>
      </c>
      <c r="F226" s="484">
        <v>14</v>
      </c>
      <c r="G226" s="484">
        <v>0</v>
      </c>
      <c r="H226" s="484">
        <v>14</v>
      </c>
      <c r="I226" s="484">
        <v>14</v>
      </c>
      <c r="J226" s="483" t="s">
        <v>491</v>
      </c>
      <c r="L226" s="8" t="s">
        <v>136</v>
      </c>
      <c r="T226" s="257" t="s">
        <v>849</v>
      </c>
    </row>
    <row r="227" spans="2:20" x14ac:dyDescent="0.25">
      <c r="B227" s="483" t="s">
        <v>1548</v>
      </c>
      <c r="C227" s="483" t="s">
        <v>1549</v>
      </c>
      <c r="D227" s="483" t="s">
        <v>0</v>
      </c>
      <c r="E227" s="484">
        <v>11</v>
      </c>
      <c r="F227" s="484">
        <v>11</v>
      </c>
      <c r="G227" s="484">
        <v>0</v>
      </c>
      <c r="H227" s="484">
        <v>11</v>
      </c>
      <c r="I227" s="484">
        <v>11</v>
      </c>
      <c r="J227" s="483" t="s">
        <v>491</v>
      </c>
      <c r="L227" s="8" t="s">
        <v>136</v>
      </c>
      <c r="T227" s="257" t="s">
        <v>849</v>
      </c>
    </row>
    <row r="228" spans="2:20" x14ac:dyDescent="0.25">
      <c r="B228" s="483" t="s">
        <v>1550</v>
      </c>
      <c r="C228" s="483" t="s">
        <v>1551</v>
      </c>
      <c r="D228" s="483" t="s">
        <v>0</v>
      </c>
      <c r="E228" s="484">
        <v>20</v>
      </c>
      <c r="F228" s="484">
        <v>20</v>
      </c>
      <c r="G228" s="484">
        <v>0</v>
      </c>
      <c r="H228" s="484">
        <v>20</v>
      </c>
      <c r="I228" s="484">
        <v>20</v>
      </c>
      <c r="J228" s="483" t="s">
        <v>491</v>
      </c>
      <c r="L228" s="8" t="s">
        <v>136</v>
      </c>
      <c r="T228" s="257" t="s">
        <v>849</v>
      </c>
    </row>
    <row r="229" spans="2:20" x14ac:dyDescent="0.25">
      <c r="B229" s="483" t="s">
        <v>1552</v>
      </c>
      <c r="C229" s="483" t="s">
        <v>1553</v>
      </c>
      <c r="D229" s="483" t="s">
        <v>0</v>
      </c>
      <c r="E229" s="484">
        <v>100</v>
      </c>
      <c r="F229" s="484">
        <v>100</v>
      </c>
      <c r="G229" s="484"/>
      <c r="H229" s="484">
        <v>100</v>
      </c>
      <c r="I229" s="484">
        <v>100</v>
      </c>
      <c r="J229" s="483" t="s">
        <v>491</v>
      </c>
      <c r="L229" s="8" t="s">
        <v>136</v>
      </c>
      <c r="T229" s="257" t="s">
        <v>849</v>
      </c>
    </row>
    <row r="230" spans="2:20" x14ac:dyDescent="0.25">
      <c r="B230" s="483" t="s">
        <v>1554</v>
      </c>
      <c r="C230" s="483" t="s">
        <v>1555</v>
      </c>
      <c r="D230" s="483" t="s">
        <v>0</v>
      </c>
      <c r="E230" s="484">
        <v>100</v>
      </c>
      <c r="F230" s="484">
        <v>100</v>
      </c>
      <c r="G230" s="484"/>
      <c r="H230" s="484">
        <v>100</v>
      </c>
      <c r="I230" s="484">
        <v>100</v>
      </c>
      <c r="J230" s="483" t="s">
        <v>491</v>
      </c>
      <c r="L230" s="8" t="s">
        <v>136</v>
      </c>
      <c r="T230" s="257" t="s">
        <v>849</v>
      </c>
    </row>
    <row r="231" spans="2:20" x14ac:dyDescent="0.25">
      <c r="B231" s="483" t="s">
        <v>1025</v>
      </c>
      <c r="C231" s="483" t="s">
        <v>1026</v>
      </c>
      <c r="D231" s="483" t="s">
        <v>0</v>
      </c>
      <c r="E231" s="484">
        <v>280</v>
      </c>
      <c r="F231" s="484">
        <v>280</v>
      </c>
      <c r="G231" s="484"/>
      <c r="H231" s="484">
        <v>280</v>
      </c>
      <c r="I231" s="484">
        <v>280</v>
      </c>
      <c r="J231" s="483" t="s">
        <v>491</v>
      </c>
      <c r="L231" s="8" t="s">
        <v>136</v>
      </c>
      <c r="T231" s="257" t="s">
        <v>849</v>
      </c>
    </row>
    <row r="232" spans="2:20" x14ac:dyDescent="0.25">
      <c r="B232" s="483" t="s">
        <v>1556</v>
      </c>
      <c r="C232" s="483" t="s">
        <v>1557</v>
      </c>
      <c r="D232" s="483" t="s">
        <v>42</v>
      </c>
      <c r="E232" s="484">
        <v>10</v>
      </c>
      <c r="F232" s="484">
        <v>10</v>
      </c>
      <c r="G232" s="484"/>
      <c r="H232" s="484">
        <v>10</v>
      </c>
      <c r="I232" s="484">
        <v>10</v>
      </c>
      <c r="J232" s="483" t="s">
        <v>491</v>
      </c>
      <c r="L232" s="8" t="s">
        <v>136</v>
      </c>
      <c r="T232" s="257" t="s">
        <v>849</v>
      </c>
    </row>
    <row r="233" spans="2:20" x14ac:dyDescent="0.25">
      <c r="B233" s="483" t="s">
        <v>1558</v>
      </c>
      <c r="C233" s="483" t="s">
        <v>1559</v>
      </c>
      <c r="D233" s="483" t="s">
        <v>42</v>
      </c>
      <c r="E233" s="484">
        <v>5</v>
      </c>
      <c r="F233" s="484">
        <v>5</v>
      </c>
      <c r="G233" s="484"/>
      <c r="H233" s="484">
        <v>5</v>
      </c>
      <c r="I233" s="484">
        <v>5</v>
      </c>
      <c r="J233" s="483" t="s">
        <v>491</v>
      </c>
      <c r="L233" s="8" t="s">
        <v>136</v>
      </c>
      <c r="T233" s="257" t="s">
        <v>849</v>
      </c>
    </row>
    <row r="234" spans="2:20" x14ac:dyDescent="0.25">
      <c r="B234" s="483" t="s">
        <v>1560</v>
      </c>
      <c r="C234" s="483" t="s">
        <v>1561</v>
      </c>
      <c r="D234" s="483" t="s">
        <v>42</v>
      </c>
      <c r="E234" s="484">
        <v>52</v>
      </c>
      <c r="F234" s="484">
        <v>52</v>
      </c>
      <c r="G234" s="484"/>
      <c r="H234" s="484">
        <v>52</v>
      </c>
      <c r="I234" s="484">
        <v>52</v>
      </c>
      <c r="J234" s="483" t="s">
        <v>491</v>
      </c>
      <c r="L234" s="8" t="s">
        <v>136</v>
      </c>
      <c r="T234" s="257" t="s">
        <v>849</v>
      </c>
    </row>
    <row r="235" spans="2:20" x14ac:dyDescent="0.25">
      <c r="B235" s="483" t="s">
        <v>1562</v>
      </c>
      <c r="C235" s="483" t="s">
        <v>1563</v>
      </c>
      <c r="D235" s="483" t="s">
        <v>411</v>
      </c>
      <c r="E235" s="484">
        <v>40</v>
      </c>
      <c r="F235" s="484">
        <v>40</v>
      </c>
      <c r="G235" s="484"/>
      <c r="H235" s="484">
        <v>40</v>
      </c>
      <c r="I235" s="484">
        <v>40</v>
      </c>
      <c r="J235" s="483" t="s">
        <v>491</v>
      </c>
      <c r="L235" s="8" t="s">
        <v>136</v>
      </c>
      <c r="T235" s="257" t="s">
        <v>849</v>
      </c>
    </row>
    <row r="236" spans="2:20" x14ac:dyDescent="0.25">
      <c r="B236" s="483" t="s">
        <v>250</v>
      </c>
      <c r="C236" s="483" t="s">
        <v>261</v>
      </c>
      <c r="D236" s="483" t="s">
        <v>411</v>
      </c>
      <c r="E236" s="484">
        <v>50</v>
      </c>
      <c r="F236" s="484">
        <v>50</v>
      </c>
      <c r="G236" s="484"/>
      <c r="H236" s="484">
        <v>50</v>
      </c>
      <c r="I236" s="484">
        <v>50</v>
      </c>
      <c r="J236" s="483" t="s">
        <v>491</v>
      </c>
      <c r="L236" s="8" t="s">
        <v>136</v>
      </c>
      <c r="T236" s="257" t="s">
        <v>849</v>
      </c>
    </row>
    <row r="237" spans="2:20" x14ac:dyDescent="0.25">
      <c r="B237" s="483" t="s">
        <v>249</v>
      </c>
      <c r="C237" s="483" t="s">
        <v>260</v>
      </c>
      <c r="D237" s="483" t="s">
        <v>411</v>
      </c>
      <c r="E237" s="484">
        <v>50</v>
      </c>
      <c r="F237" s="484">
        <v>50</v>
      </c>
      <c r="G237" s="484"/>
      <c r="H237" s="484">
        <v>50</v>
      </c>
      <c r="I237" s="484">
        <v>50</v>
      </c>
      <c r="J237" s="483" t="s">
        <v>491</v>
      </c>
      <c r="L237" s="8" t="s">
        <v>136</v>
      </c>
      <c r="T237" s="257" t="s">
        <v>849</v>
      </c>
    </row>
    <row r="238" spans="2:20" x14ac:dyDescent="0.25">
      <c r="B238" s="483" t="s">
        <v>1564</v>
      </c>
      <c r="C238" s="483" t="s">
        <v>1565</v>
      </c>
      <c r="D238" s="483" t="s">
        <v>42</v>
      </c>
      <c r="E238" s="484">
        <v>10</v>
      </c>
      <c r="F238" s="484">
        <v>10</v>
      </c>
      <c r="G238" s="484"/>
      <c r="H238" s="484">
        <v>10</v>
      </c>
      <c r="I238" s="484">
        <v>10</v>
      </c>
      <c r="J238" s="483" t="s">
        <v>491</v>
      </c>
      <c r="L238" s="8" t="s">
        <v>136</v>
      </c>
      <c r="T238" s="257" t="s">
        <v>849</v>
      </c>
    </row>
    <row r="239" spans="2:20" x14ac:dyDescent="0.25">
      <c r="B239" s="483" t="s">
        <v>1566</v>
      </c>
      <c r="C239" s="483" t="s">
        <v>1561</v>
      </c>
      <c r="D239" s="483" t="s">
        <v>42</v>
      </c>
      <c r="E239" s="484">
        <v>10</v>
      </c>
      <c r="F239" s="484">
        <v>10</v>
      </c>
      <c r="G239" s="484"/>
      <c r="H239" s="484">
        <v>10</v>
      </c>
      <c r="I239" s="484">
        <v>10</v>
      </c>
      <c r="J239" s="483" t="s">
        <v>491</v>
      </c>
      <c r="L239" s="8" t="s">
        <v>136</v>
      </c>
      <c r="T239" s="257" t="s">
        <v>849</v>
      </c>
    </row>
    <row r="240" spans="2:20" x14ac:dyDescent="0.25">
      <c r="B240" s="483" t="s">
        <v>1567</v>
      </c>
      <c r="C240" s="483" t="s">
        <v>1568</v>
      </c>
      <c r="D240" s="483" t="s">
        <v>42</v>
      </c>
      <c r="E240" s="484">
        <v>10</v>
      </c>
      <c r="F240" s="484">
        <v>10</v>
      </c>
      <c r="G240" s="484"/>
      <c r="H240" s="484">
        <v>10</v>
      </c>
      <c r="I240" s="484">
        <v>10</v>
      </c>
      <c r="J240" s="483" t="s">
        <v>491</v>
      </c>
      <c r="L240" s="8" t="s">
        <v>136</v>
      </c>
      <c r="T240" s="257" t="s">
        <v>849</v>
      </c>
    </row>
    <row r="241" spans="2:20" x14ac:dyDescent="0.25">
      <c r="B241" s="483" t="s">
        <v>1569</v>
      </c>
      <c r="C241" s="483" t="s">
        <v>1570</v>
      </c>
      <c r="D241" s="483" t="s">
        <v>42</v>
      </c>
      <c r="E241" s="484">
        <v>10</v>
      </c>
      <c r="F241" s="484">
        <v>10</v>
      </c>
      <c r="G241" s="484"/>
      <c r="H241" s="484">
        <v>10</v>
      </c>
      <c r="I241" s="484">
        <v>10</v>
      </c>
      <c r="J241" s="483" t="s">
        <v>491</v>
      </c>
      <c r="L241" s="8" t="s">
        <v>136</v>
      </c>
      <c r="T241" s="257" t="s">
        <v>849</v>
      </c>
    </row>
    <row r="242" spans="2:20" x14ac:dyDescent="0.25">
      <c r="B242" s="483" t="s">
        <v>1571</v>
      </c>
      <c r="C242" s="483" t="s">
        <v>1572</v>
      </c>
      <c r="D242" s="483" t="s">
        <v>42</v>
      </c>
      <c r="E242" s="484">
        <v>10</v>
      </c>
      <c r="F242" s="484">
        <v>10</v>
      </c>
      <c r="G242" s="484"/>
      <c r="H242" s="484">
        <v>10</v>
      </c>
      <c r="I242" s="484">
        <v>10</v>
      </c>
      <c r="J242" s="483" t="s">
        <v>491</v>
      </c>
      <c r="L242" s="8" t="s">
        <v>136</v>
      </c>
      <c r="T242" s="257" t="s">
        <v>849</v>
      </c>
    </row>
    <row r="243" spans="2:20" x14ac:dyDescent="0.25">
      <c r="B243" s="483" t="s">
        <v>1573</v>
      </c>
      <c r="C243" s="483" t="s">
        <v>1574</v>
      </c>
      <c r="D243" s="483" t="s">
        <v>0</v>
      </c>
      <c r="E243" s="484">
        <v>5</v>
      </c>
      <c r="F243" s="484">
        <v>5</v>
      </c>
      <c r="G243" s="484"/>
      <c r="H243" s="484">
        <v>5</v>
      </c>
      <c r="I243" s="484">
        <v>5</v>
      </c>
      <c r="J243" s="483" t="s">
        <v>491</v>
      </c>
      <c r="L243" s="8" t="s">
        <v>136</v>
      </c>
      <c r="T243" s="257" t="s">
        <v>849</v>
      </c>
    </row>
    <row r="244" spans="2:20" ht="24" x14ac:dyDescent="0.25">
      <c r="B244" s="483" t="s">
        <v>1515</v>
      </c>
      <c r="C244" s="483" t="s">
        <v>1516</v>
      </c>
      <c r="D244" s="483" t="s">
        <v>0</v>
      </c>
      <c r="E244" s="484">
        <v>14</v>
      </c>
      <c r="F244" s="484">
        <v>14</v>
      </c>
      <c r="G244" s="484"/>
      <c r="H244" s="484">
        <v>14</v>
      </c>
      <c r="I244" s="484">
        <v>14</v>
      </c>
      <c r="J244" s="483" t="s">
        <v>491</v>
      </c>
      <c r="L244" s="8" t="s">
        <v>136</v>
      </c>
      <c r="T244" s="257" t="s">
        <v>849</v>
      </c>
    </row>
    <row r="245" spans="2:20" x14ac:dyDescent="0.25">
      <c r="B245" s="483" t="s">
        <v>1575</v>
      </c>
      <c r="C245" s="483" t="s">
        <v>1576</v>
      </c>
      <c r="D245" s="483" t="s">
        <v>0</v>
      </c>
      <c r="E245" s="484">
        <v>5</v>
      </c>
      <c r="F245" s="484">
        <v>5</v>
      </c>
      <c r="G245" s="484"/>
      <c r="H245" s="484">
        <v>5</v>
      </c>
      <c r="I245" s="484">
        <v>5</v>
      </c>
      <c r="J245" s="483" t="s">
        <v>1577</v>
      </c>
      <c r="L245" s="8" t="s">
        <v>136</v>
      </c>
      <c r="T245" s="257" t="s">
        <v>849</v>
      </c>
    </row>
    <row r="246" spans="2:20" x14ac:dyDescent="0.25">
      <c r="B246" s="483" t="s">
        <v>967</v>
      </c>
      <c r="C246" s="483" t="s">
        <v>996</v>
      </c>
      <c r="D246" s="483" t="s">
        <v>1019</v>
      </c>
      <c r="E246" s="484">
        <v>8</v>
      </c>
      <c r="F246" s="484">
        <v>8</v>
      </c>
      <c r="G246" s="484"/>
      <c r="H246" s="484">
        <v>8</v>
      </c>
      <c r="I246" s="484">
        <v>8</v>
      </c>
      <c r="J246" s="483" t="s">
        <v>1577</v>
      </c>
      <c r="L246" s="8" t="s">
        <v>136</v>
      </c>
      <c r="T246" s="257" t="s">
        <v>849</v>
      </c>
    </row>
    <row r="247" spans="2:20" x14ac:dyDescent="0.25">
      <c r="B247" s="483" t="s">
        <v>1578</v>
      </c>
      <c r="C247" s="483" t="s">
        <v>1579</v>
      </c>
      <c r="D247" s="483" t="s">
        <v>51</v>
      </c>
      <c r="E247" s="484">
        <v>2</v>
      </c>
      <c r="F247" s="484">
        <v>2</v>
      </c>
      <c r="G247" s="484"/>
      <c r="H247" s="484">
        <v>2</v>
      </c>
      <c r="I247" s="484">
        <v>2</v>
      </c>
      <c r="J247" s="483" t="s">
        <v>1577</v>
      </c>
      <c r="L247" s="8" t="s">
        <v>136</v>
      </c>
      <c r="T247" s="257" t="s">
        <v>849</v>
      </c>
    </row>
    <row r="248" spans="2:20" x14ac:dyDescent="0.25">
      <c r="B248" s="483" t="s">
        <v>970</v>
      </c>
      <c r="C248" s="483" t="s">
        <v>1246</v>
      </c>
      <c r="D248" s="483" t="s">
        <v>51</v>
      </c>
      <c r="E248" s="484">
        <v>12</v>
      </c>
      <c r="F248" s="484">
        <v>12</v>
      </c>
      <c r="G248" s="484"/>
      <c r="H248" s="484">
        <v>12</v>
      </c>
      <c r="I248" s="484">
        <v>12</v>
      </c>
      <c r="J248" s="483" t="s">
        <v>1580</v>
      </c>
      <c r="L248" s="8" t="s">
        <v>136</v>
      </c>
      <c r="T248" s="257" t="s">
        <v>849</v>
      </c>
    </row>
    <row r="249" spans="2:20" ht="36" x14ac:dyDescent="0.25">
      <c r="B249" s="483" t="s">
        <v>1478</v>
      </c>
      <c r="C249" s="483" t="s">
        <v>1194</v>
      </c>
      <c r="D249" s="483" t="s">
        <v>0</v>
      </c>
      <c r="E249" s="484">
        <v>4</v>
      </c>
      <c r="F249" s="484">
        <v>4</v>
      </c>
      <c r="G249" s="484"/>
      <c r="H249" s="484">
        <v>4</v>
      </c>
      <c r="I249" s="484">
        <v>4</v>
      </c>
      <c r="J249" s="483" t="s">
        <v>1581</v>
      </c>
      <c r="L249" s="8" t="s">
        <v>136</v>
      </c>
      <c r="T249" s="257" t="s">
        <v>849</v>
      </c>
    </row>
    <row r="250" spans="2:20" ht="36" x14ac:dyDescent="0.25">
      <c r="B250" s="483" t="s">
        <v>1582</v>
      </c>
      <c r="C250" s="483" t="s">
        <v>1583</v>
      </c>
      <c r="D250" s="483" t="s">
        <v>0</v>
      </c>
      <c r="E250" s="484">
        <v>1</v>
      </c>
      <c r="F250" s="484">
        <v>1</v>
      </c>
      <c r="G250" s="484"/>
      <c r="H250" s="484">
        <v>1</v>
      </c>
      <c r="I250" s="484">
        <v>1</v>
      </c>
      <c r="J250" s="483" t="s">
        <v>1584</v>
      </c>
      <c r="L250" s="8" t="s">
        <v>136</v>
      </c>
      <c r="T250" s="257" t="s">
        <v>849</v>
      </c>
    </row>
    <row r="251" spans="2:20" ht="36" x14ac:dyDescent="0.25">
      <c r="B251" s="483" t="s">
        <v>1585</v>
      </c>
      <c r="C251" s="483" t="s">
        <v>1586</v>
      </c>
      <c r="D251" s="483" t="s">
        <v>0</v>
      </c>
      <c r="E251" s="484">
        <v>2</v>
      </c>
      <c r="F251" s="484">
        <v>2</v>
      </c>
      <c r="G251" s="484"/>
      <c r="H251" s="484">
        <v>2</v>
      </c>
      <c r="I251" s="484">
        <v>2</v>
      </c>
      <c r="J251" s="483" t="s">
        <v>1587</v>
      </c>
      <c r="L251" s="8" t="s">
        <v>136</v>
      </c>
      <c r="T251" s="257" t="s">
        <v>849</v>
      </c>
    </row>
    <row r="252" spans="2:20" ht="24" x14ac:dyDescent="0.25">
      <c r="B252" s="483" t="s">
        <v>1588</v>
      </c>
      <c r="C252" s="483" t="s">
        <v>1589</v>
      </c>
      <c r="D252" s="483" t="s">
        <v>0</v>
      </c>
      <c r="E252" s="484">
        <v>1</v>
      </c>
      <c r="F252" s="484">
        <v>1</v>
      </c>
      <c r="G252" s="484"/>
      <c r="H252" s="484">
        <v>1</v>
      </c>
      <c r="I252" s="484">
        <v>1</v>
      </c>
      <c r="J252" s="483" t="s">
        <v>1590</v>
      </c>
      <c r="L252" s="8" t="s">
        <v>136</v>
      </c>
      <c r="T252" s="257" t="s">
        <v>849</v>
      </c>
    </row>
    <row r="253" spans="2:20" ht="36" x14ac:dyDescent="0.25">
      <c r="B253" s="483" t="s">
        <v>1591</v>
      </c>
      <c r="C253" s="483" t="s">
        <v>1592</v>
      </c>
      <c r="D253" s="483" t="s">
        <v>0</v>
      </c>
      <c r="E253" s="484">
        <v>1</v>
      </c>
      <c r="F253" s="484">
        <v>1</v>
      </c>
      <c r="G253" s="484"/>
      <c r="H253" s="484">
        <v>1</v>
      </c>
      <c r="I253" s="484">
        <v>1</v>
      </c>
      <c r="J253" s="483" t="s">
        <v>1593</v>
      </c>
      <c r="L253" s="8" t="s">
        <v>136</v>
      </c>
      <c r="T253" s="257" t="s">
        <v>849</v>
      </c>
    </row>
    <row r="254" spans="2:20" x14ac:dyDescent="0.25">
      <c r="B254" s="483" t="s">
        <v>1594</v>
      </c>
      <c r="C254" s="483" t="s">
        <v>1595</v>
      </c>
      <c r="D254" s="483" t="s">
        <v>42</v>
      </c>
      <c r="E254" s="484">
        <v>10</v>
      </c>
      <c r="F254" s="484">
        <v>10</v>
      </c>
      <c r="G254" s="484"/>
      <c r="H254" s="484">
        <v>10</v>
      </c>
      <c r="I254" s="484">
        <v>10</v>
      </c>
      <c r="J254" s="483" t="s">
        <v>1030</v>
      </c>
      <c r="L254" s="8" t="s">
        <v>136</v>
      </c>
      <c r="T254" s="257" t="s">
        <v>849</v>
      </c>
    </row>
    <row r="255" spans="2:20" ht="36" x14ac:dyDescent="0.25">
      <c r="B255" s="483" t="s">
        <v>1596</v>
      </c>
      <c r="C255" s="483" t="s">
        <v>1597</v>
      </c>
      <c r="D255" s="483" t="s">
        <v>428</v>
      </c>
      <c r="E255" s="484">
        <v>46</v>
      </c>
      <c r="F255" s="484">
        <v>46</v>
      </c>
      <c r="G255" s="484"/>
      <c r="H255" s="484">
        <v>46</v>
      </c>
      <c r="I255" s="484">
        <v>46</v>
      </c>
      <c r="J255" s="483" t="s">
        <v>1598</v>
      </c>
      <c r="L255" s="8" t="s">
        <v>136</v>
      </c>
      <c r="T255" s="257" t="s">
        <v>849</v>
      </c>
    </row>
    <row r="256" spans="2:20" ht="36" x14ac:dyDescent="0.25">
      <c r="B256" s="483" t="s">
        <v>1599</v>
      </c>
      <c r="C256" s="483" t="s">
        <v>1600</v>
      </c>
      <c r="D256" s="483" t="s">
        <v>0</v>
      </c>
      <c r="E256" s="484">
        <v>2</v>
      </c>
      <c r="F256" s="484">
        <v>2</v>
      </c>
      <c r="G256" s="484"/>
      <c r="H256" s="484">
        <v>2</v>
      </c>
      <c r="I256" s="484">
        <v>2</v>
      </c>
      <c r="J256" s="483" t="s">
        <v>1601</v>
      </c>
      <c r="L256" s="8" t="s">
        <v>136</v>
      </c>
      <c r="T256" s="257" t="s">
        <v>849</v>
      </c>
    </row>
    <row r="257" spans="2:20" ht="24" x14ac:dyDescent="0.25">
      <c r="B257" s="483" t="s">
        <v>1602</v>
      </c>
      <c r="C257" s="483" t="s">
        <v>1603</v>
      </c>
      <c r="D257" s="483" t="s">
        <v>0</v>
      </c>
      <c r="E257" s="484">
        <v>16</v>
      </c>
      <c r="F257" s="484">
        <v>16</v>
      </c>
      <c r="G257" s="484"/>
      <c r="H257" s="484">
        <v>16</v>
      </c>
      <c r="I257" s="484">
        <v>16</v>
      </c>
      <c r="J257" s="483" t="s">
        <v>1598</v>
      </c>
      <c r="L257" s="8" t="s">
        <v>136</v>
      </c>
      <c r="T257" s="257" t="s">
        <v>849</v>
      </c>
    </row>
    <row r="258" spans="2:20" x14ac:dyDescent="0.25">
      <c r="B258" s="483" t="s">
        <v>1513</v>
      </c>
      <c r="C258" s="483" t="s">
        <v>1514</v>
      </c>
      <c r="D258" s="483" t="s">
        <v>0</v>
      </c>
      <c r="E258" s="484">
        <v>12</v>
      </c>
      <c r="F258" s="484">
        <v>12</v>
      </c>
      <c r="G258" s="484"/>
      <c r="H258" s="484">
        <v>12</v>
      </c>
      <c r="I258" s="484">
        <v>12</v>
      </c>
      <c r="J258" s="483" t="s">
        <v>1604</v>
      </c>
      <c r="L258" s="8" t="s">
        <v>136</v>
      </c>
      <c r="T258" s="257" t="s">
        <v>849</v>
      </c>
    </row>
    <row r="259" spans="2:20" ht="36" x14ac:dyDescent="0.25">
      <c r="B259" s="483" t="s">
        <v>1605</v>
      </c>
      <c r="C259" s="483" t="s">
        <v>1606</v>
      </c>
      <c r="D259" s="483" t="s">
        <v>0</v>
      </c>
      <c r="E259" s="484">
        <v>4</v>
      </c>
      <c r="F259" s="484">
        <v>4</v>
      </c>
      <c r="G259" s="484"/>
      <c r="H259" s="484">
        <v>4</v>
      </c>
      <c r="I259" s="484">
        <v>4</v>
      </c>
      <c r="J259" s="483" t="s">
        <v>1601</v>
      </c>
      <c r="L259" s="8" t="s">
        <v>136</v>
      </c>
      <c r="T259" s="257" t="s">
        <v>849</v>
      </c>
    </row>
    <row r="260" spans="2:20" ht="36" x14ac:dyDescent="0.25">
      <c r="B260" s="483" t="s">
        <v>1195</v>
      </c>
      <c r="C260" s="483" t="s">
        <v>1196</v>
      </c>
      <c r="D260" s="483" t="s">
        <v>0</v>
      </c>
      <c r="E260" s="484">
        <v>3</v>
      </c>
      <c r="F260" s="484">
        <v>3</v>
      </c>
      <c r="G260" s="484"/>
      <c r="H260" s="484">
        <v>3</v>
      </c>
      <c r="I260" s="484">
        <v>3</v>
      </c>
      <c r="J260" s="483" t="s">
        <v>1607</v>
      </c>
      <c r="L260" s="8" t="s">
        <v>136</v>
      </c>
      <c r="T260" s="257" t="s">
        <v>849</v>
      </c>
    </row>
    <row r="261" spans="2:20" ht="36" x14ac:dyDescent="0.25">
      <c r="B261" s="483" t="s">
        <v>1183</v>
      </c>
      <c r="C261" s="483" t="s">
        <v>1184</v>
      </c>
      <c r="D261" s="483" t="s">
        <v>0</v>
      </c>
      <c r="E261" s="484">
        <v>1</v>
      </c>
      <c r="F261" s="484">
        <v>1</v>
      </c>
      <c r="G261" s="484"/>
      <c r="H261" s="484">
        <v>1</v>
      </c>
      <c r="I261" s="484">
        <v>1</v>
      </c>
      <c r="J261" s="483" t="s">
        <v>1608</v>
      </c>
      <c r="L261" s="8" t="s">
        <v>136</v>
      </c>
      <c r="T261" s="257" t="s">
        <v>849</v>
      </c>
    </row>
    <row r="262" spans="2:20" x14ac:dyDescent="0.25">
      <c r="B262" s="483" t="s">
        <v>1609</v>
      </c>
      <c r="C262" s="483" t="s">
        <v>1610</v>
      </c>
      <c r="D262" s="483" t="s">
        <v>1203</v>
      </c>
      <c r="E262" s="484">
        <v>100</v>
      </c>
      <c r="F262" s="484">
        <v>100</v>
      </c>
      <c r="G262" s="484"/>
      <c r="H262" s="484">
        <v>100</v>
      </c>
      <c r="I262" s="484">
        <v>100</v>
      </c>
      <c r="J262" s="483" t="s">
        <v>493</v>
      </c>
      <c r="L262" s="8" t="s">
        <v>136</v>
      </c>
      <c r="T262" s="257" t="s">
        <v>849</v>
      </c>
    </row>
    <row r="263" spans="2:20" x14ac:dyDescent="0.25">
      <c r="B263" s="483" t="s">
        <v>1611</v>
      </c>
      <c r="C263" s="483" t="s">
        <v>1612</v>
      </c>
      <c r="D263" s="405" t="s">
        <v>0</v>
      </c>
      <c r="E263" s="405">
        <v>6</v>
      </c>
      <c r="F263" s="405">
        <v>6</v>
      </c>
      <c r="G263" s="405"/>
      <c r="H263" s="405">
        <v>6</v>
      </c>
      <c r="I263" s="405">
        <v>6</v>
      </c>
      <c r="J263" s="483" t="s">
        <v>1613</v>
      </c>
      <c r="L263" s="8" t="s">
        <v>136</v>
      </c>
      <c r="T263" s="257" t="s">
        <v>849</v>
      </c>
    </row>
    <row r="1046075" spans="3:11" s="5" customFormat="1" ht="26.25" customHeight="1" x14ac:dyDescent="0.25">
      <c r="C1046075" s="23"/>
      <c r="H1046075" s="237"/>
      <c r="J1046075" s="49"/>
      <c r="K1046075" s="94"/>
    </row>
  </sheetData>
  <autoFilter ref="A21:AF263" xr:uid="{00000000-0009-0000-0000-000000000000}"/>
  <mergeCells count="6">
    <mergeCell ref="B15:J15"/>
    <mergeCell ref="A10:B10"/>
    <mergeCell ref="A11:B11"/>
    <mergeCell ref="A12:B12"/>
    <mergeCell ref="H12:I12"/>
    <mergeCell ref="B14:J14"/>
  </mergeCells>
  <printOptions horizontalCentered="1"/>
  <pageMargins left="0" right="0" top="0.25" bottom="0.25" header="0.3" footer="0.3"/>
  <pageSetup scale="55"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6075"/>
  <sheetViews>
    <sheetView topLeftCell="A194" zoomScale="80" zoomScaleNormal="80" workbookViewId="0">
      <selection activeCell="B219" sqref="B219"/>
    </sheetView>
  </sheetViews>
  <sheetFormatPr defaultColWidth="9.140625" defaultRowHeight="16.5" x14ac:dyDescent="0.25"/>
  <cols>
    <col min="1" max="1" width="8.85546875" style="5" customWidth="1"/>
    <col min="2" max="2" width="22.5703125" style="5" customWidth="1"/>
    <col min="3" max="3" width="29.85546875" style="49" customWidth="1"/>
    <col min="4" max="4" width="10.42578125" style="5" customWidth="1"/>
    <col min="5" max="5" width="11" style="5" customWidth="1"/>
    <col min="6" max="7" width="11.7109375" style="5" customWidth="1"/>
    <col min="8" max="8" width="9.85546875" style="237" customWidth="1"/>
    <col min="9" max="9" width="9.5703125" style="5" hidden="1" customWidth="1"/>
    <col min="10" max="10" width="61.28515625" style="49" customWidth="1"/>
    <col min="11" max="11" width="19.5703125" style="94" hidden="1" customWidth="1"/>
    <col min="12" max="12" width="26.42578125" style="8" customWidth="1"/>
    <col min="13" max="18" width="5.5703125" style="8" hidden="1" customWidth="1"/>
    <col min="19" max="24" width="5.5703125" style="8" customWidth="1"/>
    <col min="25" max="16384" width="9.140625" style="8"/>
  </cols>
  <sheetData>
    <row r="1" spans="1:20" ht="28.5" hidden="1" customHeight="1" x14ac:dyDescent="0.25">
      <c r="A1" s="5" t="s">
        <v>8</v>
      </c>
      <c r="C1" s="87"/>
      <c r="D1" s="88"/>
      <c r="E1" s="88"/>
      <c r="F1" s="88"/>
      <c r="G1" s="88"/>
      <c r="H1" s="88"/>
      <c r="I1" s="88"/>
      <c r="J1" s="87"/>
      <c r="K1" s="91"/>
      <c r="L1" s="92"/>
      <c r="M1" s="92"/>
      <c r="N1" s="92"/>
      <c r="O1" s="92"/>
      <c r="P1" s="92"/>
      <c r="Q1" s="92"/>
      <c r="R1" s="92"/>
      <c r="S1" s="92"/>
      <c r="T1" s="92"/>
    </row>
    <row r="2" spans="1:20" ht="28.5" hidden="1" customHeight="1" x14ac:dyDescent="0.25">
      <c r="A2" s="83" t="s">
        <v>9</v>
      </c>
      <c r="B2" s="83"/>
      <c r="C2" s="87"/>
      <c r="D2" s="88"/>
      <c r="E2" s="88"/>
      <c r="F2" s="88"/>
      <c r="G2" s="88"/>
      <c r="H2" s="88"/>
      <c r="I2" s="88"/>
      <c r="J2" s="87"/>
      <c r="K2" s="91"/>
      <c r="L2" s="92"/>
      <c r="M2" s="92"/>
      <c r="N2" s="92"/>
      <c r="O2" s="92"/>
      <c r="P2" s="92"/>
      <c r="Q2" s="92"/>
      <c r="R2" s="92"/>
      <c r="S2" s="92"/>
      <c r="T2" s="92"/>
    </row>
    <row r="3" spans="1:20" ht="19.5" hidden="1" customHeight="1" x14ac:dyDescent="0.25">
      <c r="C3" s="87"/>
      <c r="D3" s="88"/>
      <c r="E3" s="88"/>
      <c r="F3" s="88"/>
      <c r="G3" s="88"/>
      <c r="H3" s="88"/>
      <c r="I3" s="88"/>
      <c r="J3" s="87"/>
      <c r="K3" s="91"/>
      <c r="L3" s="92"/>
      <c r="M3" s="92"/>
      <c r="N3" s="92"/>
      <c r="O3" s="92"/>
      <c r="P3" s="92"/>
      <c r="Q3" s="92"/>
      <c r="R3" s="92"/>
      <c r="S3" s="92"/>
      <c r="T3" s="92"/>
    </row>
    <row r="4" spans="1:20" ht="14.25" hidden="1" customHeight="1" x14ac:dyDescent="0.25">
      <c r="C4" s="87"/>
      <c r="D4" s="88"/>
      <c r="E4" s="88"/>
      <c r="F4" s="88"/>
      <c r="G4" s="88"/>
      <c r="H4" s="88"/>
      <c r="I4" s="88"/>
      <c r="J4" s="87"/>
      <c r="K4" s="91"/>
      <c r="L4" s="92"/>
      <c r="M4" s="92"/>
      <c r="N4" s="92"/>
      <c r="O4" s="92"/>
      <c r="P4" s="92"/>
      <c r="Q4" s="92"/>
      <c r="R4" s="92"/>
      <c r="S4" s="92"/>
      <c r="T4" s="92"/>
    </row>
    <row r="5" spans="1:20" ht="14.25" hidden="1" customHeight="1" x14ac:dyDescent="0.25">
      <c r="B5" s="5" t="s">
        <v>14</v>
      </c>
      <c r="C5" s="87"/>
      <c r="D5" s="88"/>
      <c r="E5" s="88"/>
      <c r="F5" s="88"/>
      <c r="G5" s="88"/>
      <c r="H5" s="88"/>
      <c r="I5" s="88"/>
      <c r="J5" s="87"/>
      <c r="K5" s="91"/>
      <c r="L5" s="92"/>
      <c r="M5" s="92"/>
      <c r="N5" s="92"/>
      <c r="O5" s="92"/>
      <c r="P5" s="92"/>
      <c r="Q5" s="92"/>
      <c r="R5" s="92"/>
      <c r="S5" s="92"/>
      <c r="T5" s="92"/>
    </row>
    <row r="6" spans="1:20" ht="14.25" hidden="1" customHeight="1" x14ac:dyDescent="0.25">
      <c r="B6" s="5" t="s">
        <v>12</v>
      </c>
      <c r="C6" s="87"/>
      <c r="D6" s="88"/>
      <c r="E6" s="88"/>
      <c r="F6" s="88"/>
      <c r="G6" s="88"/>
      <c r="H6" s="88"/>
      <c r="I6" s="88"/>
      <c r="J6" s="87"/>
      <c r="K6" s="91"/>
      <c r="L6" s="92"/>
      <c r="M6" s="92"/>
      <c r="N6" s="92"/>
      <c r="O6" s="92"/>
      <c r="P6" s="92"/>
      <c r="Q6" s="92"/>
      <c r="R6" s="92"/>
      <c r="S6" s="92"/>
      <c r="T6" s="92"/>
    </row>
    <row r="7" spans="1:20" ht="14.25" hidden="1" customHeight="1" x14ac:dyDescent="0.25">
      <c r="B7" s="5" t="s">
        <v>15</v>
      </c>
      <c r="C7" s="87"/>
      <c r="D7" s="88"/>
      <c r="E7" s="88"/>
      <c r="F7" s="88"/>
      <c r="G7" s="88"/>
      <c r="H7" s="88"/>
      <c r="I7" s="88"/>
      <c r="J7" s="87"/>
      <c r="K7" s="91"/>
      <c r="L7" s="92"/>
      <c r="M7" s="92"/>
      <c r="N7" s="92"/>
      <c r="O7" s="92"/>
      <c r="P7" s="92"/>
      <c r="Q7" s="92"/>
      <c r="R7" s="92"/>
      <c r="S7" s="92"/>
      <c r="T7" s="92"/>
    </row>
    <row r="8" spans="1:20" ht="14.25" hidden="1" customHeight="1" x14ac:dyDescent="0.25">
      <c r="B8" s="5" t="s">
        <v>13</v>
      </c>
      <c r="C8" s="87"/>
      <c r="D8" s="88"/>
      <c r="E8" s="88"/>
      <c r="F8" s="88"/>
      <c r="G8" s="88"/>
      <c r="H8" s="88"/>
      <c r="I8" s="88"/>
      <c r="J8" s="87"/>
      <c r="K8" s="91"/>
      <c r="L8" s="92"/>
      <c r="M8" s="92"/>
      <c r="N8" s="92"/>
      <c r="O8" s="92"/>
      <c r="P8" s="92"/>
      <c r="Q8" s="92"/>
      <c r="R8" s="92"/>
      <c r="S8" s="92"/>
      <c r="T8" s="92"/>
    </row>
    <row r="9" spans="1:20" ht="14.25" hidden="1" customHeight="1" x14ac:dyDescent="0.25">
      <c r="C9" s="87"/>
      <c r="D9" s="88"/>
      <c r="E9" s="88"/>
      <c r="F9" s="88"/>
      <c r="G9" s="88"/>
      <c r="H9" s="88"/>
      <c r="I9" s="88"/>
      <c r="J9" s="87"/>
      <c r="K9" s="91"/>
      <c r="L9" s="92"/>
      <c r="M9" s="92"/>
      <c r="N9" s="92"/>
      <c r="O9" s="92"/>
      <c r="P9" s="92"/>
      <c r="Q9" s="92"/>
      <c r="R9" s="92"/>
      <c r="S9" s="92"/>
      <c r="T9" s="92"/>
    </row>
    <row r="10" spans="1:20" ht="45" customHeight="1" x14ac:dyDescent="0.25">
      <c r="A10" s="487" t="s">
        <v>109</v>
      </c>
      <c r="B10" s="487"/>
      <c r="C10" s="87"/>
      <c r="D10" s="88"/>
      <c r="E10" s="88"/>
      <c r="F10" s="88"/>
      <c r="G10" s="88"/>
      <c r="H10" s="88"/>
      <c r="I10" s="88"/>
      <c r="J10" s="93" t="s">
        <v>371</v>
      </c>
      <c r="L10" s="92"/>
      <c r="M10" s="92"/>
      <c r="N10" s="92"/>
      <c r="O10" s="92"/>
      <c r="P10" s="92"/>
      <c r="Q10" s="92"/>
      <c r="R10" s="92"/>
      <c r="S10" s="92"/>
      <c r="T10" s="92"/>
    </row>
    <row r="11" spans="1:20" ht="18.75" x14ac:dyDescent="0.25">
      <c r="A11" s="488" t="s">
        <v>9</v>
      </c>
      <c r="B11" s="488"/>
      <c r="C11" s="229"/>
      <c r="D11" s="96"/>
      <c r="E11" s="96"/>
      <c r="F11" s="96"/>
      <c r="G11" s="96"/>
      <c r="H11" s="96"/>
      <c r="I11" s="96"/>
      <c r="J11" s="229"/>
      <c r="K11" s="99"/>
      <c r="L11" s="95"/>
      <c r="M11" s="95"/>
      <c r="N11" s="95"/>
      <c r="O11" s="95"/>
      <c r="P11" s="95"/>
      <c r="Q11" s="95"/>
      <c r="R11" s="95"/>
      <c r="S11" s="95"/>
      <c r="T11" s="95"/>
    </row>
    <row r="12" spans="1:20" x14ac:dyDescent="0.25">
      <c r="A12" s="486" t="s">
        <v>893</v>
      </c>
      <c r="B12" s="486"/>
      <c r="C12" s="6"/>
      <c r="H12" s="489"/>
      <c r="I12" s="489"/>
      <c r="J12" s="6"/>
    </row>
    <row r="13" spans="1:20" x14ac:dyDescent="0.25">
      <c r="C13" s="6"/>
      <c r="H13" s="5"/>
      <c r="J13" s="6"/>
    </row>
    <row r="14" spans="1:20" s="104" customFormat="1" ht="25.5" x14ac:dyDescent="0.25">
      <c r="A14" s="103"/>
      <c r="B14" s="490" t="s">
        <v>368</v>
      </c>
      <c r="C14" s="490"/>
      <c r="D14" s="490"/>
      <c r="E14" s="490"/>
      <c r="F14" s="490"/>
      <c r="G14" s="490"/>
      <c r="H14" s="490"/>
      <c r="I14" s="490"/>
      <c r="J14" s="490"/>
      <c r="K14" s="91"/>
    </row>
    <row r="15" spans="1:20" x14ac:dyDescent="0.25">
      <c r="B15" s="486" t="s">
        <v>1416</v>
      </c>
      <c r="C15" s="486"/>
      <c r="D15" s="486"/>
      <c r="E15" s="486"/>
      <c r="F15" s="486"/>
      <c r="G15" s="486"/>
      <c r="H15" s="486"/>
      <c r="I15" s="486"/>
      <c r="J15" s="486"/>
      <c r="K15" s="105"/>
    </row>
    <row r="16" spans="1:20" x14ac:dyDescent="0.25">
      <c r="C16" s="6"/>
      <c r="H16" s="5"/>
      <c r="J16" s="6"/>
      <c r="K16" s="105"/>
    </row>
    <row r="17" spans="1:24" x14ac:dyDescent="0.25">
      <c r="B17" s="5" t="s">
        <v>220</v>
      </c>
      <c r="C17" s="6"/>
      <c r="H17" s="5"/>
      <c r="J17" s="6" t="s">
        <v>797</v>
      </c>
      <c r="K17" s="105"/>
    </row>
    <row r="18" spans="1:24" x14ac:dyDescent="0.25">
      <c r="B18" s="5" t="s">
        <v>1417</v>
      </c>
      <c r="C18" s="6"/>
      <c r="H18" s="5"/>
      <c r="J18" s="6" t="s">
        <v>513</v>
      </c>
      <c r="K18" s="105"/>
    </row>
    <row r="19" spans="1:24" x14ac:dyDescent="0.25">
      <c r="C19" s="6"/>
      <c r="H19" s="5"/>
      <c r="J19" s="6" t="s">
        <v>514</v>
      </c>
      <c r="K19" s="105"/>
    </row>
    <row r="20" spans="1:24" x14ac:dyDescent="0.25">
      <c r="A20" s="106"/>
      <c r="B20" s="106"/>
      <c r="C20" s="108"/>
      <c r="D20" s="106"/>
      <c r="E20" s="106"/>
      <c r="F20" s="106"/>
      <c r="G20" s="106"/>
      <c r="H20" s="106"/>
      <c r="I20" s="106"/>
      <c r="J20" s="108"/>
      <c r="K20" s="111"/>
      <c r="L20" s="107"/>
    </row>
    <row r="21" spans="1:24" s="259" customFormat="1" ht="101.25" customHeight="1" x14ac:dyDescent="0.25">
      <c r="A21" s="451" t="s">
        <v>5</v>
      </c>
      <c r="B21" s="451" t="s">
        <v>10</v>
      </c>
      <c r="C21" s="452" t="s">
        <v>11</v>
      </c>
      <c r="D21" s="451" t="s">
        <v>6</v>
      </c>
      <c r="E21" s="451" t="s">
        <v>373</v>
      </c>
      <c r="F21" s="451" t="s">
        <v>404</v>
      </c>
      <c r="G21" s="451" t="s">
        <v>946</v>
      </c>
      <c r="H21" s="453" t="s">
        <v>406</v>
      </c>
      <c r="I21" s="454" t="s">
        <v>407</v>
      </c>
      <c r="J21" s="451" t="s">
        <v>408</v>
      </c>
      <c r="K21" s="468" t="s">
        <v>35</v>
      </c>
      <c r="L21" s="469" t="s">
        <v>108</v>
      </c>
      <c r="M21" s="260"/>
      <c r="N21" s="260"/>
      <c r="O21" s="260"/>
      <c r="P21" s="260"/>
      <c r="Q21" s="260"/>
      <c r="R21" s="264"/>
      <c r="S21" s="260"/>
      <c r="T21" s="260"/>
      <c r="U21" s="264"/>
    </row>
    <row r="22" spans="1:24" s="260" customFormat="1" ht="33" customHeight="1" x14ac:dyDescent="0.25">
      <c r="A22" s="466" t="s">
        <v>18</v>
      </c>
      <c r="B22" s="466"/>
      <c r="C22" s="466"/>
      <c r="D22" s="455"/>
      <c r="E22" s="455"/>
      <c r="F22" s="455"/>
      <c r="G22" s="455"/>
      <c r="H22" s="455"/>
      <c r="I22" s="455"/>
      <c r="J22" s="455"/>
      <c r="K22" s="470"/>
      <c r="L22" s="469"/>
      <c r="M22" s="260" t="s">
        <v>895</v>
      </c>
      <c r="N22" s="260" t="s">
        <v>896</v>
      </c>
      <c r="O22" s="260" t="s">
        <v>812</v>
      </c>
      <c r="P22" s="260" t="s">
        <v>813</v>
      </c>
      <c r="Q22" s="260" t="s">
        <v>827</v>
      </c>
      <c r="R22" s="260" t="s">
        <v>840</v>
      </c>
      <c r="S22" s="260" t="s">
        <v>897</v>
      </c>
      <c r="T22" s="260" t="s">
        <v>849</v>
      </c>
      <c r="U22" s="260" t="s">
        <v>852</v>
      </c>
      <c r="V22" s="260" t="s">
        <v>854</v>
      </c>
      <c r="W22" s="260" t="s">
        <v>858</v>
      </c>
      <c r="X22" s="260" t="s">
        <v>870</v>
      </c>
    </row>
    <row r="23" spans="1:24" s="258" customFormat="1" ht="27.75" customHeight="1" x14ac:dyDescent="0.25">
      <c r="A23" s="455">
        <v>1</v>
      </c>
      <c r="B23" s="455" t="s">
        <v>153</v>
      </c>
      <c r="C23" s="456" t="s">
        <v>54</v>
      </c>
      <c r="D23" s="455" t="s">
        <v>2</v>
      </c>
      <c r="E23" s="454">
        <v>2288</v>
      </c>
      <c r="F23" s="454">
        <v>1369</v>
      </c>
      <c r="G23" s="454">
        <f t="shared" ref="G23:G32" si="0">E23-F23</f>
        <v>919</v>
      </c>
      <c r="H23" s="454">
        <v>200</v>
      </c>
      <c r="I23" s="455"/>
      <c r="J23" s="457" t="s">
        <v>814</v>
      </c>
      <c r="K23" s="471">
        <v>0</v>
      </c>
      <c r="L23" s="455" t="s">
        <v>88</v>
      </c>
      <c r="M23" s="258" t="s">
        <v>895</v>
      </c>
      <c r="N23" s="258" t="s">
        <v>896</v>
      </c>
      <c r="P23" s="463" t="s">
        <v>813</v>
      </c>
      <c r="Q23" s="257" t="s">
        <v>827</v>
      </c>
      <c r="R23" s="257" t="s">
        <v>840</v>
      </c>
      <c r="S23" s="257" t="s">
        <v>1472</v>
      </c>
      <c r="T23" s="257"/>
      <c r="U23" s="257"/>
    </row>
    <row r="24" spans="1:24" s="257" customFormat="1" ht="27.75" customHeight="1" x14ac:dyDescent="0.25">
      <c r="A24" s="455">
        <v>2</v>
      </c>
      <c r="B24" s="455" t="s">
        <v>153</v>
      </c>
      <c r="C24" s="456" t="s">
        <v>54</v>
      </c>
      <c r="D24" s="455" t="s">
        <v>2</v>
      </c>
      <c r="E24" s="454">
        <v>2288</v>
      </c>
      <c r="F24" s="454">
        <v>1369</v>
      </c>
      <c r="G24" s="454">
        <f t="shared" si="0"/>
        <v>919</v>
      </c>
      <c r="H24" s="454">
        <v>60</v>
      </c>
      <c r="I24" s="455"/>
      <c r="J24" s="457" t="s">
        <v>161</v>
      </c>
      <c r="K24" s="471">
        <v>0</v>
      </c>
      <c r="L24" s="456" t="s">
        <v>140</v>
      </c>
      <c r="M24" s="264" t="s">
        <v>895</v>
      </c>
      <c r="N24" s="259" t="s">
        <v>896</v>
      </c>
      <c r="O24" s="264" t="s">
        <v>812</v>
      </c>
      <c r="P24" s="260" t="s">
        <v>813</v>
      </c>
      <c r="Q24" s="264" t="s">
        <v>827</v>
      </c>
      <c r="R24" s="257" t="s">
        <v>840</v>
      </c>
      <c r="S24" s="257" t="s">
        <v>897</v>
      </c>
    </row>
    <row r="25" spans="1:24" s="257" customFormat="1" ht="27.75" customHeight="1" x14ac:dyDescent="0.25">
      <c r="A25" s="455">
        <f>A24+1</f>
        <v>3</v>
      </c>
      <c r="B25" s="454" t="s">
        <v>141</v>
      </c>
      <c r="C25" s="457" t="s">
        <v>1418</v>
      </c>
      <c r="D25" s="455" t="s">
        <v>2</v>
      </c>
      <c r="E25" s="454">
        <v>6240</v>
      </c>
      <c r="F25" s="454">
        <v>832</v>
      </c>
      <c r="G25" s="454">
        <f t="shared" si="0"/>
        <v>5408</v>
      </c>
      <c r="H25" s="454">
        <v>624</v>
      </c>
      <c r="I25" s="455"/>
      <c r="J25" s="457" t="s">
        <v>143</v>
      </c>
      <c r="K25" s="472"/>
      <c r="L25" s="456" t="s">
        <v>140</v>
      </c>
      <c r="M25" s="264" t="s">
        <v>895</v>
      </c>
      <c r="N25" s="259" t="s">
        <v>896</v>
      </c>
      <c r="O25" s="264" t="s">
        <v>812</v>
      </c>
      <c r="P25" s="260" t="s">
        <v>813</v>
      </c>
      <c r="Q25" s="264" t="s">
        <v>827</v>
      </c>
      <c r="R25" s="257" t="s">
        <v>840</v>
      </c>
      <c r="S25" s="257" t="s">
        <v>897</v>
      </c>
    </row>
    <row r="26" spans="1:24" s="257" customFormat="1" ht="27.75" customHeight="1" x14ac:dyDescent="0.25">
      <c r="A26" s="455">
        <f t="shared" ref="A26:A50" si="1">A25+1</f>
        <v>4</v>
      </c>
      <c r="B26" s="454" t="s">
        <v>158</v>
      </c>
      <c r="C26" s="457" t="s">
        <v>159</v>
      </c>
      <c r="D26" s="455" t="s">
        <v>2</v>
      </c>
      <c r="E26" s="454">
        <v>624</v>
      </c>
      <c r="F26" s="454">
        <v>0</v>
      </c>
      <c r="G26" s="454">
        <f t="shared" si="0"/>
        <v>624</v>
      </c>
      <c r="H26" s="454">
        <v>60</v>
      </c>
      <c r="I26" s="455"/>
      <c r="J26" s="456" t="s">
        <v>160</v>
      </c>
      <c r="K26" s="472"/>
      <c r="L26" s="456" t="s">
        <v>140</v>
      </c>
      <c r="M26" s="264" t="s">
        <v>895</v>
      </c>
      <c r="N26" s="259" t="s">
        <v>896</v>
      </c>
      <c r="O26" s="264" t="s">
        <v>812</v>
      </c>
      <c r="P26" s="260" t="s">
        <v>813</v>
      </c>
      <c r="Q26" s="264" t="s">
        <v>827</v>
      </c>
      <c r="R26" s="257" t="s">
        <v>840</v>
      </c>
      <c r="S26" s="257" t="s">
        <v>897</v>
      </c>
    </row>
    <row r="27" spans="1:24" s="258" customFormat="1" ht="27.75" customHeight="1" x14ac:dyDescent="0.25">
      <c r="A27" s="455">
        <f t="shared" si="1"/>
        <v>5</v>
      </c>
      <c r="B27" s="454" t="s">
        <v>515</v>
      </c>
      <c r="C27" s="457" t="s">
        <v>516</v>
      </c>
      <c r="D27" s="455" t="s">
        <v>2</v>
      </c>
      <c r="E27" s="454">
        <v>1944</v>
      </c>
      <c r="F27" s="454">
        <v>0</v>
      </c>
      <c r="G27" s="454">
        <f t="shared" si="0"/>
        <v>1944</v>
      </c>
      <c r="H27" s="454">
        <v>100</v>
      </c>
      <c r="I27" s="455"/>
      <c r="J27" s="457" t="s">
        <v>160</v>
      </c>
      <c r="K27" s="471"/>
      <c r="L27" s="454" t="s">
        <v>88</v>
      </c>
      <c r="M27" s="465" t="s">
        <v>895</v>
      </c>
      <c r="N27" s="465"/>
      <c r="O27" s="465"/>
      <c r="P27" s="463"/>
      <c r="Q27" s="386" t="s">
        <v>827</v>
      </c>
      <c r="R27" s="257" t="s">
        <v>840</v>
      </c>
      <c r="S27" s="386"/>
      <c r="T27" s="257"/>
      <c r="U27" s="257"/>
    </row>
    <row r="28" spans="1:24" s="258" customFormat="1" ht="27.75" customHeight="1" x14ac:dyDescent="0.25">
      <c r="A28" s="455">
        <v>6</v>
      </c>
      <c r="B28" s="454" t="s">
        <v>850</v>
      </c>
      <c r="C28" s="457" t="s">
        <v>633</v>
      </c>
      <c r="D28" s="455" t="s">
        <v>2</v>
      </c>
      <c r="E28" s="454">
        <v>927</v>
      </c>
      <c r="F28" s="454">
        <v>300</v>
      </c>
      <c r="G28" s="454">
        <f t="shared" si="0"/>
        <v>627</v>
      </c>
      <c r="H28" s="458">
        <v>50</v>
      </c>
      <c r="I28" s="455"/>
      <c r="J28" s="456" t="s">
        <v>851</v>
      </c>
      <c r="K28" s="471"/>
      <c r="L28" s="454" t="s">
        <v>88</v>
      </c>
      <c r="M28" s="465" t="s">
        <v>895</v>
      </c>
      <c r="N28" s="465" t="s">
        <v>896</v>
      </c>
      <c r="O28" s="465"/>
      <c r="P28" s="463" t="s">
        <v>813</v>
      </c>
      <c r="Q28" s="386" t="s">
        <v>827</v>
      </c>
      <c r="R28" s="386" t="s">
        <v>840</v>
      </c>
      <c r="S28" s="386" t="s">
        <v>1472</v>
      </c>
      <c r="T28" s="257"/>
      <c r="U28" s="257"/>
    </row>
    <row r="29" spans="1:24" s="259" customFormat="1" ht="21.75" customHeight="1" x14ac:dyDescent="0.25">
      <c r="A29" s="455">
        <v>4</v>
      </c>
      <c r="B29" s="454" t="s">
        <v>850</v>
      </c>
      <c r="C29" s="457" t="s">
        <v>633</v>
      </c>
      <c r="D29" s="455" t="s">
        <v>2</v>
      </c>
      <c r="E29" s="454">
        <v>927</v>
      </c>
      <c r="F29" s="454">
        <v>0</v>
      </c>
      <c r="G29" s="454">
        <f t="shared" si="0"/>
        <v>927</v>
      </c>
      <c r="H29" s="458">
        <v>250</v>
      </c>
      <c r="I29" s="455"/>
      <c r="J29" s="456" t="s">
        <v>1177</v>
      </c>
      <c r="K29" s="471"/>
      <c r="L29" s="454" t="s">
        <v>140</v>
      </c>
      <c r="M29" s="279" t="s">
        <v>895</v>
      </c>
      <c r="N29" s="279" t="s">
        <v>896</v>
      </c>
      <c r="O29" s="279" t="s">
        <v>812</v>
      </c>
      <c r="P29" s="260" t="s">
        <v>813</v>
      </c>
      <c r="Q29" s="280"/>
      <c r="R29" s="280"/>
      <c r="S29" s="280"/>
      <c r="T29" s="264"/>
      <c r="U29" s="264"/>
    </row>
    <row r="30" spans="1:24" s="258" customFormat="1" ht="34.5" customHeight="1" x14ac:dyDescent="0.25">
      <c r="A30" s="455">
        <v>7</v>
      </c>
      <c r="B30" s="454" t="s">
        <v>806</v>
      </c>
      <c r="C30" s="457" t="s">
        <v>807</v>
      </c>
      <c r="D30" s="454" t="s">
        <v>2</v>
      </c>
      <c r="E30" s="454">
        <v>2562</v>
      </c>
      <c r="F30" s="454">
        <v>0</v>
      </c>
      <c r="G30" s="454">
        <f t="shared" si="0"/>
        <v>2562</v>
      </c>
      <c r="H30" s="454">
        <f>VLOOKUP(B30,'[1]Tháng 7.2025'!$B$23:$H$153,7,0)</f>
        <v>208</v>
      </c>
      <c r="I30" s="455"/>
      <c r="J30" s="457" t="s">
        <v>833</v>
      </c>
      <c r="K30" s="472">
        <v>1076</v>
      </c>
      <c r="L30" s="455" t="s">
        <v>88</v>
      </c>
      <c r="M30" s="258" t="s">
        <v>895</v>
      </c>
      <c r="N30" s="258" t="s">
        <v>896</v>
      </c>
      <c r="P30" s="463" t="s">
        <v>813</v>
      </c>
      <c r="Q30" s="257" t="s">
        <v>827</v>
      </c>
      <c r="R30" s="257" t="s">
        <v>840</v>
      </c>
      <c r="S30" s="257" t="s">
        <v>1472</v>
      </c>
      <c r="T30" s="257"/>
      <c r="U30" s="257"/>
    </row>
    <row r="31" spans="1:24" s="258" customFormat="1" ht="34.5" customHeight="1" x14ac:dyDescent="0.25">
      <c r="A31" s="455">
        <v>8</v>
      </c>
      <c r="B31" s="454" t="s">
        <v>3</v>
      </c>
      <c r="C31" s="457" t="s">
        <v>4</v>
      </c>
      <c r="D31" s="455" t="s">
        <v>2</v>
      </c>
      <c r="E31" s="454">
        <v>1725</v>
      </c>
      <c r="F31" s="454">
        <v>0</v>
      </c>
      <c r="G31" s="454">
        <f t="shared" si="0"/>
        <v>1725</v>
      </c>
      <c r="H31" s="454">
        <v>200</v>
      </c>
      <c r="I31" s="455"/>
      <c r="J31" s="457" t="s">
        <v>823</v>
      </c>
      <c r="K31" s="472" t="s">
        <v>843</v>
      </c>
      <c r="L31" s="455" t="s">
        <v>88</v>
      </c>
      <c r="M31" s="258" t="s">
        <v>895</v>
      </c>
      <c r="N31" s="258" t="s">
        <v>896</v>
      </c>
      <c r="P31" s="463" t="s">
        <v>813</v>
      </c>
      <c r="Q31" s="257" t="s">
        <v>827</v>
      </c>
      <c r="R31" s="257" t="s">
        <v>840</v>
      </c>
      <c r="S31" s="257" t="s">
        <v>1472</v>
      </c>
      <c r="T31" s="257"/>
      <c r="U31" s="257"/>
    </row>
    <row r="32" spans="1:24" s="259" customFormat="1" ht="21.75" customHeight="1" x14ac:dyDescent="0.25">
      <c r="A32" s="455">
        <f t="shared" si="1"/>
        <v>9</v>
      </c>
      <c r="B32" s="454" t="s">
        <v>1064</v>
      </c>
      <c r="C32" s="457" t="s">
        <v>1065</v>
      </c>
      <c r="D32" s="455" t="s">
        <v>2</v>
      </c>
      <c r="E32" s="454">
        <v>585</v>
      </c>
      <c r="F32" s="454">
        <v>0</v>
      </c>
      <c r="G32" s="454">
        <f t="shared" si="0"/>
        <v>585</v>
      </c>
      <c r="H32" s="454">
        <v>208</v>
      </c>
      <c r="I32" s="455"/>
      <c r="J32" s="457" t="s">
        <v>824</v>
      </c>
      <c r="K32" s="472"/>
      <c r="L32" s="455" t="s">
        <v>88</v>
      </c>
      <c r="M32" s="259" t="s">
        <v>895</v>
      </c>
      <c r="N32" s="259" t="s">
        <v>896</v>
      </c>
      <c r="P32" s="260" t="s">
        <v>813</v>
      </c>
      <c r="Q32" s="264"/>
      <c r="R32" s="264"/>
      <c r="S32" s="264" t="s">
        <v>1472</v>
      </c>
      <c r="T32" s="264"/>
      <c r="U32" s="264"/>
    </row>
    <row r="33" spans="1:21" s="259" customFormat="1" ht="21.75" customHeight="1" x14ac:dyDescent="0.25">
      <c r="A33" s="455">
        <f>A34+1</f>
        <v>10</v>
      </c>
      <c r="B33" s="454" t="s">
        <v>566</v>
      </c>
      <c r="C33" s="457" t="s">
        <v>1181</v>
      </c>
      <c r="D33" s="455" t="s">
        <v>2</v>
      </c>
      <c r="E33" s="454"/>
      <c r="F33" s="454"/>
      <c r="G33" s="454"/>
      <c r="H33" s="454">
        <v>1253</v>
      </c>
      <c r="I33" s="455"/>
      <c r="J33" s="457" t="s">
        <v>1182</v>
      </c>
      <c r="K33" s="472"/>
      <c r="L33" s="455" t="s">
        <v>140</v>
      </c>
      <c r="M33" s="259" t="s">
        <v>895</v>
      </c>
      <c r="N33" s="259" t="s">
        <v>896</v>
      </c>
      <c r="O33" s="259" t="s">
        <v>812</v>
      </c>
      <c r="P33" s="260" t="s">
        <v>813</v>
      </c>
      <c r="Q33" s="264"/>
      <c r="R33" s="264"/>
      <c r="S33" s="264"/>
      <c r="T33" s="264"/>
      <c r="U33" s="264"/>
    </row>
    <row r="34" spans="1:21" s="259" customFormat="1" ht="34.5" customHeight="1" x14ac:dyDescent="0.25">
      <c r="A34" s="455">
        <v>9</v>
      </c>
      <c r="B34" s="454" t="s">
        <v>46</v>
      </c>
      <c r="C34" s="457" t="s">
        <v>1179</v>
      </c>
      <c r="D34" s="455" t="s">
        <v>2</v>
      </c>
      <c r="E34" s="454">
        <v>1717</v>
      </c>
      <c r="F34" s="454">
        <v>50</v>
      </c>
      <c r="G34" s="454">
        <v>0</v>
      </c>
      <c r="H34" s="454">
        <v>50</v>
      </c>
      <c r="I34" s="455"/>
      <c r="J34" s="457" t="s">
        <v>1180</v>
      </c>
      <c r="K34" s="472"/>
      <c r="L34" s="455" t="s">
        <v>140</v>
      </c>
      <c r="M34" s="259" t="s">
        <v>895</v>
      </c>
      <c r="N34" s="259" t="s">
        <v>896</v>
      </c>
      <c r="O34" s="259" t="s">
        <v>812</v>
      </c>
      <c r="P34" s="260" t="s">
        <v>813</v>
      </c>
      <c r="Q34" s="264" t="s">
        <v>827</v>
      </c>
      <c r="R34" s="264" t="s">
        <v>840</v>
      </c>
      <c r="S34" s="264"/>
      <c r="T34" s="264"/>
      <c r="U34" s="264"/>
    </row>
    <row r="35" spans="1:21" s="259" customFormat="1" ht="21.75" customHeight="1" x14ac:dyDescent="0.25">
      <c r="A35" s="455">
        <f>A33+1</f>
        <v>11</v>
      </c>
      <c r="B35" s="454" t="s">
        <v>56</v>
      </c>
      <c r="C35" s="457" t="s">
        <v>57</v>
      </c>
      <c r="D35" s="455" t="s">
        <v>2</v>
      </c>
      <c r="E35" s="454">
        <v>4389</v>
      </c>
      <c r="F35" s="454">
        <v>0</v>
      </c>
      <c r="G35" s="454">
        <f t="shared" ref="G35:G47" si="2">E35-F35</f>
        <v>4389</v>
      </c>
      <c r="H35" s="454">
        <v>209</v>
      </c>
      <c r="I35" s="455"/>
      <c r="J35" s="457" t="s">
        <v>1473</v>
      </c>
      <c r="K35" s="472"/>
      <c r="L35" s="455" t="s">
        <v>88</v>
      </c>
      <c r="M35" s="259" t="s">
        <v>895</v>
      </c>
      <c r="N35" s="259" t="s">
        <v>896</v>
      </c>
      <c r="O35" s="259" t="s">
        <v>812</v>
      </c>
      <c r="P35" s="260" t="s">
        <v>813</v>
      </c>
      <c r="Q35" s="264"/>
      <c r="R35" s="264"/>
      <c r="S35" s="257" t="s">
        <v>1472</v>
      </c>
      <c r="T35" s="264"/>
      <c r="U35" s="264"/>
    </row>
    <row r="36" spans="1:21" s="259" customFormat="1" ht="36.75" customHeight="1" x14ac:dyDescent="0.25">
      <c r="A36" s="455">
        <f t="shared" si="1"/>
        <v>12</v>
      </c>
      <c r="B36" s="454" t="s">
        <v>56</v>
      </c>
      <c r="C36" s="457" t="s">
        <v>57</v>
      </c>
      <c r="D36" s="455" t="s">
        <v>2</v>
      </c>
      <c r="E36" s="454">
        <v>4389</v>
      </c>
      <c r="F36" s="454">
        <v>0</v>
      </c>
      <c r="G36" s="454">
        <f t="shared" si="2"/>
        <v>4389</v>
      </c>
      <c r="H36" s="454">
        <v>20</v>
      </c>
      <c r="I36" s="455"/>
      <c r="J36" s="457" t="s">
        <v>1313</v>
      </c>
      <c r="K36" s="472"/>
      <c r="L36" s="455" t="s">
        <v>76</v>
      </c>
      <c r="P36" s="260" t="s">
        <v>813</v>
      </c>
      <c r="Q36" s="264"/>
      <c r="R36" s="264"/>
      <c r="S36" s="264"/>
      <c r="T36" s="264"/>
      <c r="U36" s="264"/>
    </row>
    <row r="37" spans="1:21" s="258" customFormat="1" ht="30" customHeight="1" x14ac:dyDescent="0.25">
      <c r="A37" s="455">
        <v>10</v>
      </c>
      <c r="B37" s="454" t="s">
        <v>56</v>
      </c>
      <c r="C37" s="457" t="s">
        <v>57</v>
      </c>
      <c r="D37" s="455" t="s">
        <v>2</v>
      </c>
      <c r="E37" s="454">
        <v>4389</v>
      </c>
      <c r="F37" s="454">
        <v>654</v>
      </c>
      <c r="G37" s="454">
        <f t="shared" si="2"/>
        <v>3735</v>
      </c>
      <c r="H37" s="454">
        <v>209</v>
      </c>
      <c r="I37" s="455"/>
      <c r="J37" s="457" t="s">
        <v>1365</v>
      </c>
      <c r="K37" s="472"/>
      <c r="L37" s="455" t="s">
        <v>88</v>
      </c>
      <c r="P37" s="463" t="s">
        <v>813</v>
      </c>
      <c r="Q37" s="257" t="s">
        <v>827</v>
      </c>
      <c r="R37" s="257" t="s">
        <v>840</v>
      </c>
      <c r="S37" s="257" t="s">
        <v>1472</v>
      </c>
      <c r="T37" s="257"/>
      <c r="U37" s="257"/>
    </row>
    <row r="38" spans="1:21" s="258" customFormat="1" ht="30" customHeight="1" x14ac:dyDescent="0.25">
      <c r="A38" s="455">
        <v>11</v>
      </c>
      <c r="B38" s="454" t="s">
        <v>79</v>
      </c>
      <c r="C38" s="457" t="s">
        <v>80</v>
      </c>
      <c r="D38" s="455" t="s">
        <v>2</v>
      </c>
      <c r="E38" s="454">
        <v>4389</v>
      </c>
      <c r="F38" s="454">
        <v>0</v>
      </c>
      <c r="G38" s="454">
        <f t="shared" si="2"/>
        <v>4389</v>
      </c>
      <c r="H38" s="454">
        <v>209</v>
      </c>
      <c r="I38" s="455"/>
      <c r="J38" s="457" t="s">
        <v>1314</v>
      </c>
      <c r="K38" s="472" t="s">
        <v>88</v>
      </c>
      <c r="L38" s="455" t="s">
        <v>88</v>
      </c>
      <c r="N38" s="258" t="s">
        <v>896</v>
      </c>
      <c r="P38" s="463" t="s">
        <v>813</v>
      </c>
      <c r="Q38" s="257" t="s">
        <v>827</v>
      </c>
      <c r="R38" s="257" t="s">
        <v>840</v>
      </c>
      <c r="S38" s="257" t="s">
        <v>1472</v>
      </c>
      <c r="T38" s="257"/>
      <c r="U38" s="257"/>
    </row>
    <row r="39" spans="1:21" s="258" customFormat="1" ht="30" customHeight="1" x14ac:dyDescent="0.25">
      <c r="A39" s="455">
        <v>12</v>
      </c>
      <c r="B39" s="454" t="s">
        <v>447</v>
      </c>
      <c r="C39" s="457" t="s">
        <v>701</v>
      </c>
      <c r="D39" s="455" t="s">
        <v>2</v>
      </c>
      <c r="E39" s="454">
        <v>2374</v>
      </c>
      <c r="F39" s="454">
        <v>0</v>
      </c>
      <c r="G39" s="454">
        <f t="shared" si="2"/>
        <v>2374</v>
      </c>
      <c r="H39" s="454">
        <v>300</v>
      </c>
      <c r="I39" s="455"/>
      <c r="J39" s="456" t="s">
        <v>778</v>
      </c>
      <c r="K39" s="472"/>
      <c r="L39" s="455" t="s">
        <v>88</v>
      </c>
      <c r="M39" s="258" t="s">
        <v>895</v>
      </c>
      <c r="N39" s="258" t="s">
        <v>896</v>
      </c>
      <c r="P39" s="463" t="s">
        <v>813</v>
      </c>
      <c r="Q39" s="257" t="s">
        <v>827</v>
      </c>
      <c r="R39" s="257" t="s">
        <v>840</v>
      </c>
      <c r="S39" s="257" t="s">
        <v>1472</v>
      </c>
      <c r="T39" s="257"/>
      <c r="U39" s="257"/>
    </row>
    <row r="40" spans="1:21" s="257" customFormat="1" ht="30" customHeight="1" x14ac:dyDescent="0.25">
      <c r="A40" s="455">
        <v>13</v>
      </c>
      <c r="B40" s="454" t="s">
        <v>83</v>
      </c>
      <c r="C40" s="457" t="s">
        <v>1022</v>
      </c>
      <c r="D40" s="455" t="s">
        <v>2</v>
      </c>
      <c r="E40" s="454">
        <v>4158</v>
      </c>
      <c r="F40" s="454">
        <v>0</v>
      </c>
      <c r="G40" s="454">
        <f>E40-F40</f>
        <v>4158</v>
      </c>
      <c r="H40" s="458">
        <v>330</v>
      </c>
      <c r="I40" s="455"/>
      <c r="J40" s="456" t="s">
        <v>778</v>
      </c>
      <c r="K40" s="472"/>
      <c r="L40" s="455" t="s">
        <v>88</v>
      </c>
      <c r="N40" s="464" t="s">
        <v>896</v>
      </c>
      <c r="P40" s="463" t="s">
        <v>813</v>
      </c>
      <c r="Q40" s="257" t="s">
        <v>827</v>
      </c>
      <c r="R40" s="257" t="s">
        <v>840</v>
      </c>
      <c r="S40" s="257" t="s">
        <v>1472</v>
      </c>
    </row>
    <row r="41" spans="1:21" s="259" customFormat="1" ht="46.5" customHeight="1" x14ac:dyDescent="0.25">
      <c r="A41" s="455">
        <v>14</v>
      </c>
      <c r="B41" s="454" t="s">
        <v>447</v>
      </c>
      <c r="C41" s="457" t="s">
        <v>448</v>
      </c>
      <c r="D41" s="455" t="s">
        <v>2</v>
      </c>
      <c r="E41" s="454">
        <v>2374</v>
      </c>
      <c r="F41" s="454">
        <v>0</v>
      </c>
      <c r="G41" s="454">
        <f t="shared" si="2"/>
        <v>2374</v>
      </c>
      <c r="H41" s="454">
        <v>200</v>
      </c>
      <c r="I41" s="455"/>
      <c r="J41" s="457" t="s">
        <v>869</v>
      </c>
      <c r="K41" s="472"/>
      <c r="L41" s="455" t="s">
        <v>88</v>
      </c>
      <c r="Q41" s="264"/>
      <c r="R41" s="257" t="s">
        <v>840</v>
      </c>
      <c r="S41" s="257" t="s">
        <v>1472</v>
      </c>
      <c r="T41" s="264"/>
      <c r="U41" s="264"/>
    </row>
    <row r="42" spans="1:21" s="258" customFormat="1" ht="57.75" customHeight="1" x14ac:dyDescent="0.25">
      <c r="A42" s="455">
        <f t="shared" si="1"/>
        <v>15</v>
      </c>
      <c r="B42" s="454" t="s">
        <v>85</v>
      </c>
      <c r="C42" s="457" t="s">
        <v>86</v>
      </c>
      <c r="D42" s="455" t="s">
        <v>2</v>
      </c>
      <c r="E42" s="454">
        <v>4082</v>
      </c>
      <c r="F42" s="454">
        <v>1600</v>
      </c>
      <c r="G42" s="454">
        <f t="shared" si="2"/>
        <v>2482</v>
      </c>
      <c r="H42" s="454">
        <v>208</v>
      </c>
      <c r="I42" s="455"/>
      <c r="J42" s="457" t="s">
        <v>219</v>
      </c>
      <c r="K42" s="472">
        <v>6843</v>
      </c>
      <c r="L42" s="455" t="s">
        <v>88</v>
      </c>
      <c r="M42" s="259"/>
      <c r="N42" s="259"/>
      <c r="O42" s="259"/>
      <c r="P42" s="259"/>
      <c r="Q42" s="264"/>
      <c r="R42" s="257" t="s">
        <v>840</v>
      </c>
      <c r="S42" s="257" t="s">
        <v>1472</v>
      </c>
      <c r="T42" s="257"/>
      <c r="U42" s="257"/>
    </row>
    <row r="43" spans="1:21" s="264" customFormat="1" ht="21.75" customHeight="1" x14ac:dyDescent="0.25">
      <c r="A43" s="455">
        <f>A40+1</f>
        <v>14</v>
      </c>
      <c r="B43" s="454" t="s">
        <v>816</v>
      </c>
      <c r="C43" s="457" t="s">
        <v>817</v>
      </c>
      <c r="D43" s="455" t="s">
        <v>2</v>
      </c>
      <c r="E43" s="454">
        <v>0</v>
      </c>
      <c r="F43" s="454">
        <v>0</v>
      </c>
      <c r="G43" s="454">
        <f t="shared" si="2"/>
        <v>0</v>
      </c>
      <c r="H43" s="454">
        <v>300</v>
      </c>
      <c r="I43" s="455"/>
      <c r="J43" s="457" t="s">
        <v>957</v>
      </c>
      <c r="K43" s="472"/>
      <c r="L43" s="456" t="s">
        <v>140</v>
      </c>
      <c r="N43" s="281" t="s">
        <v>896</v>
      </c>
      <c r="P43" s="260" t="s">
        <v>813</v>
      </c>
    </row>
    <row r="44" spans="1:21" s="257" customFormat="1" ht="34.5" customHeight="1" x14ac:dyDescent="0.25">
      <c r="A44" s="455">
        <v>16</v>
      </c>
      <c r="B44" s="454" t="s">
        <v>25</v>
      </c>
      <c r="C44" s="457" t="s">
        <v>703</v>
      </c>
      <c r="D44" s="455" t="s">
        <v>2</v>
      </c>
      <c r="E44" s="454">
        <v>50</v>
      </c>
      <c r="F44" s="454">
        <v>0</v>
      </c>
      <c r="G44" s="454">
        <f t="shared" si="2"/>
        <v>50</v>
      </c>
      <c r="H44" s="454">
        <v>208</v>
      </c>
      <c r="I44" s="455"/>
      <c r="J44" s="457" t="s">
        <v>815</v>
      </c>
      <c r="K44" s="472"/>
      <c r="L44" s="456" t="s">
        <v>88</v>
      </c>
      <c r="M44" s="257" t="s">
        <v>895</v>
      </c>
      <c r="N44" s="257" t="s">
        <v>896</v>
      </c>
      <c r="P44" s="463" t="s">
        <v>813</v>
      </c>
      <c r="Q44" s="257" t="s">
        <v>827</v>
      </c>
      <c r="R44" s="257" t="s">
        <v>840</v>
      </c>
      <c r="S44" s="257" t="s">
        <v>1472</v>
      </c>
    </row>
    <row r="45" spans="1:21" s="258" customFormat="1" ht="45" customHeight="1" x14ac:dyDescent="0.25">
      <c r="A45" s="455">
        <f t="shared" si="1"/>
        <v>17</v>
      </c>
      <c r="B45" s="454" t="s">
        <v>24</v>
      </c>
      <c r="C45" s="457" t="s">
        <v>43</v>
      </c>
      <c r="D45" s="455" t="s">
        <v>2</v>
      </c>
      <c r="E45" s="454">
        <v>50</v>
      </c>
      <c r="F45" s="454">
        <v>0</v>
      </c>
      <c r="G45" s="454">
        <f t="shared" si="2"/>
        <v>50</v>
      </c>
      <c r="H45" s="454">
        <v>200</v>
      </c>
      <c r="I45" s="455"/>
      <c r="J45" s="457" t="s">
        <v>815</v>
      </c>
      <c r="K45" s="472"/>
      <c r="L45" s="456" t="s">
        <v>88</v>
      </c>
      <c r="M45" s="257" t="s">
        <v>895</v>
      </c>
      <c r="Q45" s="257"/>
      <c r="R45" s="257" t="s">
        <v>840</v>
      </c>
      <c r="S45" s="257" t="s">
        <v>1472</v>
      </c>
      <c r="T45" s="257"/>
      <c r="U45" s="257"/>
    </row>
    <row r="46" spans="1:21" s="258" customFormat="1" ht="57.75" customHeight="1" x14ac:dyDescent="0.25">
      <c r="A46" s="455">
        <f t="shared" si="1"/>
        <v>18</v>
      </c>
      <c r="B46" s="455" t="s">
        <v>841</v>
      </c>
      <c r="C46" s="457" t="s">
        <v>842</v>
      </c>
      <c r="D46" s="454" t="s">
        <v>2</v>
      </c>
      <c r="E46" s="454">
        <v>2740</v>
      </c>
      <c r="F46" s="454">
        <v>0</v>
      </c>
      <c r="G46" s="454">
        <f t="shared" si="2"/>
        <v>2740</v>
      </c>
      <c r="H46" s="454">
        <v>40</v>
      </c>
      <c r="I46" s="455"/>
      <c r="J46" s="457" t="s">
        <v>1366</v>
      </c>
      <c r="K46" s="471" t="s">
        <v>110</v>
      </c>
      <c r="L46" s="455" t="s">
        <v>140</v>
      </c>
      <c r="M46" s="258" t="s">
        <v>895</v>
      </c>
      <c r="N46" s="258" t="s">
        <v>896</v>
      </c>
      <c r="O46" s="258" t="s">
        <v>812</v>
      </c>
      <c r="P46" s="258" t="s">
        <v>813</v>
      </c>
      <c r="Q46" s="257" t="s">
        <v>827</v>
      </c>
      <c r="R46" s="257" t="s">
        <v>840</v>
      </c>
      <c r="S46" s="257"/>
      <c r="T46" s="257"/>
      <c r="U46" s="257"/>
    </row>
    <row r="47" spans="1:21" s="259" customFormat="1" ht="96.75" customHeight="1" x14ac:dyDescent="0.25">
      <c r="A47" s="455">
        <f t="shared" si="1"/>
        <v>19</v>
      </c>
      <c r="B47" s="454" t="s">
        <v>81</v>
      </c>
      <c r="C47" s="457" t="s">
        <v>82</v>
      </c>
      <c r="D47" s="455" t="s">
        <v>66</v>
      </c>
      <c r="E47" s="454">
        <v>0</v>
      </c>
      <c r="F47" s="454">
        <v>0</v>
      </c>
      <c r="G47" s="454">
        <f t="shared" si="2"/>
        <v>0</v>
      </c>
      <c r="H47" s="454">
        <v>540</v>
      </c>
      <c r="I47" s="455"/>
      <c r="J47" s="457" t="s">
        <v>1059</v>
      </c>
      <c r="K47" s="472">
        <v>9385</v>
      </c>
      <c r="L47" s="455" t="s">
        <v>88</v>
      </c>
      <c r="P47" s="260"/>
      <c r="Q47" s="264"/>
      <c r="R47" s="257" t="s">
        <v>840</v>
      </c>
      <c r="S47" s="264"/>
      <c r="T47" s="264"/>
      <c r="U47" s="264"/>
    </row>
    <row r="48" spans="1:21" s="258" customFormat="1" ht="38.25" customHeight="1" x14ac:dyDescent="0.25">
      <c r="A48" s="455">
        <f t="shared" si="1"/>
        <v>20</v>
      </c>
      <c r="B48" s="454" t="s">
        <v>945</v>
      </c>
      <c r="C48" s="457" t="s">
        <v>878</v>
      </c>
      <c r="D48" s="455" t="s">
        <v>66</v>
      </c>
      <c r="E48" s="454">
        <v>0</v>
      </c>
      <c r="F48" s="454">
        <v>880</v>
      </c>
      <c r="G48" s="454"/>
      <c r="H48" s="454">
        <v>3000</v>
      </c>
      <c r="I48" s="455"/>
      <c r="J48" s="457" t="s">
        <v>853</v>
      </c>
      <c r="K48" s="472">
        <v>9385</v>
      </c>
      <c r="L48" s="454" t="s">
        <v>140</v>
      </c>
      <c r="M48" s="258" t="s">
        <v>895</v>
      </c>
      <c r="N48" s="258" t="s">
        <v>896</v>
      </c>
      <c r="O48" s="258" t="s">
        <v>812</v>
      </c>
      <c r="P48" s="258" t="s">
        <v>813</v>
      </c>
      <c r="Q48" s="257" t="s">
        <v>827</v>
      </c>
      <c r="R48" s="257" t="s">
        <v>840</v>
      </c>
      <c r="S48" s="257"/>
      <c r="T48" s="257"/>
      <c r="U48" s="257"/>
    </row>
    <row r="49" spans="1:21" s="259" customFormat="1" ht="41.25" customHeight="1" x14ac:dyDescent="0.25">
      <c r="A49" s="455">
        <f t="shared" si="1"/>
        <v>21</v>
      </c>
      <c r="B49" s="454" t="s">
        <v>415</v>
      </c>
      <c r="C49" s="457" t="s">
        <v>950</v>
      </c>
      <c r="D49" s="455" t="s">
        <v>66</v>
      </c>
      <c r="E49" s="454">
        <v>3553.5790576240001</v>
      </c>
      <c r="F49" s="454">
        <v>0</v>
      </c>
      <c r="G49" s="454">
        <f>E49-F49</f>
        <v>3553.5790576240001</v>
      </c>
      <c r="H49" s="454">
        <v>510</v>
      </c>
      <c r="I49" s="455"/>
      <c r="J49" s="457" t="s">
        <v>951</v>
      </c>
      <c r="K49" s="472"/>
      <c r="L49" s="455" t="s">
        <v>76</v>
      </c>
      <c r="N49" s="259" t="s">
        <v>896</v>
      </c>
      <c r="O49" s="259" t="s">
        <v>812</v>
      </c>
      <c r="P49" s="259" t="s">
        <v>813</v>
      </c>
      <c r="Q49" s="264"/>
      <c r="R49" s="264"/>
      <c r="S49" s="264"/>
      <c r="T49" s="264"/>
      <c r="U49" s="264"/>
    </row>
    <row r="50" spans="1:21" s="259" customFormat="1" ht="39" customHeight="1" x14ac:dyDescent="0.25">
      <c r="A50" s="455">
        <f t="shared" si="1"/>
        <v>22</v>
      </c>
      <c r="B50" s="454" t="s">
        <v>705</v>
      </c>
      <c r="C50" s="457" t="s">
        <v>706</v>
      </c>
      <c r="D50" s="455" t="s">
        <v>2</v>
      </c>
      <c r="E50" s="454">
        <f>VLOOKUP(B50,'[1]Tháng 7.2025'!$B$23:$H$153,4,0)</f>
        <v>0</v>
      </c>
      <c r="F50" s="454">
        <f>VLOOKUP(B50,'[1]Tháng 7.2025'!$B$23:$H$153,5,0)</f>
        <v>0</v>
      </c>
      <c r="G50" s="454">
        <f>E50-F50</f>
        <v>0</v>
      </c>
      <c r="H50" s="454">
        <v>0</v>
      </c>
      <c r="I50" s="455"/>
      <c r="J50" s="457" t="s">
        <v>707</v>
      </c>
      <c r="K50" s="472"/>
      <c r="L50" s="455" t="s">
        <v>88</v>
      </c>
      <c r="Q50" s="264"/>
      <c r="R50" s="264"/>
      <c r="S50" s="264"/>
      <c r="T50" s="264"/>
      <c r="U50" s="264"/>
    </row>
    <row r="51" spans="1:21" s="258" customFormat="1" ht="39" customHeight="1" x14ac:dyDescent="0.25">
      <c r="A51" s="455">
        <v>21</v>
      </c>
      <c r="B51" s="454" t="s">
        <v>495</v>
      </c>
      <c r="C51" s="457" t="s">
        <v>1311</v>
      </c>
      <c r="D51" s="455" t="s">
        <v>2</v>
      </c>
      <c r="E51" s="454">
        <v>482.6</v>
      </c>
      <c r="F51" s="454">
        <v>210</v>
      </c>
      <c r="G51" s="454">
        <f>E51-F51</f>
        <v>272.60000000000002</v>
      </c>
      <c r="H51" s="454">
        <v>200</v>
      </c>
      <c r="I51" s="455"/>
      <c r="J51" s="473" t="s">
        <v>1312</v>
      </c>
      <c r="K51" s="472"/>
      <c r="L51" s="455" t="s">
        <v>88</v>
      </c>
      <c r="P51" s="258" t="s">
        <v>813</v>
      </c>
      <c r="Q51" s="257" t="s">
        <v>827</v>
      </c>
      <c r="R51" s="257" t="s">
        <v>840</v>
      </c>
      <c r="S51" s="257" t="s">
        <v>1472</v>
      </c>
      <c r="T51" s="257"/>
      <c r="U51" s="257"/>
    </row>
    <row r="52" spans="1:21" s="258" customFormat="1" ht="39" customHeight="1" x14ac:dyDescent="0.25">
      <c r="A52" s="455"/>
      <c r="B52" s="454" t="s">
        <v>203</v>
      </c>
      <c r="C52" s="457" t="s">
        <v>204</v>
      </c>
      <c r="D52" s="455" t="s">
        <v>2</v>
      </c>
      <c r="E52" s="454">
        <v>1256</v>
      </c>
      <c r="F52" s="454"/>
      <c r="G52" s="454"/>
      <c r="H52" s="454">
        <v>200</v>
      </c>
      <c r="I52" s="455"/>
      <c r="J52" s="473" t="s">
        <v>510</v>
      </c>
      <c r="K52" s="472"/>
      <c r="L52" s="455" t="s">
        <v>88</v>
      </c>
      <c r="Q52" s="257" t="s">
        <v>827</v>
      </c>
      <c r="R52" s="257"/>
      <c r="S52" s="257" t="s">
        <v>1472</v>
      </c>
      <c r="T52" s="257"/>
      <c r="U52" s="257"/>
    </row>
    <row r="53" spans="1:21" s="259" customFormat="1" ht="46.5" customHeight="1" x14ac:dyDescent="0.25">
      <c r="A53" s="455">
        <f>A50+1</f>
        <v>23</v>
      </c>
      <c r="B53" s="454" t="s">
        <v>866</v>
      </c>
      <c r="C53" s="457" t="s">
        <v>867</v>
      </c>
      <c r="D53" s="455" t="s">
        <v>2</v>
      </c>
      <c r="E53" s="454">
        <v>0</v>
      </c>
      <c r="F53" s="454">
        <v>0</v>
      </c>
      <c r="G53" s="454">
        <f>E53-F53</f>
        <v>0</v>
      </c>
      <c r="H53" s="454">
        <v>150</v>
      </c>
      <c r="I53" s="455"/>
      <c r="J53" s="457" t="s">
        <v>958</v>
      </c>
      <c r="K53" s="472"/>
      <c r="L53" s="455" t="s">
        <v>76</v>
      </c>
      <c r="N53" s="259" t="s">
        <v>896</v>
      </c>
      <c r="Q53" s="264"/>
      <c r="R53" s="264"/>
      <c r="S53" s="264"/>
      <c r="T53" s="264"/>
      <c r="U53" s="264"/>
    </row>
    <row r="54" spans="1:21" s="260" customFormat="1" ht="48.75" customHeight="1" x14ac:dyDescent="0.25">
      <c r="A54" s="459" t="s">
        <v>19</v>
      </c>
      <c r="B54" s="456"/>
      <c r="C54" s="456"/>
      <c r="D54" s="455"/>
      <c r="E54" s="454"/>
      <c r="F54" s="454"/>
      <c r="G54" s="454"/>
      <c r="H54" s="454"/>
      <c r="I54" s="455"/>
      <c r="J54" s="455"/>
      <c r="K54" s="470"/>
      <c r="L54" s="469"/>
      <c r="O54" s="259"/>
      <c r="Q54" s="285"/>
      <c r="R54" s="285"/>
      <c r="S54" s="285"/>
      <c r="T54" s="285"/>
      <c r="U54" s="285"/>
    </row>
    <row r="55" spans="1:21" s="258" customFormat="1" ht="36.75" customHeight="1" x14ac:dyDescent="0.25">
      <c r="A55" s="455">
        <v>22</v>
      </c>
      <c r="B55" s="454" t="s">
        <v>819</v>
      </c>
      <c r="C55" s="457" t="s">
        <v>820</v>
      </c>
      <c r="D55" s="455" t="s">
        <v>0</v>
      </c>
      <c r="E55" s="454">
        <v>28</v>
      </c>
      <c r="F55" s="454">
        <v>12</v>
      </c>
      <c r="G55" s="454">
        <f t="shared" ref="G55:G64" si="3">E55-F55</f>
        <v>16</v>
      </c>
      <c r="H55" s="454">
        <v>6</v>
      </c>
      <c r="I55" s="455"/>
      <c r="J55" s="457" t="s">
        <v>1361</v>
      </c>
      <c r="K55" s="471">
        <v>50</v>
      </c>
      <c r="L55" s="455" t="s">
        <v>140</v>
      </c>
      <c r="O55" s="258" t="s">
        <v>812</v>
      </c>
      <c r="P55" s="258" t="s">
        <v>813</v>
      </c>
      <c r="Q55" s="257" t="s">
        <v>827</v>
      </c>
      <c r="R55" s="257" t="s">
        <v>840</v>
      </c>
      <c r="S55" s="257"/>
      <c r="T55" s="257"/>
      <c r="U55" s="257"/>
    </row>
    <row r="56" spans="1:21" s="258" customFormat="1" ht="37.5" customHeight="1" x14ac:dyDescent="0.25">
      <c r="A56" s="455">
        <v>23</v>
      </c>
      <c r="B56" s="455" t="s">
        <v>1080</v>
      </c>
      <c r="C56" s="457" t="s">
        <v>1116</v>
      </c>
      <c r="D56" s="454" t="s">
        <v>0</v>
      </c>
      <c r="E56" s="454">
        <v>0</v>
      </c>
      <c r="F56" s="454">
        <v>0</v>
      </c>
      <c r="G56" s="454">
        <f t="shared" si="3"/>
        <v>0</v>
      </c>
      <c r="H56" s="454">
        <v>6</v>
      </c>
      <c r="I56" s="455"/>
      <c r="J56" s="457" t="s">
        <v>1361</v>
      </c>
      <c r="K56" s="472"/>
      <c r="L56" s="455" t="s">
        <v>140</v>
      </c>
      <c r="Q56" s="257"/>
      <c r="R56" s="257" t="s">
        <v>840</v>
      </c>
      <c r="S56" s="257"/>
      <c r="T56" s="257"/>
      <c r="U56" s="257"/>
    </row>
    <row r="57" spans="1:21" s="258" customFormat="1" ht="40.5" customHeight="1" x14ac:dyDescent="0.25">
      <c r="A57" s="455">
        <v>24</v>
      </c>
      <c r="B57" s="454" t="s">
        <v>821</v>
      </c>
      <c r="C57" s="457" t="s">
        <v>822</v>
      </c>
      <c r="D57" s="455" t="s">
        <v>0</v>
      </c>
      <c r="E57" s="454">
        <v>10</v>
      </c>
      <c r="F57" s="454">
        <v>0</v>
      </c>
      <c r="G57" s="454">
        <f t="shared" si="3"/>
        <v>10</v>
      </c>
      <c r="H57" s="454">
        <v>3</v>
      </c>
      <c r="I57" s="455"/>
      <c r="J57" s="457" t="s">
        <v>1362</v>
      </c>
      <c r="K57" s="472">
        <v>18</v>
      </c>
      <c r="L57" s="455" t="s">
        <v>140</v>
      </c>
      <c r="Q57" s="257"/>
      <c r="R57" s="257" t="s">
        <v>840</v>
      </c>
      <c r="S57" s="257"/>
      <c r="T57" s="257"/>
      <c r="U57" s="257"/>
    </row>
    <row r="58" spans="1:21" s="258" customFormat="1" ht="37.5" customHeight="1" x14ac:dyDescent="0.25">
      <c r="A58" s="455">
        <v>25</v>
      </c>
      <c r="B58" s="455" t="s">
        <v>821</v>
      </c>
      <c r="C58" s="457" t="s">
        <v>1115</v>
      </c>
      <c r="D58" s="454" t="s">
        <v>0</v>
      </c>
      <c r="E58" s="454">
        <v>0</v>
      </c>
      <c r="F58" s="454">
        <v>0</v>
      </c>
      <c r="G58" s="454">
        <f t="shared" si="3"/>
        <v>0</v>
      </c>
      <c r="H58" s="454">
        <v>3</v>
      </c>
      <c r="I58" s="455"/>
      <c r="J58" s="457" t="s">
        <v>1362</v>
      </c>
      <c r="K58" s="472"/>
      <c r="L58" s="455" t="s">
        <v>140</v>
      </c>
      <c r="Q58" s="257"/>
      <c r="R58" s="257" t="s">
        <v>840</v>
      </c>
      <c r="S58" s="257"/>
      <c r="T58" s="257"/>
      <c r="U58" s="257"/>
    </row>
    <row r="59" spans="1:21" s="259" customFormat="1" ht="40.5" customHeight="1" x14ac:dyDescent="0.25">
      <c r="A59" s="455">
        <f>A57+1</f>
        <v>25</v>
      </c>
      <c r="B59" s="454" t="s">
        <v>954</v>
      </c>
      <c r="C59" s="457" t="s">
        <v>860</v>
      </c>
      <c r="D59" s="455" t="s">
        <v>0</v>
      </c>
      <c r="E59" s="454">
        <v>8</v>
      </c>
      <c r="F59" s="454">
        <v>0</v>
      </c>
      <c r="G59" s="454">
        <f t="shared" si="3"/>
        <v>8</v>
      </c>
      <c r="H59" s="454">
        <v>1</v>
      </c>
      <c r="I59" s="455"/>
      <c r="J59" s="457" t="s">
        <v>1310</v>
      </c>
      <c r="K59" s="472"/>
      <c r="L59" s="455" t="s">
        <v>76</v>
      </c>
      <c r="N59" s="259" t="s">
        <v>896</v>
      </c>
      <c r="P59" s="259" t="s">
        <v>813</v>
      </c>
      <c r="Q59" s="264"/>
      <c r="R59" s="257"/>
      <c r="S59" s="264"/>
      <c r="T59" s="264"/>
      <c r="U59" s="264"/>
    </row>
    <row r="60" spans="1:21" s="258" customFormat="1" ht="40.5" customHeight="1" x14ac:dyDescent="0.25">
      <c r="A60" s="455">
        <v>26</v>
      </c>
      <c r="B60" s="454" t="s">
        <v>828</v>
      </c>
      <c r="C60" s="457" t="s">
        <v>832</v>
      </c>
      <c r="D60" s="455" t="s">
        <v>0</v>
      </c>
      <c r="E60" s="454">
        <v>20</v>
      </c>
      <c r="F60" s="454">
        <v>0</v>
      </c>
      <c r="G60" s="454">
        <f t="shared" si="3"/>
        <v>20</v>
      </c>
      <c r="H60" s="454">
        <v>3</v>
      </c>
      <c r="I60" s="455"/>
      <c r="J60" s="457" t="s">
        <v>1363</v>
      </c>
      <c r="K60" s="472"/>
      <c r="L60" s="455" t="s">
        <v>140</v>
      </c>
      <c r="Q60" s="257"/>
      <c r="R60" s="257" t="s">
        <v>840</v>
      </c>
      <c r="S60" s="257"/>
      <c r="T60" s="257"/>
      <c r="U60" s="257"/>
    </row>
    <row r="61" spans="1:21" s="258" customFormat="1" ht="32.25" customHeight="1" x14ac:dyDescent="0.25">
      <c r="A61" s="455">
        <v>27</v>
      </c>
      <c r="B61" s="455" t="s">
        <v>828</v>
      </c>
      <c r="C61" s="457" t="s">
        <v>1124</v>
      </c>
      <c r="D61" s="454" t="s">
        <v>0</v>
      </c>
      <c r="E61" s="454">
        <v>0</v>
      </c>
      <c r="F61" s="454">
        <v>0</v>
      </c>
      <c r="G61" s="454">
        <f t="shared" si="3"/>
        <v>0</v>
      </c>
      <c r="H61" s="454">
        <v>3</v>
      </c>
      <c r="I61" s="455"/>
      <c r="J61" s="457" t="s">
        <v>1363</v>
      </c>
      <c r="K61" s="472"/>
      <c r="L61" s="455" t="s">
        <v>140</v>
      </c>
      <c r="Q61" s="257"/>
      <c r="R61" s="257" t="s">
        <v>840</v>
      </c>
      <c r="S61" s="257"/>
      <c r="T61" s="257"/>
      <c r="U61" s="257"/>
    </row>
    <row r="62" spans="1:21" s="257" customFormat="1" ht="38.25" customHeight="1" x14ac:dyDescent="0.25">
      <c r="A62" s="455">
        <v>28</v>
      </c>
      <c r="B62" s="454" t="s">
        <v>829</v>
      </c>
      <c r="C62" s="457" t="s">
        <v>830</v>
      </c>
      <c r="D62" s="455" t="s">
        <v>0</v>
      </c>
      <c r="E62" s="454">
        <v>28</v>
      </c>
      <c r="F62" s="454">
        <v>0</v>
      </c>
      <c r="G62" s="454">
        <f t="shared" si="3"/>
        <v>28</v>
      </c>
      <c r="H62" s="454">
        <v>3</v>
      </c>
      <c r="I62" s="455"/>
      <c r="J62" s="457" t="s">
        <v>1363</v>
      </c>
      <c r="K62" s="472"/>
      <c r="L62" s="455" t="s">
        <v>140</v>
      </c>
      <c r="P62" s="258"/>
      <c r="R62" s="257" t="s">
        <v>840</v>
      </c>
    </row>
    <row r="63" spans="1:21" s="258" customFormat="1" ht="43.5" customHeight="1" x14ac:dyDescent="0.25">
      <c r="A63" s="455">
        <v>29</v>
      </c>
      <c r="B63" s="454" t="s">
        <v>829</v>
      </c>
      <c r="C63" s="457" t="s">
        <v>831</v>
      </c>
      <c r="D63" s="455" t="s">
        <v>172</v>
      </c>
      <c r="E63" s="454">
        <v>28</v>
      </c>
      <c r="F63" s="454">
        <v>0</v>
      </c>
      <c r="G63" s="454">
        <f t="shared" si="3"/>
        <v>28</v>
      </c>
      <c r="H63" s="454">
        <v>3</v>
      </c>
      <c r="I63" s="455"/>
      <c r="J63" s="457" t="s">
        <v>1363</v>
      </c>
      <c r="K63" s="472"/>
      <c r="L63" s="455" t="s">
        <v>140</v>
      </c>
      <c r="Q63" s="257"/>
      <c r="R63" s="257" t="s">
        <v>840</v>
      </c>
      <c r="S63" s="257"/>
      <c r="T63" s="257"/>
      <c r="U63" s="257"/>
    </row>
    <row r="64" spans="1:21" s="264" customFormat="1" ht="88.5" customHeight="1" x14ac:dyDescent="0.25">
      <c r="A64" s="455">
        <v>30</v>
      </c>
      <c r="B64" s="454" t="s">
        <v>116</v>
      </c>
      <c r="C64" s="457" t="s">
        <v>64</v>
      </c>
      <c r="D64" s="455" t="s">
        <v>0</v>
      </c>
      <c r="E64" s="454">
        <v>48</v>
      </c>
      <c r="F64" s="454">
        <v>0</v>
      </c>
      <c r="G64" s="454">
        <f t="shared" si="3"/>
        <v>48</v>
      </c>
      <c r="H64" s="454">
        <v>32</v>
      </c>
      <c r="I64" s="455"/>
      <c r="J64" s="457" t="s">
        <v>904</v>
      </c>
      <c r="K64" s="472"/>
      <c r="L64" s="455" t="s">
        <v>76</v>
      </c>
      <c r="M64" s="264" t="s">
        <v>895</v>
      </c>
      <c r="N64" s="264" t="s">
        <v>896</v>
      </c>
      <c r="P64" s="264" t="s">
        <v>813</v>
      </c>
      <c r="R64" s="264" t="s">
        <v>840</v>
      </c>
    </row>
    <row r="65" spans="1:21" s="257" customFormat="1" ht="60.75" customHeight="1" x14ac:dyDescent="0.25">
      <c r="A65" s="455">
        <v>31</v>
      </c>
      <c r="B65" s="454" t="s">
        <v>1243</v>
      </c>
      <c r="C65" s="457" t="s">
        <v>1244</v>
      </c>
      <c r="D65" s="455" t="s">
        <v>390</v>
      </c>
      <c r="E65" s="454">
        <v>20000</v>
      </c>
      <c r="F65" s="454">
        <v>10000</v>
      </c>
      <c r="G65" s="454">
        <f>E65-F65</f>
        <v>10000</v>
      </c>
      <c r="H65" s="454">
        <v>5000</v>
      </c>
      <c r="I65" s="455"/>
      <c r="J65" s="457" t="s">
        <v>1245</v>
      </c>
      <c r="K65" s="472"/>
      <c r="L65" s="455" t="s">
        <v>140</v>
      </c>
      <c r="P65" s="257" t="s">
        <v>813</v>
      </c>
      <c r="Q65" s="257" t="s">
        <v>827</v>
      </c>
      <c r="R65" s="257" t="s">
        <v>840</v>
      </c>
    </row>
    <row r="66" spans="1:21" s="264" customFormat="1" ht="57" customHeight="1" x14ac:dyDescent="0.25">
      <c r="A66" s="455">
        <f>A64+1</f>
        <v>31</v>
      </c>
      <c r="B66" s="454" t="s">
        <v>112</v>
      </c>
      <c r="C66" s="457" t="s">
        <v>60</v>
      </c>
      <c r="D66" s="455" t="s">
        <v>0</v>
      </c>
      <c r="E66" s="454">
        <v>18</v>
      </c>
      <c r="F66" s="454">
        <v>0</v>
      </c>
      <c r="G66" s="454">
        <f t="shared" ref="G66:G143" si="4">E66-F66</f>
        <v>18</v>
      </c>
      <c r="H66" s="454">
        <v>0</v>
      </c>
      <c r="I66" s="455"/>
      <c r="J66" s="467" t="s">
        <v>900</v>
      </c>
      <c r="K66" s="472"/>
      <c r="L66" s="455" t="s">
        <v>76</v>
      </c>
      <c r="M66" s="264" t="s">
        <v>895</v>
      </c>
      <c r="N66" s="264" t="s">
        <v>896</v>
      </c>
    </row>
    <row r="67" spans="1:21" s="259" customFormat="1" ht="68.25" customHeight="1" x14ac:dyDescent="0.25">
      <c r="A67" s="455">
        <v>32</v>
      </c>
      <c r="B67" s="455" t="s">
        <v>1087</v>
      </c>
      <c r="C67" s="457" t="s">
        <v>1123</v>
      </c>
      <c r="D67" s="454" t="s">
        <v>0</v>
      </c>
      <c r="E67" s="454">
        <v>0</v>
      </c>
      <c r="F67" s="454">
        <v>0</v>
      </c>
      <c r="G67" s="454">
        <f t="shared" si="4"/>
        <v>0</v>
      </c>
      <c r="H67" s="454">
        <v>18</v>
      </c>
      <c r="I67" s="455"/>
      <c r="J67" s="457" t="s">
        <v>1161</v>
      </c>
      <c r="K67" s="472"/>
      <c r="L67" s="455" t="s">
        <v>197</v>
      </c>
      <c r="Q67" s="264"/>
      <c r="R67" s="264" t="s">
        <v>840</v>
      </c>
      <c r="S67" s="264"/>
      <c r="T67" s="264"/>
      <c r="U67" s="264"/>
    </row>
    <row r="68" spans="1:21" s="259" customFormat="1" ht="57.75" customHeight="1" x14ac:dyDescent="0.25">
      <c r="A68" s="455">
        <v>33</v>
      </c>
      <c r="B68" s="455" t="s">
        <v>1088</v>
      </c>
      <c r="C68" s="457" t="s">
        <v>1125</v>
      </c>
      <c r="D68" s="454" t="s">
        <v>0</v>
      </c>
      <c r="E68" s="454">
        <v>0</v>
      </c>
      <c r="F68" s="454">
        <v>0</v>
      </c>
      <c r="G68" s="454">
        <f t="shared" si="4"/>
        <v>0</v>
      </c>
      <c r="H68" s="454">
        <v>18</v>
      </c>
      <c r="I68" s="455"/>
      <c r="J68" s="457" t="s">
        <v>1161</v>
      </c>
      <c r="K68" s="472"/>
      <c r="L68" s="455" t="s">
        <v>197</v>
      </c>
      <c r="Q68" s="264"/>
      <c r="R68" s="264" t="s">
        <v>840</v>
      </c>
      <c r="S68" s="264"/>
      <c r="T68" s="264"/>
      <c r="U68" s="264"/>
    </row>
    <row r="69" spans="1:21" s="258" customFormat="1" ht="81" customHeight="1" x14ac:dyDescent="0.25">
      <c r="A69" s="455">
        <v>34</v>
      </c>
      <c r="B69" s="454" t="s">
        <v>295</v>
      </c>
      <c r="C69" s="457" t="s">
        <v>296</v>
      </c>
      <c r="D69" s="455" t="s">
        <v>0</v>
      </c>
      <c r="E69" s="454">
        <v>0</v>
      </c>
      <c r="F69" s="454">
        <v>0</v>
      </c>
      <c r="G69" s="454">
        <f t="shared" si="4"/>
        <v>0</v>
      </c>
      <c r="H69" s="454">
        <v>6</v>
      </c>
      <c r="I69" s="460"/>
      <c r="J69" s="457" t="s">
        <v>798</v>
      </c>
      <c r="K69" s="472">
        <v>0</v>
      </c>
      <c r="L69" s="455" t="s">
        <v>88</v>
      </c>
      <c r="M69" s="258" t="s">
        <v>895</v>
      </c>
      <c r="Q69" s="257" t="s">
        <v>827</v>
      </c>
      <c r="R69" s="257" t="s">
        <v>840</v>
      </c>
      <c r="S69" s="257"/>
      <c r="T69" s="257"/>
      <c r="U69" s="257"/>
    </row>
    <row r="70" spans="1:21" s="259" customFormat="1" ht="45" customHeight="1" x14ac:dyDescent="0.25">
      <c r="A70" s="455">
        <f t="shared" ref="A70:A133" si="5">A69+1</f>
        <v>35</v>
      </c>
      <c r="B70" s="455" t="s">
        <v>89</v>
      </c>
      <c r="C70" s="457" t="s">
        <v>90</v>
      </c>
      <c r="D70" s="455" t="s">
        <v>0</v>
      </c>
      <c r="E70" s="454">
        <v>0</v>
      </c>
      <c r="F70" s="454">
        <v>0</v>
      </c>
      <c r="G70" s="454">
        <f t="shared" si="4"/>
        <v>0</v>
      </c>
      <c r="H70" s="454">
        <f>VLOOKUP(B70,'[1]Tháng 7.2025'!$B$23:$H$153,7,0)</f>
        <v>6</v>
      </c>
      <c r="I70" s="460"/>
      <c r="J70" s="457" t="s">
        <v>97</v>
      </c>
      <c r="K70" s="472">
        <v>0</v>
      </c>
      <c r="L70" s="455" t="s">
        <v>88</v>
      </c>
      <c r="Q70" s="264"/>
      <c r="R70" s="264"/>
      <c r="S70" s="264"/>
      <c r="T70" s="264"/>
      <c r="U70" s="264"/>
    </row>
    <row r="71" spans="1:21" s="258" customFormat="1" ht="85.5" customHeight="1" x14ac:dyDescent="0.25">
      <c r="A71" s="455">
        <v>35</v>
      </c>
      <c r="B71" s="454" t="s">
        <v>855</v>
      </c>
      <c r="C71" s="457" t="s">
        <v>627</v>
      </c>
      <c r="D71" s="455" t="s">
        <v>0</v>
      </c>
      <c r="E71" s="454">
        <v>0</v>
      </c>
      <c r="F71" s="454">
        <v>0</v>
      </c>
      <c r="G71" s="454">
        <f t="shared" si="4"/>
        <v>0</v>
      </c>
      <c r="H71" s="454">
        <v>2</v>
      </c>
      <c r="I71" s="460"/>
      <c r="J71" s="457" t="s">
        <v>628</v>
      </c>
      <c r="K71" s="472"/>
      <c r="L71" s="455" t="s">
        <v>88</v>
      </c>
      <c r="M71" s="258" t="s">
        <v>895</v>
      </c>
      <c r="N71" s="258" t="s">
        <v>896</v>
      </c>
      <c r="Q71" s="257" t="s">
        <v>827</v>
      </c>
      <c r="R71" s="257" t="s">
        <v>840</v>
      </c>
      <c r="S71" s="257"/>
      <c r="T71" s="257"/>
      <c r="U71" s="257"/>
    </row>
    <row r="72" spans="1:21" s="258" customFormat="1" ht="153.75" customHeight="1" x14ac:dyDescent="0.25">
      <c r="A72" s="455">
        <v>36</v>
      </c>
      <c r="B72" s="454" t="s">
        <v>91</v>
      </c>
      <c r="C72" s="457" t="s">
        <v>92</v>
      </c>
      <c r="D72" s="455" t="s">
        <v>0</v>
      </c>
      <c r="E72" s="454">
        <v>0</v>
      </c>
      <c r="F72" s="454">
        <v>0</v>
      </c>
      <c r="G72" s="454">
        <f t="shared" si="4"/>
        <v>0</v>
      </c>
      <c r="H72" s="454">
        <v>6</v>
      </c>
      <c r="I72" s="460"/>
      <c r="J72" s="457" t="s">
        <v>98</v>
      </c>
      <c r="K72" s="472"/>
      <c r="L72" s="455" t="s">
        <v>88</v>
      </c>
      <c r="M72" s="258" t="s">
        <v>895</v>
      </c>
      <c r="N72" s="258" t="s">
        <v>896</v>
      </c>
      <c r="Q72" s="257" t="s">
        <v>827</v>
      </c>
      <c r="R72" s="257" t="s">
        <v>840</v>
      </c>
      <c r="S72" s="257"/>
      <c r="T72" s="257"/>
      <c r="U72" s="257"/>
    </row>
    <row r="73" spans="1:21" s="258" customFormat="1" ht="32.25" customHeight="1" x14ac:dyDescent="0.25">
      <c r="A73" s="455">
        <v>37</v>
      </c>
      <c r="B73" s="454" t="s">
        <v>93</v>
      </c>
      <c r="C73" s="457" t="s">
        <v>94</v>
      </c>
      <c r="D73" s="455" t="s">
        <v>0</v>
      </c>
      <c r="E73" s="454">
        <v>12</v>
      </c>
      <c r="F73" s="454">
        <v>0</v>
      </c>
      <c r="G73" s="454">
        <f t="shared" si="4"/>
        <v>12</v>
      </c>
      <c r="H73" s="454">
        <v>6</v>
      </c>
      <c r="I73" s="460"/>
      <c r="J73" s="457" t="s">
        <v>99</v>
      </c>
      <c r="K73" s="472">
        <v>0</v>
      </c>
      <c r="L73" s="455" t="s">
        <v>88</v>
      </c>
      <c r="M73" s="258" t="s">
        <v>895</v>
      </c>
      <c r="N73" s="258" t="s">
        <v>896</v>
      </c>
      <c r="P73" s="257" t="s">
        <v>813</v>
      </c>
      <c r="Q73" s="257" t="s">
        <v>827</v>
      </c>
      <c r="R73" s="257" t="s">
        <v>840</v>
      </c>
      <c r="S73" s="257"/>
      <c r="T73" s="257"/>
      <c r="U73" s="257"/>
    </row>
    <row r="74" spans="1:21" s="258" customFormat="1" ht="42.75" customHeight="1" x14ac:dyDescent="0.25">
      <c r="A74" s="455">
        <v>38</v>
      </c>
      <c r="B74" s="454" t="s">
        <v>95</v>
      </c>
      <c r="C74" s="457" t="s">
        <v>96</v>
      </c>
      <c r="D74" s="455" t="s">
        <v>0</v>
      </c>
      <c r="E74" s="454">
        <v>24</v>
      </c>
      <c r="F74" s="454">
        <v>12</v>
      </c>
      <c r="G74" s="454">
        <f t="shared" si="4"/>
        <v>12</v>
      </c>
      <c r="H74" s="454">
        <v>6</v>
      </c>
      <c r="I74" s="460"/>
      <c r="J74" s="457" t="s">
        <v>100</v>
      </c>
      <c r="K74" s="472"/>
      <c r="L74" s="454" t="s">
        <v>88</v>
      </c>
      <c r="M74" s="465" t="s">
        <v>895</v>
      </c>
      <c r="N74" s="258" t="s">
        <v>896</v>
      </c>
      <c r="P74" s="257" t="s">
        <v>813</v>
      </c>
      <c r="Q74" s="257" t="s">
        <v>827</v>
      </c>
      <c r="R74" s="257" t="s">
        <v>840</v>
      </c>
      <c r="S74" s="386"/>
      <c r="T74" s="257"/>
      <c r="U74" s="257"/>
    </row>
    <row r="75" spans="1:21" s="258" customFormat="1" ht="45" customHeight="1" x14ac:dyDescent="0.25">
      <c r="A75" s="455">
        <v>39</v>
      </c>
      <c r="B75" s="455" t="s">
        <v>519</v>
      </c>
      <c r="C75" s="457" t="s">
        <v>518</v>
      </c>
      <c r="D75" s="454" t="s">
        <v>0</v>
      </c>
      <c r="E75" s="454">
        <v>24</v>
      </c>
      <c r="F75" s="454">
        <v>12</v>
      </c>
      <c r="G75" s="454">
        <f t="shared" si="4"/>
        <v>12</v>
      </c>
      <c r="H75" s="454">
        <v>6</v>
      </c>
      <c r="I75" s="455"/>
      <c r="J75" s="457" t="s">
        <v>1140</v>
      </c>
      <c r="K75" s="472"/>
      <c r="L75" s="454" t="s">
        <v>88</v>
      </c>
      <c r="P75" s="257" t="s">
        <v>813</v>
      </c>
      <c r="Q75" s="257"/>
      <c r="R75" s="257" t="s">
        <v>840</v>
      </c>
      <c r="S75" s="257"/>
      <c r="T75" s="257"/>
      <c r="U75" s="257"/>
    </row>
    <row r="76" spans="1:21" s="258" customFormat="1" ht="44.25" customHeight="1" x14ac:dyDescent="0.25">
      <c r="A76" s="455">
        <v>40</v>
      </c>
      <c r="B76" s="455" t="s">
        <v>1082</v>
      </c>
      <c r="C76" s="457" t="s">
        <v>1118</v>
      </c>
      <c r="D76" s="454" t="s">
        <v>0</v>
      </c>
      <c r="E76" s="454">
        <v>24</v>
      </c>
      <c r="F76" s="454">
        <v>12</v>
      </c>
      <c r="G76" s="454">
        <f t="shared" si="4"/>
        <v>12</v>
      </c>
      <c r="H76" s="454">
        <v>6</v>
      </c>
      <c r="I76" s="455"/>
      <c r="J76" s="457" t="s">
        <v>1140</v>
      </c>
      <c r="K76" s="472"/>
      <c r="L76" s="454" t="s">
        <v>88</v>
      </c>
      <c r="P76" s="257" t="s">
        <v>813</v>
      </c>
      <c r="Q76" s="257"/>
      <c r="R76" s="257" t="s">
        <v>840</v>
      </c>
      <c r="S76" s="257"/>
      <c r="T76" s="257"/>
      <c r="U76" s="257"/>
    </row>
    <row r="77" spans="1:21" s="258" customFormat="1" ht="44.25" customHeight="1" x14ac:dyDescent="0.25">
      <c r="A77" s="455"/>
      <c r="B77" s="455" t="s">
        <v>708</v>
      </c>
      <c r="C77" s="457" t="s">
        <v>709</v>
      </c>
      <c r="D77" s="454" t="s">
        <v>59</v>
      </c>
      <c r="E77" s="454"/>
      <c r="F77" s="454"/>
      <c r="G77" s="454"/>
      <c r="H77" s="454">
        <v>1</v>
      </c>
      <c r="I77" s="455"/>
      <c r="J77" s="457" t="s">
        <v>1349</v>
      </c>
      <c r="K77" s="472"/>
      <c r="L77" s="454" t="s">
        <v>140</v>
      </c>
      <c r="P77" s="257"/>
      <c r="Q77" s="257"/>
      <c r="R77" s="257"/>
      <c r="S77" s="257" t="s">
        <v>897</v>
      </c>
      <c r="T77" s="257"/>
      <c r="U77" s="257"/>
    </row>
    <row r="78" spans="1:21" s="258" customFormat="1" ht="44.25" customHeight="1" x14ac:dyDescent="0.25">
      <c r="A78" s="455"/>
      <c r="B78" s="455" t="s">
        <v>1085</v>
      </c>
      <c r="C78" s="457" t="s">
        <v>1419</v>
      </c>
      <c r="D78" s="454" t="s">
        <v>59</v>
      </c>
      <c r="E78" s="454"/>
      <c r="F78" s="454"/>
      <c r="G78" s="454"/>
      <c r="H78" s="454">
        <v>1</v>
      </c>
      <c r="I78" s="455"/>
      <c r="J78" s="457" t="s">
        <v>1427</v>
      </c>
      <c r="K78" s="472"/>
      <c r="L78" s="454" t="s">
        <v>140</v>
      </c>
      <c r="P78" s="257"/>
      <c r="Q78" s="257"/>
      <c r="R78" s="257"/>
      <c r="S78" s="257" t="s">
        <v>897</v>
      </c>
      <c r="T78" s="257"/>
      <c r="U78" s="257"/>
    </row>
    <row r="79" spans="1:21" s="258" customFormat="1" ht="44.25" customHeight="1" x14ac:dyDescent="0.25">
      <c r="A79" s="455"/>
      <c r="B79" s="455" t="s">
        <v>1420</v>
      </c>
      <c r="C79" s="457" t="s">
        <v>1421</v>
      </c>
      <c r="D79" s="454" t="s">
        <v>59</v>
      </c>
      <c r="E79" s="454"/>
      <c r="F79" s="454"/>
      <c r="G79" s="454"/>
      <c r="H79" s="454">
        <v>2</v>
      </c>
      <c r="I79" s="455"/>
      <c r="J79" s="457" t="s">
        <v>1428</v>
      </c>
      <c r="K79" s="472"/>
      <c r="L79" s="454" t="s">
        <v>140</v>
      </c>
      <c r="P79" s="257"/>
      <c r="Q79" s="257"/>
      <c r="R79" s="257"/>
      <c r="S79" s="257" t="s">
        <v>897</v>
      </c>
      <c r="T79" s="257"/>
      <c r="U79" s="257"/>
    </row>
    <row r="80" spans="1:21" s="258" customFormat="1" ht="44.25" customHeight="1" x14ac:dyDescent="0.25">
      <c r="A80" s="455"/>
      <c r="B80" s="455" t="s">
        <v>1078</v>
      </c>
      <c r="C80" s="457" t="s">
        <v>1422</v>
      </c>
      <c r="D80" s="454" t="s">
        <v>59</v>
      </c>
      <c r="E80" s="454">
        <v>8</v>
      </c>
      <c r="F80" s="454"/>
      <c r="G80" s="454"/>
      <c r="H80" s="454">
        <v>1</v>
      </c>
      <c r="I80" s="455"/>
      <c r="J80" s="457" t="s">
        <v>1429</v>
      </c>
      <c r="K80" s="472"/>
      <c r="L80" s="454" t="s">
        <v>140</v>
      </c>
      <c r="P80" s="257"/>
      <c r="Q80" s="257"/>
      <c r="R80" s="257"/>
      <c r="S80" s="257" t="s">
        <v>897</v>
      </c>
      <c r="T80" s="257"/>
      <c r="U80" s="257"/>
    </row>
    <row r="81" spans="1:21" s="258" customFormat="1" ht="44.25" customHeight="1" x14ac:dyDescent="0.25">
      <c r="A81" s="455"/>
      <c r="B81" s="455" t="s">
        <v>1423</v>
      </c>
      <c r="C81" s="457" t="s">
        <v>1424</v>
      </c>
      <c r="D81" s="454" t="s">
        <v>59</v>
      </c>
      <c r="E81" s="454"/>
      <c r="F81" s="454"/>
      <c r="G81" s="454"/>
      <c r="H81" s="454">
        <v>4</v>
      </c>
      <c r="I81" s="455"/>
      <c r="J81" s="457" t="s">
        <v>1430</v>
      </c>
      <c r="K81" s="472"/>
      <c r="L81" s="454" t="s">
        <v>140</v>
      </c>
      <c r="P81" s="257"/>
      <c r="Q81" s="257"/>
      <c r="R81" s="257"/>
      <c r="S81" s="257" t="s">
        <v>897</v>
      </c>
      <c r="T81" s="257"/>
      <c r="U81" s="257"/>
    </row>
    <row r="82" spans="1:21" s="258" customFormat="1" ht="44.25" customHeight="1" x14ac:dyDescent="0.25">
      <c r="A82" s="455"/>
      <c r="B82" s="455" t="s">
        <v>1425</v>
      </c>
      <c r="C82" s="457" t="s">
        <v>1426</v>
      </c>
      <c r="D82" s="454" t="s">
        <v>59</v>
      </c>
      <c r="E82" s="454"/>
      <c r="F82" s="454"/>
      <c r="G82" s="454"/>
      <c r="H82" s="454">
        <v>20</v>
      </c>
      <c r="I82" s="455"/>
      <c r="J82" s="457" t="s">
        <v>1431</v>
      </c>
      <c r="K82" s="472"/>
      <c r="L82" s="454" t="s">
        <v>140</v>
      </c>
      <c r="P82" s="257"/>
      <c r="Q82" s="257"/>
      <c r="R82" s="257"/>
      <c r="S82" s="257" t="s">
        <v>897</v>
      </c>
      <c r="T82" s="257"/>
      <c r="U82" s="257"/>
    </row>
    <row r="83" spans="1:21" s="258" customFormat="1" ht="35.25" customHeight="1" x14ac:dyDescent="0.25">
      <c r="A83" s="455">
        <v>41</v>
      </c>
      <c r="B83" s="455" t="s">
        <v>1070</v>
      </c>
      <c r="C83" s="457" t="s">
        <v>1103</v>
      </c>
      <c r="D83" s="454" t="s">
        <v>0</v>
      </c>
      <c r="E83" s="454">
        <v>44</v>
      </c>
      <c r="F83" s="454">
        <v>0</v>
      </c>
      <c r="G83" s="454">
        <f t="shared" si="4"/>
        <v>44</v>
      </c>
      <c r="H83" s="454">
        <v>6</v>
      </c>
      <c r="I83" s="455"/>
      <c r="J83" s="457" t="s">
        <v>1139</v>
      </c>
      <c r="K83" s="472"/>
      <c r="L83" s="455" t="s">
        <v>140</v>
      </c>
      <c r="P83" s="257"/>
      <c r="Q83" s="257"/>
      <c r="R83" s="257"/>
      <c r="S83" s="257" t="s">
        <v>897</v>
      </c>
      <c r="T83" s="257"/>
      <c r="U83" s="257"/>
    </row>
    <row r="84" spans="1:21" s="258" customFormat="1" ht="42.75" customHeight="1" x14ac:dyDescent="0.25">
      <c r="A84" s="455">
        <v>42</v>
      </c>
      <c r="B84" s="455" t="s">
        <v>630</v>
      </c>
      <c r="C84" s="457" t="s">
        <v>631</v>
      </c>
      <c r="D84" s="455" t="s">
        <v>0</v>
      </c>
      <c r="E84" s="454">
        <v>44</v>
      </c>
      <c r="F84" s="454">
        <v>0</v>
      </c>
      <c r="G84" s="454">
        <f t="shared" si="4"/>
        <v>44</v>
      </c>
      <c r="H84" s="454">
        <v>6</v>
      </c>
      <c r="I84" s="460"/>
      <c r="J84" s="457" t="s">
        <v>1432</v>
      </c>
      <c r="K84" s="472"/>
      <c r="L84" s="454" t="s">
        <v>140</v>
      </c>
      <c r="M84" s="465"/>
      <c r="O84" s="465"/>
      <c r="P84" s="257"/>
      <c r="Q84" s="257"/>
      <c r="R84" s="257"/>
      <c r="S84" s="386" t="s">
        <v>897</v>
      </c>
      <c r="T84" s="257"/>
      <c r="U84" s="257"/>
    </row>
    <row r="85" spans="1:21" s="258" customFormat="1" ht="42.75" customHeight="1" x14ac:dyDescent="0.25">
      <c r="A85" s="455"/>
      <c r="B85" s="455" t="s">
        <v>1470</v>
      </c>
      <c r="C85" s="457" t="s">
        <v>1471</v>
      </c>
      <c r="D85" s="455" t="s">
        <v>0</v>
      </c>
      <c r="E85" s="454"/>
      <c r="F85" s="454"/>
      <c r="G85" s="454"/>
      <c r="H85" s="454">
        <v>6</v>
      </c>
      <c r="I85" s="460"/>
      <c r="J85" s="457" t="s">
        <v>798</v>
      </c>
      <c r="K85" s="472"/>
      <c r="L85" s="454" t="s">
        <v>88</v>
      </c>
      <c r="M85" s="465"/>
      <c r="O85" s="465"/>
      <c r="P85" s="257"/>
      <c r="Q85" s="257"/>
      <c r="R85" s="257"/>
      <c r="S85" s="386" t="s">
        <v>897</v>
      </c>
      <c r="T85" s="257"/>
      <c r="U85" s="257"/>
    </row>
    <row r="86" spans="1:21" s="258" customFormat="1" ht="42.75" customHeight="1" x14ac:dyDescent="0.25">
      <c r="A86" s="455"/>
      <c r="B86" s="455" t="s">
        <v>1467</v>
      </c>
      <c r="C86" s="457" t="s">
        <v>1468</v>
      </c>
      <c r="D86" s="455" t="s">
        <v>0</v>
      </c>
      <c r="E86" s="454">
        <v>24</v>
      </c>
      <c r="F86" s="454"/>
      <c r="G86" s="454"/>
      <c r="H86" s="454">
        <v>6</v>
      </c>
      <c r="I86" s="460"/>
      <c r="J86" s="457" t="s">
        <v>879</v>
      </c>
      <c r="K86" s="472"/>
      <c r="L86" s="454" t="s">
        <v>88</v>
      </c>
      <c r="M86" s="465"/>
      <c r="O86" s="465"/>
      <c r="P86" s="257"/>
      <c r="Q86" s="257"/>
      <c r="R86" s="257"/>
      <c r="S86" s="386" t="s">
        <v>897</v>
      </c>
      <c r="T86" s="257"/>
      <c r="U86" s="257"/>
    </row>
    <row r="87" spans="1:21" s="258" customFormat="1" ht="102" x14ac:dyDescent="0.25">
      <c r="A87" s="455"/>
      <c r="B87" s="455" t="s">
        <v>1467</v>
      </c>
      <c r="C87" s="457" t="s">
        <v>1468</v>
      </c>
      <c r="D87" s="455" t="s">
        <v>0</v>
      </c>
      <c r="E87" s="454">
        <v>24</v>
      </c>
      <c r="F87" s="454"/>
      <c r="G87" s="454"/>
      <c r="H87" s="454">
        <v>6</v>
      </c>
      <c r="I87" s="460"/>
      <c r="J87" s="476" t="s">
        <v>879</v>
      </c>
      <c r="K87" s="472"/>
      <c r="L87" s="454" t="s">
        <v>88</v>
      </c>
      <c r="M87" s="465"/>
      <c r="O87" s="465"/>
      <c r="P87" s="257"/>
      <c r="Q87" s="257"/>
      <c r="R87" s="257"/>
      <c r="S87" s="386" t="s">
        <v>897</v>
      </c>
      <c r="T87" s="257"/>
      <c r="U87" s="257"/>
    </row>
    <row r="88" spans="1:21" s="258" customFormat="1" ht="63.75" x14ac:dyDescent="0.25">
      <c r="A88" s="455"/>
      <c r="B88" s="455" t="s">
        <v>855</v>
      </c>
      <c r="C88" s="457" t="s">
        <v>627</v>
      </c>
      <c r="D88" s="455" t="s">
        <v>0</v>
      </c>
      <c r="E88" s="454">
        <v>2</v>
      </c>
      <c r="F88" s="454"/>
      <c r="G88" s="454"/>
      <c r="H88" s="454">
        <v>2</v>
      </c>
      <c r="I88" s="460"/>
      <c r="J88" s="476" t="s">
        <v>628</v>
      </c>
      <c r="K88" s="472"/>
      <c r="L88" s="454" t="s">
        <v>88</v>
      </c>
      <c r="M88" s="465"/>
      <c r="O88" s="465"/>
      <c r="P88" s="257"/>
      <c r="Q88" s="257"/>
      <c r="R88" s="257"/>
      <c r="S88" s="386" t="s">
        <v>897</v>
      </c>
      <c r="T88" s="257"/>
      <c r="U88" s="257"/>
    </row>
    <row r="89" spans="1:21" s="258" customFormat="1" ht="42.75" customHeight="1" x14ac:dyDescent="0.25">
      <c r="A89" s="455"/>
      <c r="B89" s="455" t="s">
        <v>91</v>
      </c>
      <c r="C89" s="457" t="s">
        <v>92</v>
      </c>
      <c r="D89" s="455" t="s">
        <v>0</v>
      </c>
      <c r="E89" s="454">
        <v>0</v>
      </c>
      <c r="F89" s="454"/>
      <c r="G89" s="454"/>
      <c r="H89" s="454">
        <v>6</v>
      </c>
      <c r="I89" s="460"/>
      <c r="J89" s="476" t="s">
        <v>98</v>
      </c>
      <c r="K89" s="472"/>
      <c r="L89" s="454" t="s">
        <v>88</v>
      </c>
      <c r="M89" s="465"/>
      <c r="O89" s="465"/>
      <c r="P89" s="257"/>
      <c r="Q89" s="257"/>
      <c r="R89" s="257"/>
      <c r="S89" s="386" t="s">
        <v>897</v>
      </c>
      <c r="T89" s="257"/>
      <c r="U89" s="257"/>
    </row>
    <row r="90" spans="1:21" s="258" customFormat="1" ht="42.75" customHeight="1" x14ac:dyDescent="0.25">
      <c r="A90" s="455"/>
      <c r="B90" s="455" t="s">
        <v>1469</v>
      </c>
      <c r="C90" s="457" t="s">
        <v>94</v>
      </c>
      <c r="D90" s="455" t="s">
        <v>0</v>
      </c>
      <c r="E90" s="454">
        <v>12</v>
      </c>
      <c r="F90" s="454"/>
      <c r="G90" s="454"/>
      <c r="H90" s="454">
        <v>6</v>
      </c>
      <c r="I90" s="460"/>
      <c r="J90" s="476" t="s">
        <v>99</v>
      </c>
      <c r="K90" s="472"/>
      <c r="L90" s="454" t="s">
        <v>88</v>
      </c>
      <c r="M90" s="465"/>
      <c r="O90" s="465"/>
      <c r="P90" s="257"/>
      <c r="Q90" s="257"/>
      <c r="R90" s="257"/>
      <c r="S90" s="386" t="s">
        <v>897</v>
      </c>
      <c r="T90" s="257"/>
      <c r="U90" s="257"/>
    </row>
    <row r="91" spans="1:21" s="258" customFormat="1" ht="42.75" customHeight="1" x14ac:dyDescent="0.25">
      <c r="A91" s="455"/>
      <c r="B91" s="455" t="s">
        <v>95</v>
      </c>
      <c r="C91" s="457" t="s">
        <v>96</v>
      </c>
      <c r="D91" s="455" t="s">
        <v>0</v>
      </c>
      <c r="E91" s="454">
        <v>24</v>
      </c>
      <c r="F91" s="454"/>
      <c r="G91" s="454"/>
      <c r="H91" s="454">
        <v>6</v>
      </c>
      <c r="I91" s="460"/>
      <c r="J91" s="457" t="s">
        <v>100</v>
      </c>
      <c r="K91" s="472"/>
      <c r="L91" s="454" t="s">
        <v>88</v>
      </c>
      <c r="M91" s="465"/>
      <c r="O91" s="465"/>
      <c r="P91" s="257"/>
      <c r="Q91" s="257"/>
      <c r="R91" s="257"/>
      <c r="S91" s="386" t="s">
        <v>897</v>
      </c>
      <c r="T91" s="257"/>
      <c r="U91" s="257"/>
    </row>
    <row r="92" spans="1:21" s="258" customFormat="1" ht="42.75" customHeight="1" x14ac:dyDescent="0.25">
      <c r="A92" s="455"/>
      <c r="B92" s="455" t="s">
        <v>1466</v>
      </c>
      <c r="C92" s="457" t="s">
        <v>631</v>
      </c>
      <c r="D92" s="455" t="s">
        <v>0</v>
      </c>
      <c r="E92" s="454">
        <v>44</v>
      </c>
      <c r="F92" s="454"/>
      <c r="G92" s="454"/>
      <c r="H92" s="454">
        <v>6</v>
      </c>
      <c r="I92" s="460"/>
      <c r="J92" s="457" t="s">
        <v>101</v>
      </c>
      <c r="K92" s="472"/>
      <c r="L92" s="454" t="s">
        <v>88</v>
      </c>
      <c r="M92" s="465"/>
      <c r="O92" s="465"/>
      <c r="P92" s="257"/>
      <c r="Q92" s="257"/>
      <c r="R92" s="257"/>
      <c r="S92" s="386" t="s">
        <v>897</v>
      </c>
      <c r="T92" s="257"/>
      <c r="U92" s="257"/>
    </row>
    <row r="93" spans="1:21" s="258" customFormat="1" ht="42.75" customHeight="1" x14ac:dyDescent="0.25">
      <c r="A93" s="455"/>
      <c r="B93" s="455" t="s">
        <v>1433</v>
      </c>
      <c r="C93" s="457" t="s">
        <v>1434</v>
      </c>
      <c r="D93" s="455" t="s">
        <v>59</v>
      </c>
      <c r="E93" s="454"/>
      <c r="F93" s="454"/>
      <c r="G93" s="454"/>
      <c r="H93" s="454">
        <v>4</v>
      </c>
      <c r="I93" s="460"/>
      <c r="J93" s="457" t="s">
        <v>1441</v>
      </c>
      <c r="K93" s="472"/>
      <c r="L93" s="454" t="s">
        <v>140</v>
      </c>
      <c r="M93" s="465"/>
      <c r="O93" s="465"/>
      <c r="P93" s="257"/>
      <c r="Q93" s="257"/>
      <c r="R93" s="257"/>
      <c r="S93" s="386" t="s">
        <v>897</v>
      </c>
      <c r="T93" s="257"/>
      <c r="U93" s="257"/>
    </row>
    <row r="94" spans="1:21" s="258" customFormat="1" ht="42.75" customHeight="1" x14ac:dyDescent="0.25">
      <c r="A94" s="455"/>
      <c r="B94" s="455" t="s">
        <v>309</v>
      </c>
      <c r="C94" s="457" t="s">
        <v>310</v>
      </c>
      <c r="D94" s="455" t="s">
        <v>59</v>
      </c>
      <c r="E94" s="454"/>
      <c r="F94" s="454"/>
      <c r="G94" s="454"/>
      <c r="H94" s="454">
        <v>4</v>
      </c>
      <c r="I94" s="460"/>
      <c r="J94" s="457" t="s">
        <v>1442</v>
      </c>
      <c r="K94" s="472"/>
      <c r="L94" s="454" t="s">
        <v>140</v>
      </c>
      <c r="M94" s="465"/>
      <c r="O94" s="465"/>
      <c r="P94" s="257"/>
      <c r="Q94" s="257"/>
      <c r="R94" s="257"/>
      <c r="S94" s="386" t="s">
        <v>897</v>
      </c>
      <c r="T94" s="257"/>
      <c r="U94" s="257"/>
    </row>
    <row r="95" spans="1:21" s="258" customFormat="1" ht="42.75" customHeight="1" x14ac:dyDescent="0.25">
      <c r="A95" s="455"/>
      <c r="B95" s="455" t="s">
        <v>1435</v>
      </c>
      <c r="C95" s="457" t="s">
        <v>1436</v>
      </c>
      <c r="D95" s="455" t="s">
        <v>59</v>
      </c>
      <c r="E95" s="454"/>
      <c r="F95" s="454"/>
      <c r="G95" s="454"/>
      <c r="H95" s="454">
        <v>4</v>
      </c>
      <c r="I95" s="460"/>
      <c r="J95" s="457" t="s">
        <v>1443</v>
      </c>
      <c r="K95" s="472"/>
      <c r="L95" s="454" t="s">
        <v>140</v>
      </c>
      <c r="M95" s="465"/>
      <c r="O95" s="465"/>
      <c r="P95" s="257"/>
      <c r="Q95" s="257"/>
      <c r="R95" s="257"/>
      <c r="S95" s="386" t="s">
        <v>897</v>
      </c>
      <c r="T95" s="257"/>
      <c r="U95" s="257"/>
    </row>
    <row r="96" spans="1:21" s="258" customFormat="1" ht="42.75" customHeight="1" x14ac:dyDescent="0.25">
      <c r="A96" s="455"/>
      <c r="B96" s="455" t="s">
        <v>1437</v>
      </c>
      <c r="C96" s="457" t="s">
        <v>1438</v>
      </c>
      <c r="D96" s="455" t="s">
        <v>59</v>
      </c>
      <c r="E96" s="454"/>
      <c r="F96" s="454"/>
      <c r="G96" s="454"/>
      <c r="H96" s="454">
        <v>12</v>
      </c>
      <c r="I96" s="460"/>
      <c r="J96" s="457" t="s">
        <v>1444</v>
      </c>
      <c r="K96" s="472"/>
      <c r="L96" s="454" t="s">
        <v>140</v>
      </c>
      <c r="M96" s="465"/>
      <c r="O96" s="465"/>
      <c r="P96" s="257"/>
      <c r="Q96" s="257"/>
      <c r="R96" s="257"/>
      <c r="S96" s="386" t="s">
        <v>897</v>
      </c>
      <c r="T96" s="257"/>
      <c r="U96" s="257"/>
    </row>
    <row r="97" spans="1:21" s="258" customFormat="1" ht="42.75" customHeight="1" x14ac:dyDescent="0.25">
      <c r="A97" s="455"/>
      <c r="B97" s="455" t="s">
        <v>1439</v>
      </c>
      <c r="C97" s="457" t="s">
        <v>1440</v>
      </c>
      <c r="D97" s="455" t="s">
        <v>59</v>
      </c>
      <c r="E97" s="454"/>
      <c r="F97" s="454"/>
      <c r="G97" s="454"/>
      <c r="H97" s="454">
        <v>1</v>
      </c>
      <c r="I97" s="460"/>
      <c r="J97" s="457" t="s">
        <v>1445</v>
      </c>
      <c r="K97" s="472"/>
      <c r="L97" s="454" t="s">
        <v>140</v>
      </c>
      <c r="M97" s="465"/>
      <c r="O97" s="465"/>
      <c r="P97" s="257"/>
      <c r="Q97" s="257"/>
      <c r="R97" s="257"/>
      <c r="S97" s="386" t="s">
        <v>897</v>
      </c>
      <c r="T97" s="257"/>
      <c r="U97" s="257"/>
    </row>
    <row r="98" spans="1:21" s="258" customFormat="1" ht="42.75" customHeight="1" x14ac:dyDescent="0.25">
      <c r="A98" s="455"/>
      <c r="B98" s="455" t="s">
        <v>1094</v>
      </c>
      <c r="C98" s="457" t="s">
        <v>1130</v>
      </c>
      <c r="D98" s="455" t="s">
        <v>59</v>
      </c>
      <c r="E98" s="454"/>
      <c r="F98" s="454"/>
      <c r="G98" s="454"/>
      <c r="H98" s="454">
        <v>2</v>
      </c>
      <c r="I98" s="460"/>
      <c r="J98" s="457" t="s">
        <v>1446</v>
      </c>
      <c r="K98" s="472"/>
      <c r="L98" s="454" t="s">
        <v>140</v>
      </c>
      <c r="M98" s="465"/>
      <c r="O98" s="465"/>
      <c r="P98" s="257"/>
      <c r="Q98" s="257"/>
      <c r="R98" s="257"/>
      <c r="S98" s="386" t="s">
        <v>897</v>
      </c>
      <c r="T98" s="257"/>
      <c r="U98" s="257"/>
    </row>
    <row r="99" spans="1:21" s="258" customFormat="1" ht="42.75" customHeight="1" x14ac:dyDescent="0.25">
      <c r="A99" s="455"/>
      <c r="B99" s="455" t="s">
        <v>1447</v>
      </c>
      <c r="C99" s="457" t="s">
        <v>1448</v>
      </c>
      <c r="D99" s="455" t="s">
        <v>59</v>
      </c>
      <c r="E99" s="454"/>
      <c r="F99" s="454"/>
      <c r="G99" s="454"/>
      <c r="H99" s="454">
        <v>2</v>
      </c>
      <c r="I99" s="460"/>
      <c r="J99" s="457" t="s">
        <v>1454</v>
      </c>
      <c r="K99" s="472"/>
      <c r="L99" s="454" t="s">
        <v>140</v>
      </c>
      <c r="M99" s="465"/>
      <c r="O99" s="465"/>
      <c r="P99" s="257"/>
      <c r="Q99" s="257"/>
      <c r="R99" s="257"/>
      <c r="S99" s="386" t="s">
        <v>897</v>
      </c>
      <c r="T99" s="257"/>
      <c r="U99" s="257"/>
    </row>
    <row r="100" spans="1:21" s="258" customFormat="1" ht="42.75" customHeight="1" x14ac:dyDescent="0.25">
      <c r="A100" s="455"/>
      <c r="B100" s="455" t="s">
        <v>1449</v>
      </c>
      <c r="C100" s="457" t="s">
        <v>1450</v>
      </c>
      <c r="D100" s="455" t="s">
        <v>59</v>
      </c>
      <c r="E100" s="454"/>
      <c r="F100" s="454"/>
      <c r="G100" s="454"/>
      <c r="H100" s="454">
        <v>1</v>
      </c>
      <c r="I100" s="460"/>
      <c r="J100" s="457" t="s">
        <v>1455</v>
      </c>
      <c r="K100" s="472"/>
      <c r="L100" s="454" t="s">
        <v>140</v>
      </c>
      <c r="M100" s="465"/>
      <c r="O100" s="465"/>
      <c r="P100" s="257"/>
      <c r="Q100" s="257"/>
      <c r="R100" s="257"/>
      <c r="S100" s="386" t="s">
        <v>897</v>
      </c>
      <c r="T100" s="257"/>
      <c r="U100" s="257"/>
    </row>
    <row r="101" spans="1:21" s="258" customFormat="1" ht="42.75" customHeight="1" x14ac:dyDescent="0.25">
      <c r="A101" s="455"/>
      <c r="B101" s="455" t="s">
        <v>954</v>
      </c>
      <c r="C101" s="457" t="s">
        <v>1451</v>
      </c>
      <c r="D101" s="455" t="s">
        <v>59</v>
      </c>
      <c r="E101" s="454"/>
      <c r="F101" s="454"/>
      <c r="G101" s="454"/>
      <c r="H101" s="454">
        <v>1</v>
      </c>
      <c r="I101" s="460"/>
      <c r="J101" s="457" t="s">
        <v>1456</v>
      </c>
      <c r="K101" s="472"/>
      <c r="L101" s="454" t="s">
        <v>140</v>
      </c>
      <c r="M101" s="465"/>
      <c r="O101" s="465"/>
      <c r="P101" s="257"/>
      <c r="Q101" s="257"/>
      <c r="R101" s="257"/>
      <c r="S101" s="386" t="s">
        <v>897</v>
      </c>
      <c r="T101" s="257"/>
      <c r="U101" s="257"/>
    </row>
    <row r="102" spans="1:21" s="258" customFormat="1" ht="42.75" customHeight="1" x14ac:dyDescent="0.25">
      <c r="A102" s="455"/>
      <c r="B102" s="455" t="s">
        <v>1080</v>
      </c>
      <c r="C102" s="457" t="s">
        <v>820</v>
      </c>
      <c r="D102" s="455" t="s">
        <v>59</v>
      </c>
      <c r="E102" s="454"/>
      <c r="F102" s="454"/>
      <c r="G102" s="454"/>
      <c r="H102" s="454">
        <v>6</v>
      </c>
      <c r="I102" s="460"/>
      <c r="J102" s="457" t="s">
        <v>1457</v>
      </c>
      <c r="K102" s="472"/>
      <c r="L102" s="454" t="s">
        <v>140</v>
      </c>
      <c r="M102" s="465"/>
      <c r="O102" s="465"/>
      <c r="P102" s="257"/>
      <c r="Q102" s="257"/>
      <c r="R102" s="257"/>
      <c r="S102" s="386" t="s">
        <v>897</v>
      </c>
      <c r="T102" s="257"/>
      <c r="U102" s="257"/>
    </row>
    <row r="103" spans="1:21" s="258" customFormat="1" ht="42.75" customHeight="1" x14ac:dyDescent="0.25">
      <c r="A103" s="455"/>
      <c r="B103" s="455" t="s">
        <v>829</v>
      </c>
      <c r="C103" s="457" t="s">
        <v>831</v>
      </c>
      <c r="D103" s="455" t="s">
        <v>59</v>
      </c>
      <c r="E103" s="454"/>
      <c r="F103" s="454"/>
      <c r="G103" s="454"/>
      <c r="H103" s="454">
        <v>1</v>
      </c>
      <c r="I103" s="460"/>
      <c r="J103" s="457" t="s">
        <v>1458</v>
      </c>
      <c r="K103" s="472"/>
      <c r="L103" s="454" t="s">
        <v>140</v>
      </c>
      <c r="M103" s="465"/>
      <c r="O103" s="465"/>
      <c r="P103" s="257"/>
      <c r="Q103" s="257"/>
      <c r="R103" s="257"/>
      <c r="S103" s="386" t="s">
        <v>897</v>
      </c>
      <c r="T103" s="257"/>
      <c r="U103" s="257"/>
    </row>
    <row r="104" spans="1:21" s="258" customFormat="1" ht="42.75" customHeight="1" x14ac:dyDescent="0.25">
      <c r="A104" s="455"/>
      <c r="B104" s="455" t="s">
        <v>1452</v>
      </c>
      <c r="C104" s="457" t="s">
        <v>1453</v>
      </c>
      <c r="D104" s="455" t="s">
        <v>59</v>
      </c>
      <c r="E104" s="454"/>
      <c r="F104" s="454"/>
      <c r="G104" s="454"/>
      <c r="H104" s="454">
        <v>2</v>
      </c>
      <c r="I104" s="460"/>
      <c r="J104" s="457" t="s">
        <v>1459</v>
      </c>
      <c r="K104" s="472"/>
      <c r="L104" s="454" t="s">
        <v>140</v>
      </c>
      <c r="M104" s="465"/>
      <c r="O104" s="465"/>
      <c r="P104" s="257"/>
      <c r="Q104" s="257"/>
      <c r="R104" s="257"/>
      <c r="S104" s="386" t="s">
        <v>897</v>
      </c>
      <c r="T104" s="257"/>
      <c r="U104" s="257"/>
    </row>
    <row r="105" spans="1:21" s="258" customFormat="1" ht="42.75" customHeight="1" x14ac:dyDescent="0.25">
      <c r="A105" s="455"/>
      <c r="B105" s="455" t="s">
        <v>641</v>
      </c>
      <c r="C105" s="457" t="s">
        <v>1107</v>
      </c>
      <c r="D105" s="455" t="s">
        <v>59</v>
      </c>
      <c r="E105" s="454"/>
      <c r="F105" s="454"/>
      <c r="G105" s="454"/>
      <c r="H105" s="454">
        <v>2</v>
      </c>
      <c r="I105" s="460"/>
      <c r="J105" s="457" t="s">
        <v>1460</v>
      </c>
      <c r="K105" s="472"/>
      <c r="L105" s="454" t="s">
        <v>140</v>
      </c>
      <c r="M105" s="465"/>
      <c r="O105" s="465"/>
      <c r="P105" s="257"/>
      <c r="Q105" s="257"/>
      <c r="R105" s="257"/>
      <c r="S105" s="386" t="s">
        <v>897</v>
      </c>
      <c r="T105" s="257"/>
      <c r="U105" s="257"/>
    </row>
    <row r="106" spans="1:21" s="258" customFormat="1" ht="56.25" customHeight="1" x14ac:dyDescent="0.25">
      <c r="A106" s="455">
        <f>A84+1</f>
        <v>43</v>
      </c>
      <c r="B106" s="454" t="s">
        <v>856</v>
      </c>
      <c r="C106" s="457" t="s">
        <v>39</v>
      </c>
      <c r="D106" s="455" t="s">
        <v>0</v>
      </c>
      <c r="E106" s="454">
        <v>6</v>
      </c>
      <c r="F106" s="454">
        <v>0</v>
      </c>
      <c r="G106" s="454">
        <f t="shared" si="4"/>
        <v>6</v>
      </c>
      <c r="H106" s="454">
        <v>5</v>
      </c>
      <c r="I106" s="460"/>
      <c r="J106" s="457" t="s">
        <v>623</v>
      </c>
      <c r="K106" s="472"/>
      <c r="L106" s="455" t="s">
        <v>88</v>
      </c>
      <c r="M106" s="258" t="s">
        <v>895</v>
      </c>
      <c r="N106" s="258" t="s">
        <v>896</v>
      </c>
      <c r="O106" s="465"/>
      <c r="P106" s="257" t="s">
        <v>813</v>
      </c>
      <c r="Q106" s="257" t="s">
        <v>827</v>
      </c>
      <c r="R106" s="257" t="s">
        <v>840</v>
      </c>
      <c r="S106" s="257"/>
      <c r="T106" s="257"/>
      <c r="U106" s="257"/>
    </row>
    <row r="107" spans="1:21" s="258" customFormat="1" ht="63" customHeight="1" x14ac:dyDescent="0.25">
      <c r="A107" s="455">
        <v>44</v>
      </c>
      <c r="B107" s="455" t="s">
        <v>1091</v>
      </c>
      <c r="C107" s="457" t="s">
        <v>39</v>
      </c>
      <c r="D107" s="454" t="s">
        <v>0</v>
      </c>
      <c r="E107" s="454">
        <v>6</v>
      </c>
      <c r="F107" s="454">
        <v>0</v>
      </c>
      <c r="G107" s="454">
        <f t="shared" si="4"/>
        <v>6</v>
      </c>
      <c r="H107" s="454">
        <v>5</v>
      </c>
      <c r="I107" s="455"/>
      <c r="J107" s="457" t="s">
        <v>623</v>
      </c>
      <c r="K107" s="472"/>
      <c r="L107" s="455" t="s">
        <v>88</v>
      </c>
      <c r="P107" s="257" t="s">
        <v>813</v>
      </c>
      <c r="Q107" s="257"/>
      <c r="R107" s="257" t="s">
        <v>840</v>
      </c>
      <c r="S107" s="257" t="s">
        <v>897</v>
      </c>
      <c r="T107" s="257"/>
      <c r="U107" s="257"/>
    </row>
    <row r="108" spans="1:21" s="258" customFormat="1" ht="74.25" customHeight="1" x14ac:dyDescent="0.25">
      <c r="A108" s="455">
        <v>45</v>
      </c>
      <c r="B108" s="454" t="s">
        <v>857</v>
      </c>
      <c r="C108" s="457" t="s">
        <v>37</v>
      </c>
      <c r="D108" s="455" t="s">
        <v>17</v>
      </c>
      <c r="E108" s="454">
        <v>12</v>
      </c>
      <c r="F108" s="454">
        <v>0</v>
      </c>
      <c r="G108" s="454">
        <f t="shared" si="4"/>
        <v>12</v>
      </c>
      <c r="H108" s="454">
        <v>5</v>
      </c>
      <c r="I108" s="460"/>
      <c r="J108" s="457" t="s">
        <v>846</v>
      </c>
      <c r="K108" s="472" t="s">
        <v>121</v>
      </c>
      <c r="L108" s="455" t="s">
        <v>88</v>
      </c>
      <c r="M108" s="258" t="s">
        <v>895</v>
      </c>
      <c r="N108" s="258" t="s">
        <v>896</v>
      </c>
      <c r="O108" s="465"/>
      <c r="P108" s="257" t="s">
        <v>813</v>
      </c>
      <c r="Q108" s="257" t="s">
        <v>827</v>
      </c>
      <c r="R108" s="257" t="s">
        <v>840</v>
      </c>
      <c r="S108" s="257" t="s">
        <v>897</v>
      </c>
      <c r="T108" s="257"/>
      <c r="U108" s="257"/>
    </row>
    <row r="109" spans="1:21" s="258" customFormat="1" ht="44.25" customHeight="1" x14ac:dyDescent="0.25">
      <c r="A109" s="455">
        <v>46</v>
      </c>
      <c r="B109" s="455" t="s">
        <v>1090</v>
      </c>
      <c r="C109" s="457" t="s">
        <v>1127</v>
      </c>
      <c r="D109" s="454" t="s">
        <v>0</v>
      </c>
      <c r="E109" s="454">
        <v>12</v>
      </c>
      <c r="F109" s="454">
        <v>0</v>
      </c>
      <c r="G109" s="454">
        <f t="shared" si="4"/>
        <v>12</v>
      </c>
      <c r="H109" s="454">
        <v>4</v>
      </c>
      <c r="I109" s="455"/>
      <c r="J109" s="457" t="s">
        <v>1166</v>
      </c>
      <c r="K109" s="472"/>
      <c r="L109" s="455" t="s">
        <v>197</v>
      </c>
      <c r="P109" s="257" t="s">
        <v>813</v>
      </c>
      <c r="Q109" s="257"/>
      <c r="R109" s="257" t="s">
        <v>840</v>
      </c>
      <c r="S109" s="257"/>
      <c r="T109" s="257"/>
      <c r="U109" s="257"/>
    </row>
    <row r="110" spans="1:21" s="258" customFormat="1" ht="69.75" customHeight="1" x14ac:dyDescent="0.25">
      <c r="A110" s="455">
        <v>47</v>
      </c>
      <c r="B110" s="454" t="s">
        <v>825</v>
      </c>
      <c r="C110" s="457" t="s">
        <v>26</v>
      </c>
      <c r="D110" s="455" t="s">
        <v>17</v>
      </c>
      <c r="E110" s="454">
        <v>8</v>
      </c>
      <c r="F110" s="454">
        <v>0</v>
      </c>
      <c r="G110" s="454">
        <f t="shared" si="4"/>
        <v>8</v>
      </c>
      <c r="H110" s="454">
        <f>VLOOKUP(B110,'[1]Tháng 7.2025'!$B$23:$H$153,7,0)</f>
        <v>2</v>
      </c>
      <c r="I110" s="460"/>
      <c r="J110" s="457" t="s">
        <v>847</v>
      </c>
      <c r="K110" s="471">
        <v>0</v>
      </c>
      <c r="L110" s="455" t="s">
        <v>88</v>
      </c>
      <c r="M110" s="258" t="s">
        <v>895</v>
      </c>
      <c r="N110" s="258" t="s">
        <v>896</v>
      </c>
      <c r="O110" s="465"/>
      <c r="P110" s="257" t="s">
        <v>813</v>
      </c>
      <c r="Q110" s="257" t="s">
        <v>827</v>
      </c>
      <c r="R110" s="257" t="s">
        <v>840</v>
      </c>
      <c r="S110" s="257" t="s">
        <v>897</v>
      </c>
      <c r="T110" s="257"/>
      <c r="U110" s="257"/>
    </row>
    <row r="111" spans="1:21" s="259" customFormat="1" ht="37.5" customHeight="1" x14ac:dyDescent="0.25">
      <c r="A111" s="455" t="e">
        <f>A133+1</f>
        <v>#REF!</v>
      </c>
      <c r="B111" s="455" t="s">
        <v>1078</v>
      </c>
      <c r="C111" s="457" t="s">
        <v>1113</v>
      </c>
      <c r="D111" s="454" t="s">
        <v>0</v>
      </c>
      <c r="E111" s="454">
        <v>0</v>
      </c>
      <c r="F111" s="454">
        <v>0</v>
      </c>
      <c r="G111" s="454">
        <f t="shared" si="4"/>
        <v>0</v>
      </c>
      <c r="H111" s="454">
        <v>4</v>
      </c>
      <c r="I111" s="455"/>
      <c r="J111" s="457" t="s">
        <v>1154</v>
      </c>
      <c r="K111" s="472"/>
      <c r="L111" s="455" t="s">
        <v>197</v>
      </c>
      <c r="Q111" s="264"/>
      <c r="R111" s="264"/>
      <c r="S111" s="264"/>
      <c r="T111" s="264"/>
      <c r="U111" s="264"/>
    </row>
    <row r="112" spans="1:21" s="264" customFormat="1" ht="33" customHeight="1" x14ac:dyDescent="0.25">
      <c r="A112" s="455">
        <f>A110+1</f>
        <v>48</v>
      </c>
      <c r="B112" s="454" t="s">
        <v>459</v>
      </c>
      <c r="C112" s="457" t="s">
        <v>460</v>
      </c>
      <c r="D112" s="455" t="s">
        <v>59</v>
      </c>
      <c r="E112" s="454">
        <v>0</v>
      </c>
      <c r="F112" s="454">
        <v>0</v>
      </c>
      <c r="G112" s="454">
        <f t="shared" si="4"/>
        <v>0</v>
      </c>
      <c r="H112" s="454">
        <f>VLOOKUP(B112,'[1]Tháng 7.2025'!$B$23:$H$153,7,0)</f>
        <v>2</v>
      </c>
      <c r="I112" s="460"/>
      <c r="J112" s="457" t="s">
        <v>461</v>
      </c>
      <c r="K112" s="471"/>
      <c r="L112" s="456" t="s">
        <v>140</v>
      </c>
    </row>
    <row r="113" spans="1:21" s="258" customFormat="1" ht="71.25" customHeight="1" x14ac:dyDescent="0.25">
      <c r="A113" s="455">
        <v>48</v>
      </c>
      <c r="B113" s="454" t="s">
        <v>361</v>
      </c>
      <c r="C113" s="457" t="s">
        <v>362</v>
      </c>
      <c r="D113" s="454" t="s">
        <v>0</v>
      </c>
      <c r="E113" s="454">
        <v>24</v>
      </c>
      <c r="F113" s="454">
        <v>0</v>
      </c>
      <c r="G113" s="454">
        <f t="shared" si="4"/>
        <v>24</v>
      </c>
      <c r="H113" s="454">
        <f>VLOOKUP(B113,'[1]Tháng 7.2025'!$B$23:$H$153,7,0)</f>
        <v>6</v>
      </c>
      <c r="I113" s="454"/>
      <c r="J113" s="457" t="s">
        <v>879</v>
      </c>
      <c r="K113" s="471"/>
      <c r="L113" s="455" t="s">
        <v>88</v>
      </c>
      <c r="M113" s="258" t="s">
        <v>895</v>
      </c>
      <c r="N113" s="258" t="s">
        <v>896</v>
      </c>
      <c r="P113" s="257" t="s">
        <v>813</v>
      </c>
      <c r="Q113" s="257" t="s">
        <v>827</v>
      </c>
      <c r="R113" s="257" t="s">
        <v>840</v>
      </c>
      <c r="S113" s="257"/>
      <c r="T113" s="257"/>
      <c r="U113" s="257"/>
    </row>
    <row r="114" spans="1:21" s="259" customFormat="1" ht="41.25" customHeight="1" x14ac:dyDescent="0.25">
      <c r="A114" s="455">
        <v>49</v>
      </c>
      <c r="B114" s="454" t="s">
        <v>335</v>
      </c>
      <c r="C114" s="457" t="s">
        <v>336</v>
      </c>
      <c r="D114" s="455" t="s">
        <v>0</v>
      </c>
      <c r="E114" s="454">
        <v>0</v>
      </c>
      <c r="F114" s="454">
        <v>0</v>
      </c>
      <c r="G114" s="454">
        <f t="shared" si="4"/>
        <v>0</v>
      </c>
      <c r="H114" s="454">
        <v>2</v>
      </c>
      <c r="I114" s="455"/>
      <c r="J114" s="457" t="s">
        <v>1023</v>
      </c>
      <c r="K114" s="472"/>
      <c r="L114" s="455" t="s">
        <v>140</v>
      </c>
      <c r="N114" s="259" t="s">
        <v>896</v>
      </c>
      <c r="Q114" s="264"/>
      <c r="R114" s="257" t="s">
        <v>840</v>
      </c>
      <c r="S114" s="264"/>
      <c r="T114" s="264"/>
      <c r="U114" s="264"/>
    </row>
    <row r="115" spans="1:21" s="259" customFormat="1" ht="46.5" customHeight="1" x14ac:dyDescent="0.25">
      <c r="A115" s="455" t="e">
        <f>#REF!+1</f>
        <v>#REF!</v>
      </c>
      <c r="B115" s="455" t="s">
        <v>335</v>
      </c>
      <c r="C115" s="457" t="s">
        <v>336</v>
      </c>
      <c r="D115" s="454" t="s">
        <v>0</v>
      </c>
      <c r="E115" s="454">
        <v>0</v>
      </c>
      <c r="F115" s="454">
        <v>0</v>
      </c>
      <c r="G115" s="454">
        <f t="shared" si="4"/>
        <v>0</v>
      </c>
      <c r="H115" s="454">
        <v>2</v>
      </c>
      <c r="I115" s="455"/>
      <c r="J115" s="457" t="s">
        <v>1146</v>
      </c>
      <c r="K115" s="472"/>
      <c r="L115" s="455" t="s">
        <v>197</v>
      </c>
      <c r="Q115" s="264"/>
      <c r="R115" s="264"/>
      <c r="S115" s="264"/>
      <c r="T115" s="264"/>
      <c r="U115" s="264"/>
    </row>
    <row r="116" spans="1:21" s="259" customFormat="1" ht="58.5" customHeight="1" x14ac:dyDescent="0.25">
      <c r="A116" s="455">
        <f>A114+1</f>
        <v>50</v>
      </c>
      <c r="B116" s="454" t="s">
        <v>340</v>
      </c>
      <c r="C116" s="457" t="s">
        <v>341</v>
      </c>
      <c r="D116" s="455" t="s">
        <v>0</v>
      </c>
      <c r="E116" s="454">
        <v>0</v>
      </c>
      <c r="F116" s="454">
        <v>0</v>
      </c>
      <c r="G116" s="454">
        <f t="shared" si="4"/>
        <v>0</v>
      </c>
      <c r="H116" s="454">
        <v>2</v>
      </c>
      <c r="I116" s="455"/>
      <c r="J116" s="457" t="s">
        <v>1024</v>
      </c>
      <c r="K116" s="472"/>
      <c r="L116" s="455" t="s">
        <v>140</v>
      </c>
      <c r="N116" s="259" t="s">
        <v>896</v>
      </c>
      <c r="Q116" s="264"/>
      <c r="R116" s="264"/>
      <c r="S116" s="264"/>
      <c r="T116" s="264"/>
      <c r="U116" s="264"/>
    </row>
    <row r="117" spans="1:21" s="259" customFormat="1" ht="57.75" customHeight="1" x14ac:dyDescent="0.25">
      <c r="A117" s="455">
        <v>50</v>
      </c>
      <c r="B117" s="455" t="s">
        <v>340</v>
      </c>
      <c r="C117" s="457" t="s">
        <v>341</v>
      </c>
      <c r="D117" s="454" t="s">
        <v>0</v>
      </c>
      <c r="E117" s="454">
        <v>0</v>
      </c>
      <c r="F117" s="454">
        <v>0</v>
      </c>
      <c r="G117" s="454">
        <f t="shared" si="4"/>
        <v>0</v>
      </c>
      <c r="H117" s="454">
        <v>4</v>
      </c>
      <c r="I117" s="455"/>
      <c r="J117" s="457" t="s">
        <v>1149</v>
      </c>
      <c r="K117" s="472"/>
      <c r="L117" s="455" t="s">
        <v>197</v>
      </c>
      <c r="Q117" s="264"/>
      <c r="R117" s="257" t="s">
        <v>840</v>
      </c>
      <c r="S117" s="264"/>
      <c r="T117" s="264"/>
      <c r="U117" s="264"/>
    </row>
    <row r="118" spans="1:21" s="259" customFormat="1" ht="30" customHeight="1" x14ac:dyDescent="0.25">
      <c r="A118" s="455" t="e">
        <f>#REF!+1</f>
        <v>#REF!</v>
      </c>
      <c r="B118" s="455"/>
      <c r="C118" s="457" t="s">
        <v>1062</v>
      </c>
      <c r="D118" s="454" t="s">
        <v>0</v>
      </c>
      <c r="E118" s="454">
        <v>0</v>
      </c>
      <c r="F118" s="454">
        <v>0</v>
      </c>
      <c r="G118" s="454">
        <f t="shared" si="4"/>
        <v>0</v>
      </c>
      <c r="H118" s="454">
        <v>1</v>
      </c>
      <c r="I118" s="455"/>
      <c r="J118" s="457" t="s">
        <v>1063</v>
      </c>
      <c r="K118" s="472"/>
      <c r="L118" s="455" t="s">
        <v>76</v>
      </c>
      <c r="Q118" s="264"/>
      <c r="R118" s="264"/>
      <c r="S118" s="264"/>
      <c r="T118" s="264"/>
      <c r="U118" s="264"/>
    </row>
    <row r="119" spans="1:21" s="259" customFormat="1" ht="58.5" customHeight="1" x14ac:dyDescent="0.25">
      <c r="A119" s="455" t="e">
        <f t="shared" si="5"/>
        <v>#REF!</v>
      </c>
      <c r="B119" s="455" t="s">
        <v>1066</v>
      </c>
      <c r="C119" s="457" t="s">
        <v>1099</v>
      </c>
      <c r="D119" s="454" t="s">
        <v>0</v>
      </c>
      <c r="E119" s="454">
        <v>0</v>
      </c>
      <c r="F119" s="454">
        <v>0</v>
      </c>
      <c r="G119" s="454">
        <f t="shared" si="4"/>
        <v>0</v>
      </c>
      <c r="H119" s="454">
        <v>1014</v>
      </c>
      <c r="I119" s="455"/>
      <c r="J119" s="457" t="s">
        <v>1135</v>
      </c>
      <c r="K119" s="472"/>
      <c r="L119" s="455" t="s">
        <v>197</v>
      </c>
      <c r="Q119" s="264"/>
      <c r="R119" s="264"/>
      <c r="S119" s="264"/>
      <c r="T119" s="264"/>
      <c r="U119" s="264"/>
    </row>
    <row r="120" spans="1:21" s="259" customFormat="1" ht="35.25" customHeight="1" x14ac:dyDescent="0.25">
      <c r="A120" s="455" t="e">
        <f t="shared" si="5"/>
        <v>#REF!</v>
      </c>
      <c r="B120" s="455" t="s">
        <v>1067</v>
      </c>
      <c r="C120" s="457" t="s">
        <v>1100</v>
      </c>
      <c r="D120" s="454" t="s">
        <v>0</v>
      </c>
      <c r="E120" s="454">
        <v>0</v>
      </c>
      <c r="F120" s="454">
        <v>0</v>
      </c>
      <c r="G120" s="454">
        <f t="shared" si="4"/>
        <v>0</v>
      </c>
      <c r="H120" s="454">
        <v>60</v>
      </c>
      <c r="I120" s="455"/>
      <c r="J120" s="457" t="s">
        <v>1136</v>
      </c>
      <c r="K120" s="472"/>
      <c r="L120" s="455" t="s">
        <v>197</v>
      </c>
      <c r="Q120" s="264"/>
      <c r="R120" s="264"/>
      <c r="S120" s="264"/>
      <c r="T120" s="264"/>
      <c r="U120" s="264"/>
    </row>
    <row r="121" spans="1:21" s="259" customFormat="1" ht="35.25" customHeight="1" x14ac:dyDescent="0.25">
      <c r="A121" s="455" t="e">
        <f t="shared" si="5"/>
        <v>#REF!</v>
      </c>
      <c r="B121" s="455" t="s">
        <v>1068</v>
      </c>
      <c r="C121" s="457" t="s">
        <v>1101</v>
      </c>
      <c r="D121" s="454" t="s">
        <v>0</v>
      </c>
      <c r="E121" s="454">
        <v>0</v>
      </c>
      <c r="F121" s="454">
        <v>0</v>
      </c>
      <c r="G121" s="454">
        <f t="shared" si="4"/>
        <v>0</v>
      </c>
      <c r="H121" s="454">
        <v>30</v>
      </c>
      <c r="I121" s="455"/>
      <c r="J121" s="457" t="s">
        <v>1137</v>
      </c>
      <c r="K121" s="472"/>
      <c r="L121" s="455" t="s">
        <v>197</v>
      </c>
      <c r="Q121" s="264"/>
      <c r="R121" s="264"/>
      <c r="S121" s="264"/>
      <c r="T121" s="264"/>
      <c r="U121" s="264"/>
    </row>
    <row r="122" spans="1:21" s="259" customFormat="1" ht="35.25" customHeight="1" x14ac:dyDescent="0.25">
      <c r="A122" s="455" t="e">
        <f t="shared" si="5"/>
        <v>#REF!</v>
      </c>
      <c r="B122" s="455" t="s">
        <v>1069</v>
      </c>
      <c r="C122" s="457" t="s">
        <v>1102</v>
      </c>
      <c r="D122" s="454" t="s">
        <v>0</v>
      </c>
      <c r="E122" s="454">
        <v>0</v>
      </c>
      <c r="F122" s="454">
        <v>0</v>
      </c>
      <c r="G122" s="454">
        <f t="shared" si="4"/>
        <v>0</v>
      </c>
      <c r="H122" s="454">
        <v>500</v>
      </c>
      <c r="I122" s="455"/>
      <c r="J122" s="457" t="s">
        <v>1138</v>
      </c>
      <c r="K122" s="472"/>
      <c r="L122" s="455" t="s">
        <v>197</v>
      </c>
      <c r="Q122" s="264"/>
      <c r="R122" s="264"/>
      <c r="S122" s="264"/>
      <c r="T122" s="264"/>
      <c r="U122" s="264"/>
    </row>
    <row r="123" spans="1:21" s="259" customFormat="1" ht="35.25" customHeight="1" x14ac:dyDescent="0.25">
      <c r="A123" s="455">
        <f>A75+1</f>
        <v>40</v>
      </c>
      <c r="B123" s="455" t="s">
        <v>871</v>
      </c>
      <c r="C123" s="457" t="s">
        <v>872</v>
      </c>
      <c r="D123" s="454" t="s">
        <v>0</v>
      </c>
      <c r="E123" s="454">
        <v>10</v>
      </c>
      <c r="F123" s="454">
        <v>0</v>
      </c>
      <c r="G123" s="454">
        <f t="shared" si="4"/>
        <v>10</v>
      </c>
      <c r="H123" s="454">
        <v>8</v>
      </c>
      <c r="I123" s="455"/>
      <c r="J123" s="457" t="s">
        <v>1141</v>
      </c>
      <c r="K123" s="472"/>
      <c r="L123" s="455" t="s">
        <v>197</v>
      </c>
      <c r="Q123" s="264"/>
      <c r="R123" s="264"/>
      <c r="S123" s="264"/>
      <c r="T123" s="264"/>
      <c r="U123" s="264"/>
    </row>
    <row r="124" spans="1:21" s="259" customFormat="1" ht="35.25" customHeight="1" x14ac:dyDescent="0.25">
      <c r="A124" s="455">
        <f t="shared" si="5"/>
        <v>41</v>
      </c>
      <c r="B124" s="455" t="s">
        <v>711</v>
      </c>
      <c r="C124" s="457" t="s">
        <v>712</v>
      </c>
      <c r="D124" s="454" t="s">
        <v>0</v>
      </c>
      <c r="E124" s="454">
        <v>10</v>
      </c>
      <c r="F124" s="454">
        <v>0</v>
      </c>
      <c r="G124" s="454">
        <f t="shared" si="4"/>
        <v>10</v>
      </c>
      <c r="H124" s="454">
        <v>3</v>
      </c>
      <c r="I124" s="455"/>
      <c r="J124" s="457" t="s">
        <v>1141</v>
      </c>
      <c r="K124" s="472"/>
      <c r="L124" s="455" t="s">
        <v>197</v>
      </c>
      <c r="Q124" s="264"/>
      <c r="R124" s="264"/>
      <c r="S124" s="264"/>
      <c r="T124" s="264"/>
      <c r="U124" s="264"/>
    </row>
    <row r="125" spans="1:21" s="257" customFormat="1" ht="25.5" customHeight="1" x14ac:dyDescent="0.25">
      <c r="A125" s="455">
        <v>51</v>
      </c>
      <c r="B125" s="454" t="s">
        <v>871</v>
      </c>
      <c r="C125" s="457" t="s">
        <v>872</v>
      </c>
      <c r="D125" s="454" t="s">
        <v>59</v>
      </c>
      <c r="E125" s="454">
        <v>10</v>
      </c>
      <c r="F125" s="454">
        <v>0</v>
      </c>
      <c r="G125" s="454">
        <f t="shared" si="4"/>
        <v>10</v>
      </c>
      <c r="H125" s="454">
        <v>1</v>
      </c>
      <c r="I125" s="454"/>
      <c r="J125" s="457" t="s">
        <v>1364</v>
      </c>
      <c r="K125" s="471"/>
      <c r="L125" s="456" t="s">
        <v>140</v>
      </c>
      <c r="M125" s="257" t="s">
        <v>895</v>
      </c>
      <c r="R125" s="257" t="s">
        <v>840</v>
      </c>
      <c r="S125" s="257" t="s">
        <v>897</v>
      </c>
    </row>
    <row r="126" spans="1:21" s="264" customFormat="1" ht="39" customHeight="1" x14ac:dyDescent="0.25">
      <c r="A126" s="455">
        <f>A125+1</f>
        <v>52</v>
      </c>
      <c r="B126" s="454" t="s">
        <v>711</v>
      </c>
      <c r="C126" s="457" t="s">
        <v>712</v>
      </c>
      <c r="D126" s="454" t="s">
        <v>59</v>
      </c>
      <c r="E126" s="454">
        <v>0</v>
      </c>
      <c r="F126" s="454">
        <v>0</v>
      </c>
      <c r="G126" s="454">
        <f t="shared" si="4"/>
        <v>0</v>
      </c>
      <c r="H126" s="454">
        <v>2</v>
      </c>
      <c r="I126" s="454"/>
      <c r="J126" s="457" t="s">
        <v>875</v>
      </c>
      <c r="K126" s="471"/>
      <c r="L126" s="456" t="s">
        <v>140</v>
      </c>
      <c r="M126" s="264" t="s">
        <v>895</v>
      </c>
      <c r="S126" s="257" t="s">
        <v>897</v>
      </c>
    </row>
    <row r="127" spans="1:21" s="259" customFormat="1" ht="35.25" customHeight="1" x14ac:dyDescent="0.25">
      <c r="A127" s="455">
        <v>52</v>
      </c>
      <c r="B127" s="455" t="s">
        <v>716</v>
      </c>
      <c r="C127" s="457" t="s">
        <v>717</v>
      </c>
      <c r="D127" s="454" t="s">
        <v>0</v>
      </c>
      <c r="E127" s="454">
        <v>0</v>
      </c>
      <c r="F127" s="454">
        <v>0</v>
      </c>
      <c r="G127" s="454">
        <f t="shared" si="4"/>
        <v>0</v>
      </c>
      <c r="H127" s="454">
        <v>2</v>
      </c>
      <c r="I127" s="455"/>
      <c r="J127" s="457" t="s">
        <v>873</v>
      </c>
      <c r="K127" s="472"/>
      <c r="L127" s="456" t="s">
        <v>140</v>
      </c>
      <c r="Q127" s="264"/>
      <c r="R127" s="264" t="s">
        <v>840</v>
      </c>
      <c r="S127" s="257" t="s">
        <v>897</v>
      </c>
      <c r="T127" s="264"/>
      <c r="U127" s="264"/>
    </row>
    <row r="128" spans="1:21" s="259" customFormat="1" ht="35.25" customHeight="1" x14ac:dyDescent="0.25">
      <c r="A128" s="455">
        <v>53</v>
      </c>
      <c r="B128" s="455" t="s">
        <v>1354</v>
      </c>
      <c r="C128" s="457" t="s">
        <v>1355</v>
      </c>
      <c r="D128" s="454" t="s">
        <v>2</v>
      </c>
      <c r="E128" s="454">
        <v>0</v>
      </c>
      <c r="F128" s="454">
        <v>0</v>
      </c>
      <c r="G128" s="454">
        <v>0</v>
      </c>
      <c r="H128" s="454">
        <v>5</v>
      </c>
      <c r="I128" s="455"/>
      <c r="J128" s="457" t="s">
        <v>1356</v>
      </c>
      <c r="K128" s="472"/>
      <c r="L128" s="456" t="s">
        <v>140</v>
      </c>
      <c r="Q128" s="264"/>
      <c r="R128" s="264" t="s">
        <v>840</v>
      </c>
      <c r="S128" s="264"/>
      <c r="T128" s="264"/>
      <c r="U128" s="264"/>
    </row>
    <row r="129" spans="1:21" s="259" customFormat="1" ht="44.25" customHeight="1" x14ac:dyDescent="0.25">
      <c r="A129" s="455">
        <v>54</v>
      </c>
      <c r="B129" s="455" t="s">
        <v>1083</v>
      </c>
      <c r="C129" s="457" t="s">
        <v>1119</v>
      </c>
      <c r="D129" s="454" t="s">
        <v>0</v>
      </c>
      <c r="E129" s="454">
        <v>0</v>
      </c>
      <c r="F129" s="454">
        <v>0</v>
      </c>
      <c r="G129" s="454">
        <f>E129-F129</f>
        <v>0</v>
      </c>
      <c r="H129" s="454">
        <v>10</v>
      </c>
      <c r="I129" s="455"/>
      <c r="J129" s="457" t="s">
        <v>1159</v>
      </c>
      <c r="K129" s="472"/>
      <c r="L129" s="456" t="s">
        <v>140</v>
      </c>
      <c r="Q129" s="264"/>
      <c r="R129" s="264" t="s">
        <v>840</v>
      </c>
      <c r="S129" s="264"/>
      <c r="T129" s="264"/>
      <c r="U129" s="264"/>
    </row>
    <row r="130" spans="1:21" s="259" customFormat="1" ht="35.25" customHeight="1" x14ac:dyDescent="0.25">
      <c r="A130" s="455"/>
      <c r="B130" s="455" t="s">
        <v>1357</v>
      </c>
      <c r="C130" s="457" t="s">
        <v>1358</v>
      </c>
      <c r="D130" s="454" t="s">
        <v>1203</v>
      </c>
      <c r="E130" s="454">
        <v>0</v>
      </c>
      <c r="F130" s="454">
        <v>0</v>
      </c>
      <c r="G130" s="454">
        <f>E130-F130</f>
        <v>0</v>
      </c>
      <c r="H130" s="454">
        <v>50</v>
      </c>
      <c r="I130" s="455"/>
      <c r="J130" s="457" t="s">
        <v>1359</v>
      </c>
      <c r="K130" s="472"/>
      <c r="L130" s="456" t="s">
        <v>1360</v>
      </c>
      <c r="Q130" s="264"/>
      <c r="R130" s="264"/>
      <c r="S130" s="264"/>
      <c r="T130" s="264"/>
      <c r="U130" s="264"/>
    </row>
    <row r="131" spans="1:21" s="259" customFormat="1" ht="46.5" customHeight="1" x14ac:dyDescent="0.25">
      <c r="A131" s="455" t="e">
        <f>#REF!+1</f>
        <v>#REF!</v>
      </c>
      <c r="B131" s="455" t="s">
        <v>1075</v>
      </c>
      <c r="C131" s="457" t="s">
        <v>1110</v>
      </c>
      <c r="D131" s="454" t="s">
        <v>0</v>
      </c>
      <c r="E131" s="454">
        <v>0</v>
      </c>
      <c r="F131" s="454">
        <v>0</v>
      </c>
      <c r="G131" s="454">
        <f t="shared" si="4"/>
        <v>0</v>
      </c>
      <c r="H131" s="454">
        <v>4</v>
      </c>
      <c r="I131" s="455"/>
      <c r="J131" s="457" t="s">
        <v>1152</v>
      </c>
      <c r="K131" s="472"/>
      <c r="L131" s="455" t="s">
        <v>197</v>
      </c>
      <c r="Q131" s="264"/>
      <c r="R131" s="264"/>
      <c r="S131" s="264"/>
      <c r="T131" s="264"/>
      <c r="U131" s="264"/>
    </row>
    <row r="132" spans="1:21" s="259" customFormat="1" ht="52.5" customHeight="1" x14ac:dyDescent="0.25">
      <c r="A132" s="455" t="e">
        <f t="shared" si="5"/>
        <v>#REF!</v>
      </c>
      <c r="B132" s="455" t="s">
        <v>1076</v>
      </c>
      <c r="C132" s="457" t="s">
        <v>1111</v>
      </c>
      <c r="D132" s="454" t="s">
        <v>0</v>
      </c>
      <c r="E132" s="454">
        <v>0</v>
      </c>
      <c r="F132" s="454">
        <v>0</v>
      </c>
      <c r="G132" s="454">
        <f t="shared" si="4"/>
        <v>0</v>
      </c>
      <c r="H132" s="454">
        <v>1</v>
      </c>
      <c r="I132" s="455"/>
      <c r="J132" s="457" t="s">
        <v>1152</v>
      </c>
      <c r="K132" s="472"/>
      <c r="L132" s="455" t="s">
        <v>197</v>
      </c>
      <c r="Q132" s="264"/>
      <c r="R132" s="264"/>
      <c r="S132" s="264"/>
      <c r="T132" s="264"/>
      <c r="U132" s="264"/>
    </row>
    <row r="133" spans="1:21" s="259" customFormat="1" ht="57.75" customHeight="1" x14ac:dyDescent="0.25">
      <c r="A133" s="455" t="e">
        <f t="shared" si="5"/>
        <v>#REF!</v>
      </c>
      <c r="B133" s="455" t="s">
        <v>1077</v>
      </c>
      <c r="C133" s="457" t="s">
        <v>1112</v>
      </c>
      <c r="D133" s="454" t="s">
        <v>0</v>
      </c>
      <c r="E133" s="454">
        <v>0</v>
      </c>
      <c r="F133" s="454">
        <v>0</v>
      </c>
      <c r="G133" s="454">
        <f t="shared" si="4"/>
        <v>0</v>
      </c>
      <c r="H133" s="454">
        <v>4</v>
      </c>
      <c r="I133" s="455"/>
      <c r="J133" s="457" t="s">
        <v>1153</v>
      </c>
      <c r="K133" s="472"/>
      <c r="L133" s="455" t="s">
        <v>197</v>
      </c>
      <c r="Q133" s="264"/>
      <c r="R133" s="264"/>
      <c r="S133" s="264"/>
      <c r="T133" s="264"/>
      <c r="U133" s="264"/>
    </row>
    <row r="134" spans="1:21" s="259" customFormat="1" ht="69" customHeight="1" x14ac:dyDescent="0.25">
      <c r="A134" s="455">
        <v>55</v>
      </c>
      <c r="B134" s="455" t="s">
        <v>708</v>
      </c>
      <c r="C134" s="457" t="s">
        <v>1350</v>
      </c>
      <c r="D134" s="454" t="s">
        <v>0</v>
      </c>
      <c r="E134" s="454">
        <v>0</v>
      </c>
      <c r="F134" s="454">
        <v>0</v>
      </c>
      <c r="G134" s="454">
        <f t="shared" si="4"/>
        <v>0</v>
      </c>
      <c r="H134" s="454">
        <v>1</v>
      </c>
      <c r="I134" s="455"/>
      <c r="J134" s="457" t="s">
        <v>1349</v>
      </c>
      <c r="K134" s="472"/>
      <c r="L134" s="455" t="s">
        <v>140</v>
      </c>
      <c r="Q134" s="264" t="s">
        <v>827</v>
      </c>
      <c r="R134" s="264" t="s">
        <v>840</v>
      </c>
      <c r="S134" s="264"/>
      <c r="T134" s="264"/>
      <c r="U134" s="264"/>
    </row>
    <row r="135" spans="1:21" s="264" customFormat="1" ht="25.5" customHeight="1" x14ac:dyDescent="0.25">
      <c r="A135" s="455">
        <v>56</v>
      </c>
      <c r="B135" s="454" t="s">
        <v>719</v>
      </c>
      <c r="C135" s="457" t="s">
        <v>720</v>
      </c>
      <c r="D135" s="454" t="s">
        <v>0</v>
      </c>
      <c r="E135" s="454">
        <f>VLOOKUP(B135,'[1]Tháng 7.2025'!$B$23:$H$153,4,0)</f>
        <v>10</v>
      </c>
      <c r="F135" s="454">
        <f>VLOOKUP(B135,'[1]Tháng 7.2025'!$B$23:$H$153,5,0)</f>
        <v>2</v>
      </c>
      <c r="G135" s="454">
        <f t="shared" si="4"/>
        <v>8</v>
      </c>
      <c r="H135" s="454">
        <f>VLOOKUP(B135,'[1]Tháng 7.2025'!$B$23:$H$153,7,0)</f>
        <v>10</v>
      </c>
      <c r="I135" s="454"/>
      <c r="J135" s="457" t="s">
        <v>710</v>
      </c>
      <c r="K135" s="471"/>
      <c r="L135" s="456" t="s">
        <v>140</v>
      </c>
      <c r="R135" s="264" t="s">
        <v>840</v>
      </c>
    </row>
    <row r="136" spans="1:21" s="259" customFormat="1" ht="44.25" customHeight="1" x14ac:dyDescent="0.25">
      <c r="A136" s="455">
        <f>A129+1</f>
        <v>55</v>
      </c>
      <c r="B136" s="455" t="s">
        <v>1084</v>
      </c>
      <c r="C136" s="457" t="s">
        <v>1120</v>
      </c>
      <c r="D136" s="454" t="s">
        <v>0</v>
      </c>
      <c r="E136" s="454">
        <v>0</v>
      </c>
      <c r="F136" s="454">
        <v>0</v>
      </c>
      <c r="G136" s="454">
        <f t="shared" si="4"/>
        <v>0</v>
      </c>
      <c r="H136" s="454">
        <v>1</v>
      </c>
      <c r="I136" s="455"/>
      <c r="J136" s="457" t="s">
        <v>1152</v>
      </c>
      <c r="K136" s="472"/>
      <c r="L136" s="455" t="s">
        <v>197</v>
      </c>
      <c r="Q136" s="264"/>
      <c r="R136" s="264"/>
      <c r="S136" s="264"/>
      <c r="T136" s="264"/>
      <c r="U136" s="264"/>
    </row>
    <row r="137" spans="1:21" s="259" customFormat="1" ht="44.25" customHeight="1" x14ac:dyDescent="0.25">
      <c r="A137" s="455" t="e">
        <f>#REF!+1</f>
        <v>#REF!</v>
      </c>
      <c r="B137" s="455" t="s">
        <v>1086</v>
      </c>
      <c r="C137" s="457" t="s">
        <v>1122</v>
      </c>
      <c r="D137" s="454" t="s">
        <v>0</v>
      </c>
      <c r="E137" s="454">
        <v>0</v>
      </c>
      <c r="F137" s="454">
        <v>0</v>
      </c>
      <c r="G137" s="454">
        <f t="shared" si="4"/>
        <v>0</v>
      </c>
      <c r="H137" s="454">
        <v>4</v>
      </c>
      <c r="I137" s="455"/>
      <c r="J137" s="457" t="s">
        <v>1152</v>
      </c>
      <c r="K137" s="472"/>
      <c r="L137" s="455" t="s">
        <v>197</v>
      </c>
      <c r="Q137" s="264"/>
      <c r="R137" s="264"/>
      <c r="S137" s="264"/>
      <c r="T137" s="264"/>
      <c r="U137" s="264"/>
    </row>
    <row r="138" spans="1:21" s="259" customFormat="1" ht="44.25" customHeight="1" x14ac:dyDescent="0.25">
      <c r="A138" s="455">
        <f>A68+1</f>
        <v>34</v>
      </c>
      <c r="B138" s="455" t="s">
        <v>1089</v>
      </c>
      <c r="C138" s="457" t="s">
        <v>1126</v>
      </c>
      <c r="D138" s="454" t="s">
        <v>0</v>
      </c>
      <c r="E138" s="454">
        <v>0</v>
      </c>
      <c r="F138" s="454">
        <v>0</v>
      </c>
      <c r="G138" s="454">
        <f t="shared" si="4"/>
        <v>0</v>
      </c>
      <c r="H138" s="454">
        <v>4</v>
      </c>
      <c r="I138" s="455"/>
      <c r="J138" s="457" t="s">
        <v>1164</v>
      </c>
      <c r="K138" s="472"/>
      <c r="L138" s="455" t="s">
        <v>197</v>
      </c>
      <c r="Q138" s="264"/>
      <c r="R138" s="264"/>
      <c r="S138" s="264"/>
      <c r="T138" s="264"/>
      <c r="U138" s="264"/>
    </row>
    <row r="139" spans="1:21" s="259" customFormat="1" ht="57.75" customHeight="1" x14ac:dyDescent="0.25">
      <c r="A139" s="455">
        <f t="shared" ref="A139:A142" si="6">A138+1</f>
        <v>35</v>
      </c>
      <c r="B139" s="455" t="s">
        <v>357</v>
      </c>
      <c r="C139" s="457" t="s">
        <v>358</v>
      </c>
      <c r="D139" s="454" t="s">
        <v>0</v>
      </c>
      <c r="E139" s="454">
        <v>2</v>
      </c>
      <c r="F139" s="454">
        <v>0</v>
      </c>
      <c r="G139" s="454">
        <f t="shared" si="4"/>
        <v>2</v>
      </c>
      <c r="H139" s="454">
        <v>4</v>
      </c>
      <c r="I139" s="455"/>
      <c r="J139" s="457" t="s">
        <v>1165</v>
      </c>
      <c r="K139" s="472"/>
      <c r="L139" s="455" t="s">
        <v>197</v>
      </c>
      <c r="Q139" s="264"/>
      <c r="R139" s="264"/>
      <c r="S139" s="264"/>
      <c r="T139" s="264"/>
      <c r="U139" s="264"/>
    </row>
    <row r="140" spans="1:21" s="259" customFormat="1" ht="63" customHeight="1" x14ac:dyDescent="0.25">
      <c r="A140" s="455">
        <f>A107+1</f>
        <v>45</v>
      </c>
      <c r="B140" s="455" t="s">
        <v>363</v>
      </c>
      <c r="C140" s="457" t="s">
        <v>364</v>
      </c>
      <c r="D140" s="454" t="s">
        <v>0</v>
      </c>
      <c r="E140" s="454">
        <v>0</v>
      </c>
      <c r="F140" s="454">
        <v>0</v>
      </c>
      <c r="G140" s="454">
        <f t="shared" si="4"/>
        <v>0</v>
      </c>
      <c r="H140" s="454">
        <v>26</v>
      </c>
      <c r="I140" s="455"/>
      <c r="J140" s="457" t="s">
        <v>1167</v>
      </c>
      <c r="K140" s="472"/>
      <c r="L140" s="455" t="s">
        <v>197</v>
      </c>
      <c r="Q140" s="264"/>
      <c r="R140" s="264"/>
      <c r="S140" s="264"/>
      <c r="T140" s="264"/>
      <c r="U140" s="264"/>
    </row>
    <row r="141" spans="1:21" s="259" customFormat="1" ht="63" customHeight="1" x14ac:dyDescent="0.25">
      <c r="A141" s="455">
        <f t="shared" si="6"/>
        <v>46</v>
      </c>
      <c r="B141" s="455" t="s">
        <v>1092</v>
      </c>
      <c r="C141" s="457" t="s">
        <v>1128</v>
      </c>
      <c r="D141" s="454" t="s">
        <v>0</v>
      </c>
      <c r="E141" s="454">
        <v>0</v>
      </c>
      <c r="F141" s="454">
        <v>0</v>
      </c>
      <c r="G141" s="454">
        <f t="shared" si="4"/>
        <v>0</v>
      </c>
      <c r="H141" s="454">
        <v>2</v>
      </c>
      <c r="I141" s="455"/>
      <c r="J141" s="457" t="s">
        <v>1152</v>
      </c>
      <c r="K141" s="472"/>
      <c r="L141" s="455" t="s">
        <v>197</v>
      </c>
      <c r="Q141" s="264"/>
      <c r="R141" s="264"/>
      <c r="S141" s="264"/>
      <c r="T141" s="264"/>
      <c r="U141" s="264"/>
    </row>
    <row r="142" spans="1:21" s="259" customFormat="1" ht="63" customHeight="1" x14ac:dyDescent="0.25">
      <c r="A142" s="455">
        <f t="shared" si="6"/>
        <v>47</v>
      </c>
      <c r="B142" s="455" t="s">
        <v>1093</v>
      </c>
      <c r="C142" s="457" t="s">
        <v>1129</v>
      </c>
      <c r="D142" s="454" t="s">
        <v>0</v>
      </c>
      <c r="E142" s="454">
        <v>0</v>
      </c>
      <c r="F142" s="454">
        <v>0</v>
      </c>
      <c r="G142" s="454">
        <f t="shared" si="4"/>
        <v>0</v>
      </c>
      <c r="H142" s="454">
        <v>1</v>
      </c>
      <c r="I142" s="455"/>
      <c r="J142" s="457" t="s">
        <v>1152</v>
      </c>
      <c r="K142" s="472"/>
      <c r="L142" s="455" t="s">
        <v>197</v>
      </c>
      <c r="Q142" s="264"/>
      <c r="R142" s="264"/>
      <c r="S142" s="264"/>
      <c r="T142" s="264"/>
      <c r="U142" s="264"/>
    </row>
    <row r="143" spans="1:21" s="264" customFormat="1" ht="45" customHeight="1" x14ac:dyDescent="0.25">
      <c r="A143" s="455" t="e">
        <f>#REF!+1</f>
        <v>#REF!</v>
      </c>
      <c r="B143" s="454" t="s">
        <v>715</v>
      </c>
      <c r="C143" s="457" t="s">
        <v>714</v>
      </c>
      <c r="D143" s="454" t="s">
        <v>0</v>
      </c>
      <c r="E143" s="454">
        <v>0</v>
      </c>
      <c r="F143" s="454">
        <v>0</v>
      </c>
      <c r="G143" s="454">
        <f t="shared" si="4"/>
        <v>0</v>
      </c>
      <c r="H143" s="454">
        <f>VLOOKUP(B143,'[1]Tháng 7.2025'!$B$23:$H$153,7,0)</f>
        <v>4</v>
      </c>
      <c r="I143" s="454"/>
      <c r="J143" s="457" t="s">
        <v>710</v>
      </c>
      <c r="K143" s="471"/>
      <c r="L143" s="456" t="s">
        <v>140</v>
      </c>
    </row>
    <row r="144" spans="1:21" s="258" customFormat="1" ht="51.75" customHeight="1" x14ac:dyDescent="0.25">
      <c r="A144" s="455">
        <v>57</v>
      </c>
      <c r="B144" s="454" t="s">
        <v>615</v>
      </c>
      <c r="C144" s="457" t="s">
        <v>616</v>
      </c>
      <c r="D144" s="455" t="s">
        <v>0</v>
      </c>
      <c r="E144" s="454">
        <v>1000</v>
      </c>
      <c r="F144" s="454">
        <v>80</v>
      </c>
      <c r="G144" s="454">
        <f>E144-F144</f>
        <v>920</v>
      </c>
      <c r="H144" s="454">
        <v>72</v>
      </c>
      <c r="I144" s="460"/>
      <c r="J144" s="457" t="s">
        <v>617</v>
      </c>
      <c r="K144" s="472">
        <v>1815</v>
      </c>
      <c r="L144" s="455" t="s">
        <v>76</v>
      </c>
      <c r="M144" s="258" t="s">
        <v>895</v>
      </c>
      <c r="N144" s="258" t="s">
        <v>896</v>
      </c>
      <c r="O144" s="258" t="s">
        <v>812</v>
      </c>
      <c r="P144" s="258" t="s">
        <v>813</v>
      </c>
      <c r="Q144" s="257" t="s">
        <v>827</v>
      </c>
      <c r="R144" s="257" t="s">
        <v>840</v>
      </c>
      <c r="S144" s="257" t="s">
        <v>897</v>
      </c>
      <c r="T144" s="257"/>
      <c r="U144" s="257"/>
    </row>
    <row r="145" spans="1:21" s="258" customFormat="1" ht="51.75" customHeight="1" x14ac:dyDescent="0.25">
      <c r="A145" s="455">
        <f>A144+1</f>
        <v>58</v>
      </c>
      <c r="B145" s="454" t="s">
        <v>618</v>
      </c>
      <c r="C145" s="457" t="s">
        <v>619</v>
      </c>
      <c r="D145" s="455" t="s">
        <v>0</v>
      </c>
      <c r="E145" s="454">
        <v>175</v>
      </c>
      <c r="F145" s="454">
        <v>32</v>
      </c>
      <c r="G145" s="454">
        <f>E145-F145</f>
        <v>143</v>
      </c>
      <c r="H145" s="454">
        <v>20</v>
      </c>
      <c r="I145" s="460"/>
      <c r="J145" s="457" t="s">
        <v>620</v>
      </c>
      <c r="K145" s="472"/>
      <c r="L145" s="455" t="s">
        <v>76</v>
      </c>
      <c r="M145" s="258" t="s">
        <v>895</v>
      </c>
      <c r="N145" s="258" t="s">
        <v>896</v>
      </c>
      <c r="O145" s="258" t="s">
        <v>812</v>
      </c>
      <c r="P145" s="258" t="s">
        <v>813</v>
      </c>
      <c r="Q145" s="257" t="s">
        <v>827</v>
      </c>
      <c r="R145" s="257" t="s">
        <v>840</v>
      </c>
      <c r="S145" s="257" t="s">
        <v>897</v>
      </c>
      <c r="T145" s="257"/>
      <c r="U145" s="257"/>
    </row>
    <row r="146" spans="1:21" s="260" customFormat="1" ht="34.5" customHeight="1" x14ac:dyDescent="0.25">
      <c r="A146" s="459" t="s">
        <v>20</v>
      </c>
      <c r="B146" s="455"/>
      <c r="C146" s="456"/>
      <c r="D146" s="455"/>
      <c r="E146" s="454"/>
      <c r="F146" s="454"/>
      <c r="G146" s="454"/>
      <c r="H146" s="454"/>
      <c r="I146" s="455"/>
      <c r="J146" s="455"/>
      <c r="K146" s="470"/>
      <c r="L146" s="469"/>
      <c r="Q146" s="285"/>
      <c r="R146" s="285"/>
      <c r="S146" s="285"/>
      <c r="T146" s="285"/>
      <c r="U146" s="285"/>
    </row>
    <row r="147" spans="1:21" s="257" customFormat="1" ht="60.75" customHeight="1" x14ac:dyDescent="0.25">
      <c r="A147" s="455">
        <v>59</v>
      </c>
      <c r="B147" s="455" t="s">
        <v>49</v>
      </c>
      <c r="C147" s="457" t="s">
        <v>50</v>
      </c>
      <c r="D147" s="455" t="s">
        <v>51</v>
      </c>
      <c r="E147" s="454">
        <v>0</v>
      </c>
      <c r="F147" s="454">
        <v>0</v>
      </c>
      <c r="G147" s="454">
        <f t="shared" ref="G147" si="7">E147-F147</f>
        <v>0</v>
      </c>
      <c r="H147" s="454">
        <v>30</v>
      </c>
      <c r="I147" s="455"/>
      <c r="J147" s="457" t="s">
        <v>876</v>
      </c>
      <c r="K147" s="472">
        <v>0</v>
      </c>
      <c r="L147" s="457" t="s">
        <v>140</v>
      </c>
      <c r="M147" s="386"/>
      <c r="N147" s="386" t="s">
        <v>896</v>
      </c>
      <c r="O147" s="386"/>
      <c r="Q147" s="386" t="s">
        <v>827</v>
      </c>
      <c r="R147" s="386" t="s">
        <v>840</v>
      </c>
      <c r="S147" s="386"/>
    </row>
    <row r="148" spans="1:21" s="257" customFormat="1" ht="43.5" customHeight="1" x14ac:dyDescent="0.25">
      <c r="A148" s="455">
        <v>60</v>
      </c>
      <c r="B148" s="455" t="s">
        <v>166</v>
      </c>
      <c r="C148" s="457" t="s">
        <v>167</v>
      </c>
      <c r="D148" s="455" t="s">
        <v>51</v>
      </c>
      <c r="E148" s="454">
        <v>0</v>
      </c>
      <c r="F148" s="454">
        <v>81</v>
      </c>
      <c r="G148" s="454">
        <v>0</v>
      </c>
      <c r="H148" s="454">
        <v>30</v>
      </c>
      <c r="I148" s="455"/>
      <c r="J148" s="457" t="s">
        <v>168</v>
      </c>
      <c r="K148" s="472">
        <v>4</v>
      </c>
      <c r="L148" s="456" t="s">
        <v>140</v>
      </c>
      <c r="N148" s="257" t="s">
        <v>896</v>
      </c>
      <c r="Q148" s="257" t="s">
        <v>827</v>
      </c>
      <c r="R148" s="257" t="s">
        <v>840</v>
      </c>
    </row>
    <row r="149" spans="1:21" s="258" customFormat="1" ht="30.75" customHeight="1" x14ac:dyDescent="0.25">
      <c r="A149" s="455">
        <f t="shared" ref="A149:A177" si="8">A148+1</f>
        <v>61</v>
      </c>
      <c r="B149" s="455" t="s">
        <v>174</v>
      </c>
      <c r="C149" s="456" t="s">
        <v>102</v>
      </c>
      <c r="D149" s="455" t="s">
        <v>66</v>
      </c>
      <c r="E149" s="454">
        <v>1800000</v>
      </c>
      <c r="F149" s="454">
        <v>47500</v>
      </c>
      <c r="G149" s="454">
        <v>0</v>
      </c>
      <c r="H149" s="454">
        <f>VLOOKUP(B149,'[1]Tháng 7.2025'!$B$23:$H$153,7,0)</f>
        <v>150000</v>
      </c>
      <c r="I149" s="455"/>
      <c r="J149" s="457" t="s">
        <v>103</v>
      </c>
      <c r="K149" s="471">
        <v>239581</v>
      </c>
      <c r="L149" s="455" t="s">
        <v>88</v>
      </c>
      <c r="M149" s="258" t="s">
        <v>895</v>
      </c>
      <c r="N149" s="258" t="s">
        <v>896</v>
      </c>
      <c r="Q149" s="257" t="s">
        <v>827</v>
      </c>
      <c r="R149" s="257" t="s">
        <v>840</v>
      </c>
      <c r="S149" s="257"/>
      <c r="T149" s="257"/>
      <c r="U149" s="257"/>
    </row>
    <row r="150" spans="1:21" s="258" customFormat="1" ht="30.75" customHeight="1" x14ac:dyDescent="0.25">
      <c r="A150" s="455">
        <f t="shared" si="8"/>
        <v>62</v>
      </c>
      <c r="B150" s="455" t="s">
        <v>880</v>
      </c>
      <c r="C150" s="456" t="s">
        <v>881</v>
      </c>
      <c r="D150" s="455" t="s">
        <v>66</v>
      </c>
      <c r="E150" s="454">
        <v>1800000</v>
      </c>
      <c r="F150" s="454">
        <v>0</v>
      </c>
      <c r="G150" s="454">
        <v>0</v>
      </c>
      <c r="H150" s="454">
        <v>30500</v>
      </c>
      <c r="I150" s="455"/>
      <c r="J150" s="457" t="s">
        <v>862</v>
      </c>
      <c r="K150" s="471"/>
      <c r="L150" s="455" t="s">
        <v>88</v>
      </c>
      <c r="M150" s="258" t="s">
        <v>895</v>
      </c>
      <c r="N150" s="258" t="s">
        <v>896</v>
      </c>
      <c r="Q150" s="257" t="s">
        <v>827</v>
      </c>
      <c r="R150" s="257" t="s">
        <v>840</v>
      </c>
      <c r="S150" s="257"/>
      <c r="T150" s="257"/>
      <c r="U150" s="257"/>
    </row>
    <row r="151" spans="1:21" s="258" customFormat="1" ht="30.75" customHeight="1" x14ac:dyDescent="0.25">
      <c r="A151" s="455">
        <f t="shared" si="8"/>
        <v>63</v>
      </c>
      <c r="B151" s="455" t="s">
        <v>147</v>
      </c>
      <c r="C151" s="457" t="s">
        <v>148</v>
      </c>
      <c r="D151" s="455" t="s">
        <v>66</v>
      </c>
      <c r="E151" s="454">
        <v>0</v>
      </c>
      <c r="F151" s="454">
        <v>0</v>
      </c>
      <c r="G151" s="454">
        <v>0</v>
      </c>
      <c r="H151" s="454">
        <f>VLOOKUP(B151,'[1]Tháng 7.2025'!$B$23:$H$153,7,0)</f>
        <v>100</v>
      </c>
      <c r="I151" s="454"/>
      <c r="J151" s="461" t="s">
        <v>374</v>
      </c>
      <c r="K151" s="472">
        <v>5379</v>
      </c>
      <c r="L151" s="455" t="s">
        <v>385</v>
      </c>
      <c r="N151" s="258" t="s">
        <v>896</v>
      </c>
      <c r="Q151" s="257" t="s">
        <v>827</v>
      </c>
      <c r="R151" s="257" t="s">
        <v>840</v>
      </c>
      <c r="S151" s="257"/>
      <c r="T151" s="257"/>
      <c r="U151" s="257"/>
    </row>
    <row r="152" spans="1:21" s="258" customFormat="1" ht="30.75" customHeight="1" x14ac:dyDescent="0.25">
      <c r="A152" s="455">
        <f t="shared" si="8"/>
        <v>64</v>
      </c>
      <c r="B152" s="455" t="s">
        <v>149</v>
      </c>
      <c r="C152" s="457" t="s">
        <v>150</v>
      </c>
      <c r="D152" s="455" t="s">
        <v>0</v>
      </c>
      <c r="E152" s="454">
        <v>0</v>
      </c>
      <c r="F152" s="454">
        <v>0</v>
      </c>
      <c r="G152" s="454">
        <v>0</v>
      </c>
      <c r="H152" s="454">
        <v>5000</v>
      </c>
      <c r="I152" s="454"/>
      <c r="J152" s="461" t="s">
        <v>151</v>
      </c>
      <c r="K152" s="472">
        <v>15000</v>
      </c>
      <c r="L152" s="455" t="s">
        <v>385</v>
      </c>
      <c r="M152" s="258" t="s">
        <v>895</v>
      </c>
      <c r="N152" s="258" t="s">
        <v>896</v>
      </c>
      <c r="Q152" s="257" t="s">
        <v>827</v>
      </c>
      <c r="R152" s="257" t="s">
        <v>840</v>
      </c>
      <c r="S152" s="257"/>
      <c r="T152" s="257"/>
      <c r="U152" s="257"/>
    </row>
    <row r="153" spans="1:21" s="259" customFormat="1" ht="30.75" customHeight="1" x14ac:dyDescent="0.25">
      <c r="A153" s="455">
        <f t="shared" si="8"/>
        <v>65</v>
      </c>
      <c r="B153" s="454" t="s">
        <v>883</v>
      </c>
      <c r="C153" s="457" t="s">
        <v>884</v>
      </c>
      <c r="D153" s="455" t="s">
        <v>0</v>
      </c>
      <c r="E153" s="454">
        <v>0</v>
      </c>
      <c r="F153" s="454">
        <v>0</v>
      </c>
      <c r="G153" s="454">
        <v>0</v>
      </c>
      <c r="H153" s="454">
        <v>150</v>
      </c>
      <c r="I153" s="454"/>
      <c r="J153" s="461" t="s">
        <v>906</v>
      </c>
      <c r="K153" s="472"/>
      <c r="L153" s="455" t="s">
        <v>385</v>
      </c>
      <c r="M153" s="259" t="s">
        <v>895</v>
      </c>
      <c r="N153" s="259" t="s">
        <v>896</v>
      </c>
      <c r="Q153" s="264"/>
      <c r="R153" s="264"/>
      <c r="S153" s="264"/>
      <c r="T153" s="264"/>
      <c r="U153" s="264"/>
    </row>
    <row r="154" spans="1:21" s="259" customFormat="1" ht="30.75" customHeight="1" x14ac:dyDescent="0.25">
      <c r="A154" s="455">
        <f t="shared" si="8"/>
        <v>66</v>
      </c>
      <c r="B154" s="454" t="s">
        <v>885</v>
      </c>
      <c r="C154" s="457" t="s">
        <v>886</v>
      </c>
      <c r="D154" s="454" t="s">
        <v>0</v>
      </c>
      <c r="E154" s="454">
        <v>0</v>
      </c>
      <c r="F154" s="454">
        <v>0</v>
      </c>
      <c r="G154" s="454">
        <v>0</v>
      </c>
      <c r="H154" s="454">
        <v>100</v>
      </c>
      <c r="I154" s="454"/>
      <c r="J154" s="461" t="s">
        <v>906</v>
      </c>
      <c r="K154" s="472"/>
      <c r="L154" s="455" t="s">
        <v>385</v>
      </c>
      <c r="M154" s="259" t="s">
        <v>895</v>
      </c>
      <c r="N154" s="259" t="s">
        <v>896</v>
      </c>
      <c r="Q154" s="264"/>
      <c r="R154" s="264"/>
      <c r="S154" s="264"/>
      <c r="T154" s="264"/>
      <c r="U154" s="264"/>
    </row>
    <row r="155" spans="1:21" s="259" customFormat="1" ht="30.75" customHeight="1" x14ac:dyDescent="0.25">
      <c r="A155" s="455">
        <f t="shared" si="8"/>
        <v>67</v>
      </c>
      <c r="B155" s="454" t="s">
        <v>887</v>
      </c>
      <c r="C155" s="457" t="s">
        <v>888</v>
      </c>
      <c r="D155" s="454" t="s">
        <v>66</v>
      </c>
      <c r="E155" s="454">
        <v>0</v>
      </c>
      <c r="F155" s="454">
        <v>0</v>
      </c>
      <c r="G155" s="454">
        <v>0</v>
      </c>
      <c r="H155" s="454">
        <v>10</v>
      </c>
      <c r="I155" s="454"/>
      <c r="J155" s="461" t="s">
        <v>906</v>
      </c>
      <c r="K155" s="472"/>
      <c r="L155" s="455" t="s">
        <v>385</v>
      </c>
      <c r="M155" s="259" t="s">
        <v>895</v>
      </c>
      <c r="N155" s="259" t="s">
        <v>896</v>
      </c>
      <c r="Q155" s="264"/>
      <c r="R155" s="264"/>
      <c r="S155" s="264"/>
      <c r="T155" s="264"/>
      <c r="U155" s="264"/>
    </row>
    <row r="156" spans="1:21" s="259" customFormat="1" ht="30.75" customHeight="1" x14ac:dyDescent="0.25">
      <c r="A156" s="455">
        <f t="shared" si="8"/>
        <v>68</v>
      </c>
      <c r="B156" s="454" t="s">
        <v>552</v>
      </c>
      <c r="C156" s="457" t="s">
        <v>553</v>
      </c>
      <c r="D156" s="454" t="s">
        <v>0</v>
      </c>
      <c r="E156" s="454">
        <v>0</v>
      </c>
      <c r="F156" s="454">
        <v>0</v>
      </c>
      <c r="G156" s="454">
        <v>0</v>
      </c>
      <c r="H156" s="454">
        <v>10</v>
      </c>
      <c r="I156" s="454"/>
      <c r="J156" s="461" t="s">
        <v>906</v>
      </c>
      <c r="K156" s="472"/>
      <c r="L156" s="455" t="s">
        <v>385</v>
      </c>
      <c r="M156" s="259" t="s">
        <v>895</v>
      </c>
      <c r="N156" s="259" t="s">
        <v>896</v>
      </c>
      <c r="Q156" s="264"/>
      <c r="R156" s="264"/>
      <c r="S156" s="264"/>
      <c r="T156" s="264"/>
      <c r="U156" s="264"/>
    </row>
    <row r="157" spans="1:21" s="259" customFormat="1" ht="30.75" customHeight="1" x14ac:dyDescent="0.25">
      <c r="A157" s="455">
        <f t="shared" si="8"/>
        <v>69</v>
      </c>
      <c r="B157" s="454" t="s">
        <v>889</v>
      </c>
      <c r="C157" s="457" t="s">
        <v>890</v>
      </c>
      <c r="D157" s="454" t="s">
        <v>390</v>
      </c>
      <c r="E157" s="454">
        <v>0</v>
      </c>
      <c r="F157" s="454">
        <v>0</v>
      </c>
      <c r="G157" s="454">
        <v>0</v>
      </c>
      <c r="H157" s="454">
        <v>100</v>
      </c>
      <c r="I157" s="454"/>
      <c r="J157" s="461" t="s">
        <v>906</v>
      </c>
      <c r="K157" s="472"/>
      <c r="L157" s="455" t="s">
        <v>385</v>
      </c>
      <c r="M157" s="259" t="s">
        <v>895</v>
      </c>
      <c r="N157" s="259" t="s">
        <v>896</v>
      </c>
      <c r="Q157" s="264"/>
      <c r="R157" s="264"/>
      <c r="S157" s="264"/>
      <c r="T157" s="264"/>
      <c r="U157" s="264"/>
    </row>
    <row r="158" spans="1:21" s="259" customFormat="1" ht="30.75" customHeight="1" x14ac:dyDescent="0.25">
      <c r="A158" s="455">
        <f t="shared" si="8"/>
        <v>70</v>
      </c>
      <c r="B158" s="454" t="s">
        <v>891</v>
      </c>
      <c r="C158" s="457" t="s">
        <v>892</v>
      </c>
      <c r="D158" s="454" t="s">
        <v>390</v>
      </c>
      <c r="E158" s="454">
        <v>0</v>
      </c>
      <c r="F158" s="454">
        <v>0</v>
      </c>
      <c r="G158" s="454">
        <v>0</v>
      </c>
      <c r="H158" s="454">
        <v>100</v>
      </c>
      <c r="I158" s="454"/>
      <c r="J158" s="461" t="s">
        <v>906</v>
      </c>
      <c r="K158" s="472"/>
      <c r="L158" s="455" t="s">
        <v>385</v>
      </c>
      <c r="M158" s="259" t="s">
        <v>895</v>
      </c>
      <c r="N158" s="259" t="s">
        <v>896</v>
      </c>
      <c r="Q158" s="264"/>
      <c r="R158" s="264"/>
      <c r="S158" s="264"/>
      <c r="T158" s="264"/>
      <c r="U158" s="264"/>
    </row>
    <row r="159" spans="1:21" s="259" customFormat="1" ht="25.5" x14ac:dyDescent="0.25">
      <c r="A159" s="455">
        <f t="shared" si="8"/>
        <v>71</v>
      </c>
      <c r="B159" s="455" t="s">
        <v>975</v>
      </c>
      <c r="C159" s="457" t="s">
        <v>1007</v>
      </c>
      <c r="D159" s="454" t="s">
        <v>0</v>
      </c>
      <c r="E159" s="454">
        <v>0</v>
      </c>
      <c r="F159" s="454">
        <v>0</v>
      </c>
      <c r="G159" s="454">
        <v>0</v>
      </c>
      <c r="H159" s="454">
        <v>200</v>
      </c>
      <c r="I159" s="455"/>
      <c r="J159" s="457" t="s">
        <v>1169</v>
      </c>
      <c r="K159" s="472"/>
      <c r="L159" s="455" t="s">
        <v>197</v>
      </c>
      <c r="Q159" s="264"/>
      <c r="R159" s="264"/>
      <c r="S159" s="264"/>
      <c r="T159" s="264"/>
      <c r="U159" s="264"/>
    </row>
    <row r="160" spans="1:21" s="259" customFormat="1" ht="15.75" x14ac:dyDescent="0.25">
      <c r="A160" s="455">
        <f t="shared" si="8"/>
        <v>72</v>
      </c>
      <c r="B160" s="455" t="s">
        <v>1095</v>
      </c>
      <c r="C160" s="457" t="s">
        <v>1131</v>
      </c>
      <c r="D160" s="454" t="s">
        <v>0</v>
      </c>
      <c r="E160" s="454">
        <v>0</v>
      </c>
      <c r="F160" s="454">
        <v>0</v>
      </c>
      <c r="G160" s="454">
        <v>0</v>
      </c>
      <c r="H160" s="454">
        <v>32</v>
      </c>
      <c r="I160" s="455"/>
      <c r="J160" s="457" t="s">
        <v>1169</v>
      </c>
      <c r="K160" s="472"/>
      <c r="L160" s="455" t="s">
        <v>197</v>
      </c>
      <c r="Q160" s="264"/>
      <c r="R160" s="264"/>
      <c r="S160" s="264"/>
      <c r="T160" s="264"/>
      <c r="U160" s="264"/>
    </row>
    <row r="161" spans="1:21" s="259" customFormat="1" ht="15.75" x14ac:dyDescent="0.25">
      <c r="A161" s="455">
        <f t="shared" si="8"/>
        <v>73</v>
      </c>
      <c r="B161" s="455" t="s">
        <v>1096</v>
      </c>
      <c r="C161" s="457" t="s">
        <v>1132</v>
      </c>
      <c r="D161" s="454" t="s">
        <v>0</v>
      </c>
      <c r="E161" s="454">
        <v>0</v>
      </c>
      <c r="F161" s="454">
        <v>0</v>
      </c>
      <c r="G161" s="454">
        <v>0</v>
      </c>
      <c r="H161" s="454">
        <v>32</v>
      </c>
      <c r="I161" s="455"/>
      <c r="J161" s="457" t="s">
        <v>1169</v>
      </c>
      <c r="K161" s="472"/>
      <c r="L161" s="455" t="s">
        <v>197</v>
      </c>
      <c r="Q161" s="264"/>
      <c r="R161" s="264"/>
      <c r="S161" s="264"/>
      <c r="T161" s="264"/>
      <c r="U161" s="264"/>
    </row>
    <row r="162" spans="1:21" s="259" customFormat="1" ht="25.5" x14ac:dyDescent="0.25">
      <c r="A162" s="455">
        <f t="shared" si="8"/>
        <v>74</v>
      </c>
      <c r="B162" s="455" t="s">
        <v>1097</v>
      </c>
      <c r="C162" s="457" t="s">
        <v>1133</v>
      </c>
      <c r="D162" s="454" t="s">
        <v>0</v>
      </c>
      <c r="E162" s="454">
        <v>0</v>
      </c>
      <c r="F162" s="454">
        <v>0</v>
      </c>
      <c r="G162" s="454">
        <v>0</v>
      </c>
      <c r="H162" s="454">
        <v>80</v>
      </c>
      <c r="I162" s="455"/>
      <c r="J162" s="457" t="s">
        <v>1169</v>
      </c>
      <c r="K162" s="472"/>
      <c r="L162" s="455" t="s">
        <v>197</v>
      </c>
      <c r="Q162" s="264"/>
      <c r="R162" s="264"/>
      <c r="S162" s="264"/>
      <c r="T162" s="264"/>
      <c r="U162" s="264"/>
    </row>
    <row r="163" spans="1:21" s="259" customFormat="1" ht="26.25" customHeight="1" x14ac:dyDescent="0.25">
      <c r="A163" s="455">
        <v>65</v>
      </c>
      <c r="B163" s="457" t="s">
        <v>1351</v>
      </c>
      <c r="C163" s="457" t="s">
        <v>1200</v>
      </c>
      <c r="D163" s="454" t="s">
        <v>2</v>
      </c>
      <c r="E163" s="454">
        <v>0</v>
      </c>
      <c r="F163" s="454">
        <v>0</v>
      </c>
      <c r="G163" s="454">
        <v>0</v>
      </c>
      <c r="H163" s="454">
        <v>10</v>
      </c>
      <c r="I163" s="455"/>
      <c r="J163" s="457" t="s">
        <v>1169</v>
      </c>
      <c r="K163" s="472"/>
      <c r="L163" s="455" t="s">
        <v>197</v>
      </c>
      <c r="Q163" s="264" t="s">
        <v>827</v>
      </c>
      <c r="R163" s="257" t="s">
        <v>840</v>
      </c>
      <c r="S163" s="264"/>
      <c r="T163" s="264"/>
      <c r="U163" s="264"/>
    </row>
    <row r="164" spans="1:21" s="259" customFormat="1" ht="33" customHeight="1" x14ac:dyDescent="0.25">
      <c r="A164" s="455">
        <v>66</v>
      </c>
      <c r="B164" s="457" t="s">
        <v>1352</v>
      </c>
      <c r="C164" s="457" t="s">
        <v>1353</v>
      </c>
      <c r="D164" s="454" t="s">
        <v>51</v>
      </c>
      <c r="E164" s="454">
        <v>0</v>
      </c>
      <c r="F164" s="454">
        <v>0</v>
      </c>
      <c r="G164" s="454">
        <v>0</v>
      </c>
      <c r="H164" s="454">
        <v>10</v>
      </c>
      <c r="I164" s="455"/>
      <c r="J164" s="457" t="s">
        <v>1169</v>
      </c>
      <c r="K164" s="472"/>
      <c r="L164" s="455" t="s">
        <v>197</v>
      </c>
      <c r="Q164" s="264" t="s">
        <v>827</v>
      </c>
      <c r="R164" s="257" t="s">
        <v>840</v>
      </c>
      <c r="S164" s="264"/>
      <c r="T164" s="264"/>
      <c r="U164" s="264"/>
    </row>
    <row r="165" spans="1:21" s="259" customFormat="1" ht="15.75" x14ac:dyDescent="0.25">
      <c r="A165" s="455">
        <f>A162+1</f>
        <v>75</v>
      </c>
      <c r="B165" s="455" t="s">
        <v>1098</v>
      </c>
      <c r="C165" s="457" t="s">
        <v>1134</v>
      </c>
      <c r="D165" s="454" t="s">
        <v>0</v>
      </c>
      <c r="E165" s="454">
        <v>0</v>
      </c>
      <c r="F165" s="454">
        <v>0</v>
      </c>
      <c r="G165" s="454">
        <v>0</v>
      </c>
      <c r="H165" s="454">
        <v>30</v>
      </c>
      <c r="I165" s="455"/>
      <c r="J165" s="457" t="s">
        <v>1169</v>
      </c>
      <c r="K165" s="472"/>
      <c r="L165" s="455" t="s">
        <v>197</v>
      </c>
      <c r="Q165" s="264" t="s">
        <v>827</v>
      </c>
      <c r="R165" s="257" t="s">
        <v>840</v>
      </c>
      <c r="S165" s="264"/>
      <c r="T165" s="264"/>
      <c r="U165" s="264"/>
    </row>
    <row r="166" spans="1:21" s="259" customFormat="1" ht="15.75" x14ac:dyDescent="0.25">
      <c r="A166" s="455">
        <f t="shared" si="8"/>
        <v>76</v>
      </c>
      <c r="B166" s="455" t="s">
        <v>552</v>
      </c>
      <c r="C166" s="457" t="s">
        <v>553</v>
      </c>
      <c r="D166" s="454" t="s">
        <v>0</v>
      </c>
      <c r="E166" s="454">
        <v>0</v>
      </c>
      <c r="F166" s="454">
        <v>0</v>
      </c>
      <c r="G166" s="454">
        <v>0</v>
      </c>
      <c r="H166" s="454">
        <v>36</v>
      </c>
      <c r="I166" s="455"/>
      <c r="J166" s="457" t="s">
        <v>1169</v>
      </c>
      <c r="K166" s="472"/>
      <c r="L166" s="455" t="s">
        <v>197</v>
      </c>
      <c r="Q166" s="264" t="s">
        <v>827</v>
      </c>
      <c r="R166" s="257" t="s">
        <v>840</v>
      </c>
      <c r="S166" s="264"/>
      <c r="T166" s="264"/>
      <c r="U166" s="264"/>
    </row>
    <row r="167" spans="1:21" s="259" customFormat="1" ht="15.75" x14ac:dyDescent="0.25">
      <c r="A167" s="455">
        <f t="shared" si="8"/>
        <v>77</v>
      </c>
      <c r="B167" s="455" t="s">
        <v>885</v>
      </c>
      <c r="C167" s="457" t="s">
        <v>886</v>
      </c>
      <c r="D167" s="454" t="s">
        <v>0</v>
      </c>
      <c r="E167" s="454">
        <v>0</v>
      </c>
      <c r="F167" s="454">
        <v>0</v>
      </c>
      <c r="G167" s="454">
        <v>0</v>
      </c>
      <c r="H167" s="454">
        <v>200</v>
      </c>
      <c r="I167" s="455"/>
      <c r="J167" s="457" t="s">
        <v>1169</v>
      </c>
      <c r="K167" s="472"/>
      <c r="L167" s="455" t="s">
        <v>197</v>
      </c>
      <c r="P167" s="259" t="s">
        <v>813</v>
      </c>
      <c r="Q167" s="264" t="s">
        <v>827</v>
      </c>
      <c r="R167" s="257" t="s">
        <v>840</v>
      </c>
      <c r="S167" s="264"/>
      <c r="T167" s="264"/>
      <c r="U167" s="264"/>
    </row>
    <row r="168" spans="1:21" s="259" customFormat="1" ht="30.75" customHeight="1" x14ac:dyDescent="0.25">
      <c r="A168" s="455">
        <v>67</v>
      </c>
      <c r="B168" s="455" t="s">
        <v>199</v>
      </c>
      <c r="C168" s="457" t="s">
        <v>799</v>
      </c>
      <c r="D168" s="455" t="s">
        <v>2</v>
      </c>
      <c r="E168" s="454">
        <v>0</v>
      </c>
      <c r="F168" s="454">
        <v>0</v>
      </c>
      <c r="G168" s="454">
        <v>0</v>
      </c>
      <c r="H168" s="454">
        <v>50</v>
      </c>
      <c r="I168" s="454"/>
      <c r="J168" s="457" t="s">
        <v>802</v>
      </c>
      <c r="K168" s="472"/>
      <c r="L168" s="455" t="s">
        <v>385</v>
      </c>
      <c r="M168" s="259" t="s">
        <v>895</v>
      </c>
      <c r="N168" s="462" t="s">
        <v>896</v>
      </c>
      <c r="P168" s="259" t="s">
        <v>813</v>
      </c>
      <c r="Q168" s="264" t="s">
        <v>827</v>
      </c>
      <c r="R168" s="257" t="s">
        <v>840</v>
      </c>
      <c r="S168" s="264"/>
      <c r="T168" s="264"/>
      <c r="U168" s="264"/>
    </row>
    <row r="169" spans="1:21" s="259" customFormat="1" ht="30.75" customHeight="1" x14ac:dyDescent="0.25">
      <c r="A169" s="455">
        <f t="shared" si="8"/>
        <v>68</v>
      </c>
      <c r="B169" s="455" t="s">
        <v>1055</v>
      </c>
      <c r="C169" s="457" t="s">
        <v>1056</v>
      </c>
      <c r="D169" s="455" t="s">
        <v>804</v>
      </c>
      <c r="E169" s="454">
        <v>0</v>
      </c>
      <c r="F169" s="454">
        <v>0</v>
      </c>
      <c r="G169" s="454">
        <v>0</v>
      </c>
      <c r="H169" s="454">
        <v>50</v>
      </c>
      <c r="I169" s="454"/>
      <c r="J169" s="457" t="s">
        <v>803</v>
      </c>
      <c r="K169" s="472"/>
      <c r="L169" s="455" t="s">
        <v>385</v>
      </c>
      <c r="M169" s="259" t="s">
        <v>895</v>
      </c>
      <c r="N169" s="462" t="s">
        <v>896</v>
      </c>
      <c r="Q169" s="264" t="s">
        <v>827</v>
      </c>
      <c r="R169" s="257" t="s">
        <v>840</v>
      </c>
      <c r="S169" s="264"/>
      <c r="T169" s="264"/>
      <c r="U169" s="264"/>
    </row>
    <row r="170" spans="1:21" s="259" customFormat="1" ht="30.75" customHeight="1" x14ac:dyDescent="0.25">
      <c r="A170" s="455">
        <f t="shared" si="8"/>
        <v>69</v>
      </c>
      <c r="B170" s="455" t="s">
        <v>1057</v>
      </c>
      <c r="C170" s="457" t="s">
        <v>1058</v>
      </c>
      <c r="D170" s="455" t="s">
        <v>804</v>
      </c>
      <c r="E170" s="454">
        <v>0</v>
      </c>
      <c r="F170" s="454">
        <v>0</v>
      </c>
      <c r="G170" s="454">
        <v>0</v>
      </c>
      <c r="H170" s="454">
        <v>50</v>
      </c>
      <c r="I170" s="454"/>
      <c r="J170" s="457" t="s">
        <v>803</v>
      </c>
      <c r="K170" s="472"/>
      <c r="L170" s="455" t="s">
        <v>385</v>
      </c>
      <c r="M170" s="259" t="s">
        <v>895</v>
      </c>
      <c r="N170" s="462" t="s">
        <v>896</v>
      </c>
      <c r="Q170" s="264" t="s">
        <v>827</v>
      </c>
      <c r="R170" s="257" t="s">
        <v>840</v>
      </c>
      <c r="S170" s="264"/>
      <c r="T170" s="264"/>
      <c r="U170" s="264"/>
    </row>
    <row r="171" spans="1:21" s="258" customFormat="1" ht="53.25" customHeight="1" x14ac:dyDescent="0.25">
      <c r="A171" s="455">
        <f t="shared" si="8"/>
        <v>70</v>
      </c>
      <c r="B171" s="454" t="s">
        <v>40</v>
      </c>
      <c r="C171" s="457" t="s">
        <v>1</v>
      </c>
      <c r="D171" s="455" t="s">
        <v>2</v>
      </c>
      <c r="E171" s="454">
        <v>16200</v>
      </c>
      <c r="F171" s="454">
        <v>6000</v>
      </c>
      <c r="G171" s="454">
        <v>0</v>
      </c>
      <c r="H171" s="454">
        <v>3000</v>
      </c>
      <c r="I171" s="454"/>
      <c r="J171" s="461" t="s">
        <v>119</v>
      </c>
      <c r="K171" s="472"/>
      <c r="L171" s="455" t="s">
        <v>76</v>
      </c>
      <c r="M171" s="258" t="s">
        <v>895</v>
      </c>
      <c r="N171" s="258" t="s">
        <v>896</v>
      </c>
      <c r="O171" s="258" t="s">
        <v>812</v>
      </c>
      <c r="P171" s="258" t="s">
        <v>813</v>
      </c>
      <c r="Q171" s="257" t="s">
        <v>827</v>
      </c>
      <c r="R171" s="257" t="s">
        <v>840</v>
      </c>
      <c r="S171" s="257"/>
      <c r="T171" s="257"/>
      <c r="U171" s="257"/>
    </row>
    <row r="172" spans="1:21" s="258" customFormat="1" ht="53.25" customHeight="1" x14ac:dyDescent="0.25">
      <c r="A172" s="455">
        <f t="shared" si="8"/>
        <v>71</v>
      </c>
      <c r="B172" s="454" t="s">
        <v>130</v>
      </c>
      <c r="C172" s="457" t="s">
        <v>131</v>
      </c>
      <c r="D172" s="455" t="s">
        <v>66</v>
      </c>
      <c r="E172" s="454">
        <v>206904.96973333333</v>
      </c>
      <c r="F172" s="454">
        <v>55676</v>
      </c>
      <c r="G172" s="454">
        <v>0</v>
      </c>
      <c r="H172" s="454">
        <v>20000</v>
      </c>
      <c r="I172" s="454"/>
      <c r="J172" s="461" t="s">
        <v>808</v>
      </c>
      <c r="K172" s="472"/>
      <c r="L172" s="455" t="s">
        <v>76</v>
      </c>
      <c r="M172" s="258" t="s">
        <v>895</v>
      </c>
      <c r="N172" s="445" t="s">
        <v>896</v>
      </c>
      <c r="O172" s="258" t="s">
        <v>812</v>
      </c>
      <c r="P172" s="258" t="s">
        <v>813</v>
      </c>
      <c r="Q172" s="257" t="s">
        <v>827</v>
      </c>
      <c r="R172" s="257" t="s">
        <v>840</v>
      </c>
      <c r="S172" s="257"/>
      <c r="T172" s="257"/>
      <c r="U172" s="257"/>
    </row>
    <row r="173" spans="1:21" s="258" customFormat="1" ht="53.25" customHeight="1" x14ac:dyDescent="0.25">
      <c r="A173" s="455">
        <f t="shared" si="8"/>
        <v>72</v>
      </c>
      <c r="B173" s="454" t="s">
        <v>67</v>
      </c>
      <c r="C173" s="457" t="s">
        <v>68</v>
      </c>
      <c r="D173" s="455" t="s">
        <v>66</v>
      </c>
      <c r="E173" s="454">
        <v>64958.94</v>
      </c>
      <c r="F173" s="454">
        <v>27629.3</v>
      </c>
      <c r="G173" s="454">
        <v>0</v>
      </c>
      <c r="H173" s="454">
        <v>13000</v>
      </c>
      <c r="I173" s="454"/>
      <c r="J173" s="456" t="s">
        <v>134</v>
      </c>
      <c r="K173" s="472"/>
      <c r="L173" s="455" t="s">
        <v>76</v>
      </c>
      <c r="M173" s="258" t="s">
        <v>895</v>
      </c>
      <c r="N173" s="445" t="s">
        <v>896</v>
      </c>
      <c r="O173" s="258" t="s">
        <v>812</v>
      </c>
      <c r="P173" s="258" t="s">
        <v>813</v>
      </c>
      <c r="Q173" s="257" t="s">
        <v>827</v>
      </c>
      <c r="R173" s="257" t="s">
        <v>840</v>
      </c>
      <c r="S173" s="257"/>
      <c r="T173" s="257"/>
      <c r="U173" s="257"/>
    </row>
    <row r="174" spans="1:21" s="258" customFormat="1" ht="53.25" customHeight="1" x14ac:dyDescent="0.25">
      <c r="A174" s="455">
        <f t="shared" si="8"/>
        <v>73</v>
      </c>
      <c r="B174" s="455" t="s">
        <v>69</v>
      </c>
      <c r="C174" s="457" t="s">
        <v>774</v>
      </c>
      <c r="D174" s="455" t="s">
        <v>66</v>
      </c>
      <c r="E174" s="454">
        <v>5922674.0470867204</v>
      </c>
      <c r="F174" s="454">
        <v>1204946.6259999999</v>
      </c>
      <c r="G174" s="454">
        <v>0</v>
      </c>
      <c r="H174" s="454">
        <f>VLOOKUP(B174,'[1]Tháng 7.2025'!$B$23:$H$153,7,0)</f>
        <v>900000</v>
      </c>
      <c r="I174" s="454"/>
      <c r="J174" s="461" t="s">
        <v>772</v>
      </c>
      <c r="K174" s="472"/>
      <c r="L174" s="455" t="s">
        <v>76</v>
      </c>
      <c r="M174" s="258" t="s">
        <v>895</v>
      </c>
      <c r="N174" s="445" t="s">
        <v>896</v>
      </c>
      <c r="O174" s="258" t="s">
        <v>812</v>
      </c>
      <c r="P174" s="258" t="s">
        <v>813</v>
      </c>
      <c r="Q174" s="257" t="s">
        <v>827</v>
      </c>
      <c r="R174" s="257" t="s">
        <v>840</v>
      </c>
      <c r="S174" s="257"/>
      <c r="T174" s="257"/>
      <c r="U174" s="257"/>
    </row>
    <row r="175" spans="1:21" s="258" customFormat="1" ht="53.25" customHeight="1" x14ac:dyDescent="0.25">
      <c r="A175" s="455">
        <f t="shared" si="8"/>
        <v>74</v>
      </c>
      <c r="B175" s="454" t="s">
        <v>72</v>
      </c>
      <c r="C175" s="457" t="s">
        <v>73</v>
      </c>
      <c r="D175" s="455" t="s">
        <v>66</v>
      </c>
      <c r="E175" s="454">
        <v>235630.41759999999</v>
      </c>
      <c r="F175" s="454">
        <v>73809.86</v>
      </c>
      <c r="G175" s="454">
        <v>0</v>
      </c>
      <c r="H175" s="454">
        <v>26000</v>
      </c>
      <c r="I175" s="454"/>
      <c r="J175" s="461" t="s">
        <v>809</v>
      </c>
      <c r="K175" s="472"/>
      <c r="L175" s="455" t="s">
        <v>76</v>
      </c>
      <c r="M175" s="258" t="s">
        <v>895</v>
      </c>
      <c r="N175" s="258" t="s">
        <v>896</v>
      </c>
      <c r="O175" s="258" t="s">
        <v>812</v>
      </c>
      <c r="P175" s="258" t="s">
        <v>813</v>
      </c>
      <c r="Q175" s="257" t="s">
        <v>827</v>
      </c>
      <c r="R175" s="257" t="s">
        <v>840</v>
      </c>
      <c r="S175" s="257"/>
      <c r="T175" s="257"/>
      <c r="U175" s="257"/>
    </row>
    <row r="176" spans="1:21" s="258" customFormat="1" ht="53.25" customHeight="1" x14ac:dyDescent="0.25">
      <c r="A176" s="455">
        <f t="shared" si="8"/>
        <v>75</v>
      </c>
      <c r="B176" s="454" t="s">
        <v>137</v>
      </c>
      <c r="C176" s="457" t="s">
        <v>138</v>
      </c>
      <c r="D176" s="455" t="s">
        <v>66</v>
      </c>
      <c r="E176" s="454">
        <v>100920.97651851852</v>
      </c>
      <c r="F176" s="454">
        <v>18618.14</v>
      </c>
      <c r="G176" s="454">
        <v>0</v>
      </c>
      <c r="H176" s="454">
        <v>16000</v>
      </c>
      <c r="I176" s="454"/>
      <c r="J176" s="461" t="s">
        <v>810</v>
      </c>
      <c r="K176" s="472"/>
      <c r="L176" s="455" t="s">
        <v>76</v>
      </c>
      <c r="M176" s="258" t="s">
        <v>895</v>
      </c>
      <c r="N176" s="445" t="s">
        <v>896</v>
      </c>
      <c r="O176" s="258" t="s">
        <v>812</v>
      </c>
      <c r="P176" s="258" t="s">
        <v>813</v>
      </c>
      <c r="Q176" s="257" t="s">
        <v>827</v>
      </c>
      <c r="R176" s="257" t="s">
        <v>840</v>
      </c>
      <c r="S176" s="257"/>
      <c r="T176" s="257"/>
      <c r="U176" s="257"/>
    </row>
    <row r="177" spans="1:21" s="258" customFormat="1" ht="53.25" customHeight="1" x14ac:dyDescent="0.25">
      <c r="A177" s="455">
        <f t="shared" si="8"/>
        <v>76</v>
      </c>
      <c r="B177" s="455" t="s">
        <v>144</v>
      </c>
      <c r="C177" s="457" t="s">
        <v>145</v>
      </c>
      <c r="D177" s="455" t="s">
        <v>66</v>
      </c>
      <c r="E177" s="454">
        <v>218080</v>
      </c>
      <c r="F177" s="454">
        <v>29855</v>
      </c>
      <c r="G177" s="454">
        <v>0</v>
      </c>
      <c r="H177" s="454">
        <v>18000</v>
      </c>
      <c r="I177" s="454"/>
      <c r="J177" s="461" t="s">
        <v>811</v>
      </c>
      <c r="K177" s="472"/>
      <c r="L177" s="455" t="s">
        <v>76</v>
      </c>
      <c r="M177" s="258" t="s">
        <v>895</v>
      </c>
      <c r="N177" s="445" t="s">
        <v>896</v>
      </c>
      <c r="O177" s="258" t="s">
        <v>812</v>
      </c>
      <c r="P177" s="258" t="s">
        <v>813</v>
      </c>
      <c r="Q177" s="257" t="s">
        <v>827</v>
      </c>
      <c r="R177" s="257" t="s">
        <v>840</v>
      </c>
      <c r="S177" s="257"/>
      <c r="T177" s="257"/>
      <c r="U177" s="257"/>
    </row>
    <row r="178" spans="1:21" s="258" customFormat="1" ht="53.25" customHeight="1" x14ac:dyDescent="0.25">
      <c r="A178" s="455"/>
      <c r="B178" s="455" t="s">
        <v>1461</v>
      </c>
      <c r="C178" s="457" t="s">
        <v>1462</v>
      </c>
      <c r="D178" s="455" t="s">
        <v>2</v>
      </c>
      <c r="E178" s="454"/>
      <c r="F178" s="454"/>
      <c r="G178" s="454"/>
      <c r="H178" s="454">
        <v>2000</v>
      </c>
      <c r="I178" s="454"/>
      <c r="J178" s="461"/>
      <c r="K178" s="472"/>
      <c r="L178" s="455" t="s">
        <v>140</v>
      </c>
      <c r="Q178" s="257"/>
      <c r="R178" s="257"/>
      <c r="S178" s="257" t="s">
        <v>897</v>
      </c>
      <c r="T178" s="257"/>
      <c r="U178" s="257"/>
    </row>
    <row r="179" spans="1:21" s="258" customFormat="1" ht="53.25" customHeight="1" x14ac:dyDescent="0.25">
      <c r="A179" s="455"/>
      <c r="B179" s="455" t="s">
        <v>1463</v>
      </c>
      <c r="C179" s="457" t="s">
        <v>1464</v>
      </c>
      <c r="D179" s="455" t="s">
        <v>2</v>
      </c>
      <c r="E179" s="454"/>
      <c r="F179" s="454"/>
      <c r="G179" s="454"/>
      <c r="H179" s="454">
        <v>4000</v>
      </c>
      <c r="I179" s="454"/>
      <c r="J179" s="461"/>
      <c r="K179" s="472"/>
      <c r="L179" s="455" t="s">
        <v>140</v>
      </c>
      <c r="Q179" s="257"/>
      <c r="R179" s="257"/>
      <c r="S179" s="257" t="s">
        <v>897</v>
      </c>
      <c r="T179" s="257"/>
      <c r="U179" s="257"/>
    </row>
    <row r="180" spans="1:21" s="258" customFormat="1" ht="53.25" customHeight="1" x14ac:dyDescent="0.25">
      <c r="A180" s="455"/>
      <c r="B180" s="455" t="s">
        <v>1243</v>
      </c>
      <c r="C180" s="457" t="s">
        <v>1244</v>
      </c>
      <c r="D180" s="455" t="s">
        <v>1465</v>
      </c>
      <c r="E180" s="454"/>
      <c r="F180" s="454"/>
      <c r="G180" s="454"/>
      <c r="H180" s="454">
        <v>5000</v>
      </c>
      <c r="I180" s="454"/>
      <c r="J180" s="461"/>
      <c r="K180" s="472"/>
      <c r="L180" s="455" t="s">
        <v>140</v>
      </c>
      <c r="Q180" s="257"/>
      <c r="R180" s="257"/>
      <c r="S180" s="257" t="s">
        <v>897</v>
      </c>
      <c r="T180" s="257"/>
      <c r="U180" s="257"/>
    </row>
    <row r="181" spans="1:21" ht="24" customHeight="1" x14ac:dyDescent="0.25">
      <c r="A181" s="455">
        <v>77</v>
      </c>
      <c r="B181" s="467" t="s">
        <v>1474</v>
      </c>
      <c r="C181" s="467" t="s">
        <v>1475</v>
      </c>
      <c r="D181" s="454" t="s">
        <v>0</v>
      </c>
      <c r="E181" s="454">
        <v>1</v>
      </c>
      <c r="F181" s="454">
        <v>0</v>
      </c>
      <c r="G181" s="454">
        <v>0</v>
      </c>
      <c r="H181" s="454">
        <v>1</v>
      </c>
      <c r="I181" s="455"/>
      <c r="J181" s="475" t="s">
        <v>1517</v>
      </c>
      <c r="K181" s="474"/>
      <c r="L181" s="475"/>
      <c r="R181" s="257"/>
      <c r="S181" s="257" t="s">
        <v>897</v>
      </c>
    </row>
    <row r="182" spans="1:21" ht="33.75" customHeight="1" x14ac:dyDescent="0.25">
      <c r="A182" s="455">
        <v>78</v>
      </c>
      <c r="B182" s="467" t="s">
        <v>1476</v>
      </c>
      <c r="C182" s="467" t="s">
        <v>1477</v>
      </c>
      <c r="D182" s="454" t="s">
        <v>0</v>
      </c>
      <c r="E182" s="454">
        <v>5</v>
      </c>
      <c r="F182" s="454">
        <v>5</v>
      </c>
      <c r="G182" s="454">
        <v>0</v>
      </c>
      <c r="H182" s="454">
        <v>5</v>
      </c>
      <c r="I182" s="455"/>
      <c r="J182" s="475" t="s">
        <v>1518</v>
      </c>
      <c r="K182" s="474"/>
      <c r="L182" s="475"/>
      <c r="S182" s="257" t="s">
        <v>897</v>
      </c>
    </row>
    <row r="183" spans="1:21" ht="33.75" customHeight="1" x14ac:dyDescent="0.25">
      <c r="A183" s="455">
        <v>79</v>
      </c>
      <c r="B183" s="467" t="s">
        <v>1478</v>
      </c>
      <c r="C183" s="467" t="s">
        <v>1194</v>
      </c>
      <c r="D183" s="454" t="s">
        <v>0</v>
      </c>
      <c r="E183" s="454">
        <v>1</v>
      </c>
      <c r="F183" s="454">
        <v>1</v>
      </c>
      <c r="G183" s="454">
        <v>0</v>
      </c>
      <c r="H183" s="454">
        <v>1</v>
      </c>
      <c r="I183" s="455"/>
      <c r="J183" s="475" t="s">
        <v>1519</v>
      </c>
      <c r="K183" s="474"/>
      <c r="L183" s="475"/>
      <c r="S183" s="257" t="s">
        <v>897</v>
      </c>
    </row>
    <row r="184" spans="1:21" ht="33.75" customHeight="1" x14ac:dyDescent="0.25">
      <c r="A184" s="455">
        <v>80</v>
      </c>
      <c r="B184" s="467" t="s">
        <v>1195</v>
      </c>
      <c r="C184" s="467" t="s">
        <v>1196</v>
      </c>
      <c r="D184" s="454" t="s">
        <v>0</v>
      </c>
      <c r="E184" s="454">
        <v>3</v>
      </c>
      <c r="F184" s="454">
        <v>3</v>
      </c>
      <c r="G184" s="454">
        <v>0</v>
      </c>
      <c r="H184" s="454">
        <v>3</v>
      </c>
      <c r="I184" s="455"/>
      <c r="J184" s="475" t="s">
        <v>1520</v>
      </c>
      <c r="K184" s="474"/>
      <c r="L184" s="475"/>
      <c r="S184" s="257" t="s">
        <v>897</v>
      </c>
    </row>
    <row r="185" spans="1:21" ht="24" customHeight="1" x14ac:dyDescent="0.25">
      <c r="A185" s="455">
        <v>81</v>
      </c>
      <c r="B185" s="467" t="s">
        <v>1479</v>
      </c>
      <c r="C185" s="467" t="s">
        <v>1480</v>
      </c>
      <c r="D185" s="454" t="s">
        <v>0</v>
      </c>
      <c r="E185" s="454">
        <v>1</v>
      </c>
      <c r="F185" s="454">
        <v>0</v>
      </c>
      <c r="G185" s="454">
        <v>0</v>
      </c>
      <c r="H185" s="454">
        <v>1</v>
      </c>
      <c r="I185" s="455"/>
      <c r="J185" s="475" t="s">
        <v>1521</v>
      </c>
      <c r="K185" s="474"/>
      <c r="L185" s="475"/>
      <c r="S185" s="257" t="s">
        <v>897</v>
      </c>
    </row>
    <row r="186" spans="1:21" ht="24" customHeight="1" x14ac:dyDescent="0.25">
      <c r="A186" s="455">
        <v>82</v>
      </c>
      <c r="B186" s="467" t="s">
        <v>1481</v>
      </c>
      <c r="C186" s="467" t="s">
        <v>1482</v>
      </c>
      <c r="D186" s="454" t="s">
        <v>0</v>
      </c>
      <c r="E186" s="454">
        <v>1</v>
      </c>
      <c r="F186" s="454">
        <v>0</v>
      </c>
      <c r="G186" s="454">
        <v>0</v>
      </c>
      <c r="H186" s="454">
        <v>1</v>
      </c>
      <c r="I186" s="455"/>
      <c r="J186" s="475" t="s">
        <v>1521</v>
      </c>
      <c r="K186" s="474"/>
      <c r="L186" s="475"/>
      <c r="S186" s="257" t="s">
        <v>897</v>
      </c>
    </row>
    <row r="187" spans="1:21" ht="59.25" customHeight="1" x14ac:dyDescent="0.25">
      <c r="A187" s="455">
        <v>83</v>
      </c>
      <c r="B187" s="467" t="s">
        <v>1483</v>
      </c>
      <c r="C187" s="467" t="s">
        <v>1484</v>
      </c>
      <c r="D187" s="454" t="s">
        <v>0</v>
      </c>
      <c r="E187" s="454">
        <v>3</v>
      </c>
      <c r="F187" s="454">
        <v>0</v>
      </c>
      <c r="G187" s="454">
        <v>0</v>
      </c>
      <c r="H187" s="454">
        <v>3</v>
      </c>
      <c r="I187" s="455"/>
      <c r="J187" s="475" t="s">
        <v>1522</v>
      </c>
      <c r="K187" s="474"/>
      <c r="L187" s="475"/>
      <c r="S187" s="257" t="s">
        <v>897</v>
      </c>
    </row>
    <row r="188" spans="1:21" ht="59.25" customHeight="1" x14ac:dyDescent="0.25">
      <c r="A188" s="455">
        <v>84</v>
      </c>
      <c r="B188" s="454" t="s">
        <v>1485</v>
      </c>
      <c r="C188" s="457" t="s">
        <v>1486</v>
      </c>
      <c r="D188" s="454" t="s">
        <v>0</v>
      </c>
      <c r="E188" s="454">
        <v>4</v>
      </c>
      <c r="F188" s="454">
        <v>0</v>
      </c>
      <c r="G188" s="454">
        <v>0</v>
      </c>
      <c r="H188" s="454">
        <v>4</v>
      </c>
      <c r="I188" s="455"/>
      <c r="J188" s="475" t="s">
        <v>1523</v>
      </c>
      <c r="K188" s="474"/>
      <c r="L188" s="475"/>
      <c r="S188" s="257" t="s">
        <v>897</v>
      </c>
    </row>
    <row r="189" spans="1:21" ht="42.75" customHeight="1" x14ac:dyDescent="0.25">
      <c r="A189" s="455">
        <v>85</v>
      </c>
      <c r="B189" s="467" t="s">
        <v>1487</v>
      </c>
      <c r="C189" s="467" t="s">
        <v>1488</v>
      </c>
      <c r="D189" s="454" t="s">
        <v>0</v>
      </c>
      <c r="E189" s="454">
        <v>2</v>
      </c>
      <c r="F189" s="454">
        <v>0</v>
      </c>
      <c r="G189" s="454">
        <v>0</v>
      </c>
      <c r="H189" s="454">
        <v>2</v>
      </c>
      <c r="I189" s="455"/>
      <c r="J189" s="475" t="s">
        <v>1517</v>
      </c>
      <c r="K189" s="474"/>
      <c r="L189" s="475"/>
      <c r="S189" s="257" t="s">
        <v>897</v>
      </c>
    </row>
    <row r="190" spans="1:21" ht="30" customHeight="1" x14ac:dyDescent="0.25">
      <c r="A190" s="455">
        <v>86</v>
      </c>
      <c r="B190" s="467" t="s">
        <v>1489</v>
      </c>
      <c r="C190" s="467" t="s">
        <v>1490</v>
      </c>
      <c r="D190" s="454" t="s">
        <v>0</v>
      </c>
      <c r="E190" s="454">
        <v>2</v>
      </c>
      <c r="F190" s="454">
        <v>0</v>
      </c>
      <c r="G190" s="454">
        <v>0</v>
      </c>
      <c r="H190" s="454">
        <v>2</v>
      </c>
      <c r="I190" s="455"/>
      <c r="J190" s="475" t="s">
        <v>1524</v>
      </c>
      <c r="K190" s="474"/>
      <c r="L190" s="475"/>
      <c r="S190" s="257" t="s">
        <v>897</v>
      </c>
    </row>
    <row r="191" spans="1:21" ht="35.25" customHeight="1" x14ac:dyDescent="0.25">
      <c r="A191" s="455">
        <v>87</v>
      </c>
      <c r="B191" s="467" t="s">
        <v>1491</v>
      </c>
      <c r="C191" s="467" t="s">
        <v>1492</v>
      </c>
      <c r="D191" s="454" t="s">
        <v>0</v>
      </c>
      <c r="E191" s="454">
        <v>1</v>
      </c>
      <c r="F191" s="454">
        <v>0</v>
      </c>
      <c r="G191" s="454">
        <v>0</v>
      </c>
      <c r="H191" s="454">
        <v>1</v>
      </c>
      <c r="I191" s="455"/>
      <c r="J191" s="475" t="s">
        <v>1525</v>
      </c>
      <c r="K191" s="474"/>
      <c r="L191" s="475"/>
      <c r="S191" s="257" t="s">
        <v>897</v>
      </c>
    </row>
    <row r="192" spans="1:21" ht="32.25" customHeight="1" x14ac:dyDescent="0.25">
      <c r="A192" s="455">
        <v>88</v>
      </c>
      <c r="B192" s="467" t="s">
        <v>1493</v>
      </c>
      <c r="C192" s="467" t="s">
        <v>1494</v>
      </c>
      <c r="D192" s="454" t="s">
        <v>0</v>
      </c>
      <c r="E192" s="454">
        <v>1</v>
      </c>
      <c r="F192" s="454">
        <v>0</v>
      </c>
      <c r="G192" s="454">
        <v>0</v>
      </c>
      <c r="H192" s="454">
        <v>1</v>
      </c>
      <c r="I192" s="455"/>
      <c r="J192" s="475" t="s">
        <v>1526</v>
      </c>
      <c r="K192" s="474"/>
      <c r="L192" s="475"/>
      <c r="S192" s="257" t="s">
        <v>897</v>
      </c>
    </row>
    <row r="193" spans="1:19" ht="48.75" customHeight="1" x14ac:dyDescent="0.25">
      <c r="A193" s="455">
        <v>89</v>
      </c>
      <c r="B193" s="467" t="s">
        <v>1495</v>
      </c>
      <c r="C193" s="467" t="s">
        <v>1496</v>
      </c>
      <c r="D193" s="454" t="s">
        <v>0</v>
      </c>
      <c r="E193" s="454">
        <v>1</v>
      </c>
      <c r="F193" s="454">
        <v>0</v>
      </c>
      <c r="G193" s="454">
        <v>0</v>
      </c>
      <c r="H193" s="454">
        <v>1</v>
      </c>
      <c r="I193" s="455"/>
      <c r="J193" s="475" t="s">
        <v>1525</v>
      </c>
      <c r="K193" s="474"/>
      <c r="L193" s="475"/>
      <c r="S193" s="257" t="s">
        <v>897</v>
      </c>
    </row>
    <row r="194" spans="1:19" ht="56.25" customHeight="1" x14ac:dyDescent="0.25">
      <c r="A194" s="455">
        <v>90</v>
      </c>
      <c r="B194" s="467" t="s">
        <v>1336</v>
      </c>
      <c r="C194" s="467" t="s">
        <v>1497</v>
      </c>
      <c r="D194" s="454" t="s">
        <v>428</v>
      </c>
      <c r="E194" s="454">
        <v>50</v>
      </c>
      <c r="F194" s="454">
        <v>0</v>
      </c>
      <c r="G194" s="454">
        <v>0</v>
      </c>
      <c r="H194" s="454">
        <v>180</v>
      </c>
      <c r="I194" s="455"/>
      <c r="J194" s="475" t="s">
        <v>1527</v>
      </c>
      <c r="K194" s="474"/>
      <c r="L194" s="475"/>
      <c r="S194" s="257" t="s">
        <v>897</v>
      </c>
    </row>
    <row r="195" spans="1:19" ht="72.75" customHeight="1" x14ac:dyDescent="0.25">
      <c r="A195" s="455">
        <v>91</v>
      </c>
      <c r="B195" s="467" t="s">
        <v>1334</v>
      </c>
      <c r="C195" s="467" t="s">
        <v>1318</v>
      </c>
      <c r="D195" s="454" t="s">
        <v>51</v>
      </c>
      <c r="E195" s="454">
        <v>20</v>
      </c>
      <c r="F195" s="454">
        <v>0</v>
      </c>
      <c r="G195" s="454">
        <v>0</v>
      </c>
      <c r="H195" s="454">
        <v>20</v>
      </c>
      <c r="I195" s="455"/>
      <c r="J195" s="475" t="s">
        <v>1527</v>
      </c>
      <c r="K195" s="474"/>
      <c r="L195" s="475"/>
      <c r="S195" s="257" t="s">
        <v>897</v>
      </c>
    </row>
    <row r="196" spans="1:19" ht="26.25" customHeight="1" x14ac:dyDescent="0.25">
      <c r="A196" s="455">
        <v>92</v>
      </c>
      <c r="B196" s="455" t="s">
        <v>970</v>
      </c>
      <c r="C196" s="467" t="s">
        <v>1246</v>
      </c>
      <c r="D196" s="454" t="s">
        <v>51</v>
      </c>
      <c r="E196" s="455">
        <v>20</v>
      </c>
      <c r="F196" s="454">
        <v>0</v>
      </c>
      <c r="G196" s="454">
        <v>0</v>
      </c>
      <c r="H196" s="455">
        <v>20</v>
      </c>
      <c r="I196" s="455"/>
      <c r="J196" s="457" t="s">
        <v>1528</v>
      </c>
      <c r="K196" s="474"/>
      <c r="L196" s="475"/>
      <c r="S196" s="257" t="s">
        <v>897</v>
      </c>
    </row>
    <row r="197" spans="1:19" ht="26.25" customHeight="1" x14ac:dyDescent="0.25">
      <c r="A197" s="455">
        <v>93</v>
      </c>
      <c r="B197" s="455" t="s">
        <v>1498</v>
      </c>
      <c r="C197" s="467" t="s">
        <v>1499</v>
      </c>
      <c r="D197" s="454" t="s">
        <v>1019</v>
      </c>
      <c r="E197" s="455">
        <v>6</v>
      </c>
      <c r="F197" s="454">
        <v>0</v>
      </c>
      <c r="G197" s="454">
        <v>0</v>
      </c>
      <c r="H197" s="455">
        <v>6</v>
      </c>
      <c r="I197" s="455"/>
      <c r="J197" s="457" t="s">
        <v>1520</v>
      </c>
      <c r="K197" s="474"/>
      <c r="L197" s="475"/>
      <c r="S197" s="257" t="s">
        <v>897</v>
      </c>
    </row>
    <row r="198" spans="1:19" ht="26.25" customHeight="1" x14ac:dyDescent="0.25">
      <c r="A198" s="455">
        <v>94</v>
      </c>
      <c r="B198" s="455" t="s">
        <v>943</v>
      </c>
      <c r="C198" s="467" t="s">
        <v>944</v>
      </c>
      <c r="D198" s="454" t="s">
        <v>1019</v>
      </c>
      <c r="E198" s="455">
        <v>4</v>
      </c>
      <c r="F198" s="454">
        <v>0</v>
      </c>
      <c r="G198" s="454">
        <v>0</v>
      </c>
      <c r="H198" s="455">
        <v>4</v>
      </c>
      <c r="I198" s="455"/>
      <c r="J198" s="457" t="s">
        <v>1520</v>
      </c>
      <c r="K198" s="474"/>
      <c r="L198" s="475"/>
      <c r="S198" s="257" t="s">
        <v>897</v>
      </c>
    </row>
    <row r="199" spans="1:19" ht="26.25" customHeight="1" x14ac:dyDescent="0.25">
      <c r="A199" s="455">
        <v>95</v>
      </c>
      <c r="B199" s="455" t="s">
        <v>1369</v>
      </c>
      <c r="C199" s="467" t="s">
        <v>1370</v>
      </c>
      <c r="D199" s="454" t="s">
        <v>1500</v>
      </c>
      <c r="E199" s="455">
        <v>20</v>
      </c>
      <c r="F199" s="454">
        <v>0</v>
      </c>
      <c r="G199" s="454">
        <v>0</v>
      </c>
      <c r="H199" s="455">
        <v>20</v>
      </c>
      <c r="I199" s="455"/>
      <c r="J199" s="457" t="s">
        <v>1520</v>
      </c>
      <c r="K199" s="474"/>
      <c r="L199" s="475"/>
      <c r="S199" s="257" t="s">
        <v>897</v>
      </c>
    </row>
    <row r="200" spans="1:19" ht="26.25" customHeight="1" x14ac:dyDescent="0.25">
      <c r="A200" s="455">
        <v>96</v>
      </c>
      <c r="B200" s="455" t="s">
        <v>1371</v>
      </c>
      <c r="C200" s="467" t="s">
        <v>1372</v>
      </c>
      <c r="D200" s="454" t="s">
        <v>0</v>
      </c>
      <c r="E200" s="455">
        <v>17</v>
      </c>
      <c r="F200" s="454">
        <v>0</v>
      </c>
      <c r="G200" s="454">
        <v>0</v>
      </c>
      <c r="H200" s="455">
        <v>17</v>
      </c>
      <c r="I200" s="455"/>
      <c r="J200" s="457" t="s">
        <v>1520</v>
      </c>
      <c r="K200" s="474"/>
      <c r="L200" s="475"/>
      <c r="S200" s="257" t="s">
        <v>897</v>
      </c>
    </row>
    <row r="201" spans="1:19" ht="26.25" customHeight="1" x14ac:dyDescent="0.25">
      <c r="A201" s="455">
        <v>97</v>
      </c>
      <c r="B201" s="455" t="s">
        <v>1501</v>
      </c>
      <c r="C201" s="467" t="s">
        <v>1502</v>
      </c>
      <c r="D201" s="454" t="s">
        <v>0</v>
      </c>
      <c r="E201" s="455">
        <v>50</v>
      </c>
      <c r="F201" s="454">
        <v>0</v>
      </c>
      <c r="G201" s="454">
        <v>0</v>
      </c>
      <c r="H201" s="455">
        <v>50</v>
      </c>
      <c r="I201" s="455"/>
      <c r="J201" s="457" t="s">
        <v>1520</v>
      </c>
      <c r="K201" s="474"/>
      <c r="L201" s="475"/>
      <c r="S201" s="257" t="s">
        <v>897</v>
      </c>
    </row>
    <row r="202" spans="1:19" ht="26.25" customHeight="1" x14ac:dyDescent="0.25">
      <c r="A202" s="455">
        <v>98</v>
      </c>
      <c r="B202" s="455" t="s">
        <v>1337</v>
      </c>
      <c r="C202" s="467" t="s">
        <v>1338</v>
      </c>
      <c r="D202" s="454" t="s">
        <v>74</v>
      </c>
      <c r="E202" s="455">
        <v>200</v>
      </c>
      <c r="F202" s="454">
        <v>0</v>
      </c>
      <c r="G202" s="454">
        <v>0</v>
      </c>
      <c r="H202" s="455">
        <v>200</v>
      </c>
      <c r="I202" s="455"/>
      <c r="J202" s="457" t="s">
        <v>1528</v>
      </c>
      <c r="K202" s="474"/>
      <c r="L202" s="475"/>
      <c r="S202" s="257" t="s">
        <v>897</v>
      </c>
    </row>
    <row r="203" spans="1:19" ht="26.25" customHeight="1" x14ac:dyDescent="0.25">
      <c r="A203" s="455">
        <v>99</v>
      </c>
      <c r="B203" s="455" t="s">
        <v>1503</v>
      </c>
      <c r="C203" s="467" t="s">
        <v>1504</v>
      </c>
      <c r="D203" s="454" t="s">
        <v>74</v>
      </c>
      <c r="E203" s="455">
        <v>1</v>
      </c>
      <c r="F203" s="454">
        <v>0</v>
      </c>
      <c r="G203" s="454">
        <v>0</v>
      </c>
      <c r="H203" s="455">
        <v>1</v>
      </c>
      <c r="I203" s="455"/>
      <c r="J203" s="457" t="s">
        <v>1529</v>
      </c>
      <c r="K203" s="474"/>
      <c r="L203" s="475"/>
      <c r="S203" s="257" t="s">
        <v>897</v>
      </c>
    </row>
    <row r="204" spans="1:19" ht="26.25" customHeight="1" x14ac:dyDescent="0.25">
      <c r="A204" s="455">
        <v>100</v>
      </c>
      <c r="B204" s="455" t="s">
        <v>1335</v>
      </c>
      <c r="C204" s="467" t="s">
        <v>277</v>
      </c>
      <c r="D204" s="454" t="s">
        <v>51</v>
      </c>
      <c r="E204" s="455">
        <v>30</v>
      </c>
      <c r="F204" s="454">
        <v>0</v>
      </c>
      <c r="G204" s="454">
        <v>0</v>
      </c>
      <c r="H204" s="455">
        <v>500</v>
      </c>
      <c r="I204" s="455"/>
      <c r="J204" s="457" t="s">
        <v>1530</v>
      </c>
      <c r="K204" s="474"/>
      <c r="L204" s="475"/>
      <c r="S204" s="257" t="s">
        <v>897</v>
      </c>
    </row>
    <row r="205" spans="1:19" ht="26.25" customHeight="1" x14ac:dyDescent="0.25">
      <c r="A205" s="455">
        <v>101</v>
      </c>
      <c r="B205" s="455" t="s">
        <v>1505</v>
      </c>
      <c r="C205" s="467" t="s">
        <v>1506</v>
      </c>
      <c r="D205" s="454" t="s">
        <v>1203</v>
      </c>
      <c r="E205" s="455">
        <v>100</v>
      </c>
      <c r="F205" s="454">
        <v>0</v>
      </c>
      <c r="G205" s="454">
        <v>0</v>
      </c>
      <c r="H205" s="455">
        <v>100</v>
      </c>
      <c r="I205" s="455"/>
      <c r="J205" s="457" t="s">
        <v>1530</v>
      </c>
      <c r="K205" s="474"/>
      <c r="L205" s="475"/>
      <c r="S205" s="257" t="s">
        <v>897</v>
      </c>
    </row>
    <row r="206" spans="1:19" ht="26.25" customHeight="1" x14ac:dyDescent="0.25">
      <c r="A206" s="455">
        <v>102</v>
      </c>
      <c r="B206" s="455" t="s">
        <v>1507</v>
      </c>
      <c r="C206" s="467" t="s">
        <v>1508</v>
      </c>
      <c r="D206" s="454" t="s">
        <v>0</v>
      </c>
      <c r="E206" s="455">
        <v>320</v>
      </c>
      <c r="F206" s="454">
        <v>0</v>
      </c>
      <c r="G206" s="454">
        <v>0</v>
      </c>
      <c r="H206" s="455">
        <v>320</v>
      </c>
      <c r="I206" s="455"/>
      <c r="J206" s="457"/>
      <c r="K206" s="474"/>
      <c r="L206" s="475"/>
      <c r="S206" s="257" t="s">
        <v>897</v>
      </c>
    </row>
    <row r="207" spans="1:19" ht="26.25" customHeight="1" x14ac:dyDescent="0.25">
      <c r="A207" s="455">
        <v>103</v>
      </c>
      <c r="B207" s="455" t="s">
        <v>1509</v>
      </c>
      <c r="C207" s="467" t="s">
        <v>1510</v>
      </c>
      <c r="D207" s="454" t="s">
        <v>0</v>
      </c>
      <c r="E207" s="455">
        <v>8</v>
      </c>
      <c r="F207" s="454">
        <v>0</v>
      </c>
      <c r="G207" s="454">
        <v>0</v>
      </c>
      <c r="H207" s="455">
        <v>8</v>
      </c>
      <c r="I207" s="455"/>
      <c r="J207" s="457" t="s">
        <v>1531</v>
      </c>
      <c r="K207" s="474"/>
      <c r="L207" s="475"/>
      <c r="S207" s="257" t="s">
        <v>897</v>
      </c>
    </row>
    <row r="208" spans="1:19" ht="26.25" customHeight="1" x14ac:dyDescent="0.25">
      <c r="A208" s="455">
        <v>104</v>
      </c>
      <c r="B208" s="455" t="s">
        <v>1511</v>
      </c>
      <c r="C208" s="467" t="s">
        <v>1512</v>
      </c>
      <c r="D208" s="454" t="s">
        <v>0</v>
      </c>
      <c r="E208" s="455">
        <v>10</v>
      </c>
      <c r="F208" s="454">
        <v>0</v>
      </c>
      <c r="G208" s="454">
        <v>0</v>
      </c>
      <c r="H208" s="455">
        <v>10</v>
      </c>
      <c r="I208" s="455"/>
      <c r="J208" s="457" t="s">
        <v>1531</v>
      </c>
      <c r="K208" s="474"/>
      <c r="L208" s="475"/>
      <c r="S208" s="257" t="s">
        <v>897</v>
      </c>
    </row>
    <row r="209" spans="1:19" ht="26.25" customHeight="1" x14ac:dyDescent="0.25">
      <c r="A209" s="455">
        <v>105</v>
      </c>
      <c r="B209" s="455" t="s">
        <v>1513</v>
      </c>
      <c r="C209" s="467" t="s">
        <v>1514</v>
      </c>
      <c r="D209" s="454" t="s">
        <v>0</v>
      </c>
      <c r="E209" s="455">
        <v>12</v>
      </c>
      <c r="F209" s="454">
        <v>0</v>
      </c>
      <c r="G209" s="454">
        <v>0</v>
      </c>
      <c r="H209" s="455">
        <v>12</v>
      </c>
      <c r="I209" s="455"/>
      <c r="J209" s="457" t="s">
        <v>1531</v>
      </c>
      <c r="K209" s="474"/>
      <c r="L209" s="475"/>
      <c r="S209" s="257" t="s">
        <v>897</v>
      </c>
    </row>
    <row r="210" spans="1:19" ht="26.25" customHeight="1" x14ac:dyDescent="0.25">
      <c r="A210" s="455">
        <v>106</v>
      </c>
      <c r="B210" s="455" t="s">
        <v>1515</v>
      </c>
      <c r="C210" s="467" t="s">
        <v>1516</v>
      </c>
      <c r="D210" s="454" t="s">
        <v>0</v>
      </c>
      <c r="E210" s="455">
        <v>24</v>
      </c>
      <c r="F210" s="454">
        <v>0</v>
      </c>
      <c r="G210" s="454">
        <v>0</v>
      </c>
      <c r="H210" s="455">
        <v>24</v>
      </c>
      <c r="I210" s="455"/>
      <c r="J210" s="457" t="s">
        <v>1532</v>
      </c>
      <c r="K210" s="474"/>
      <c r="L210" s="475"/>
      <c r="S210" s="257" t="s">
        <v>897</v>
      </c>
    </row>
    <row r="1046075" spans="3:11" s="5" customFormat="1" ht="26.25" customHeight="1" x14ac:dyDescent="0.25">
      <c r="C1046075" s="23"/>
      <c r="H1046075" s="237"/>
      <c r="J1046075" s="49"/>
      <c r="K1046075" s="94"/>
    </row>
  </sheetData>
  <autoFilter ref="A21:AF210" xr:uid="{00000000-0009-0000-0000-000001000000}"/>
  <mergeCells count="6">
    <mergeCell ref="B15:J15"/>
    <mergeCell ref="A10:B10"/>
    <mergeCell ref="A11:B11"/>
    <mergeCell ref="A12:B12"/>
    <mergeCell ref="H12:I12"/>
    <mergeCell ref="B14:J14"/>
  </mergeCells>
  <printOptions horizontalCentered="1"/>
  <pageMargins left="0" right="0" top="0.25" bottom="0.25" header="0.3" footer="0.3"/>
  <pageSetup scale="5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046053"/>
  <sheetViews>
    <sheetView topLeftCell="A14" zoomScale="80" zoomScaleNormal="80" workbookViewId="0">
      <selection activeCell="X26" sqref="X26"/>
    </sheetView>
  </sheetViews>
  <sheetFormatPr defaultColWidth="9.140625" defaultRowHeight="16.5" x14ac:dyDescent="0.25"/>
  <cols>
    <col min="1" max="1" width="8.85546875" style="5" customWidth="1"/>
    <col min="2" max="2" width="29.85546875" style="5" customWidth="1"/>
    <col min="3" max="3" width="29.85546875" style="49" customWidth="1"/>
    <col min="4" max="4" width="10.42578125" style="5" customWidth="1"/>
    <col min="5" max="5" width="11" style="5" customWidth="1"/>
    <col min="6" max="7" width="11.7109375" style="5" customWidth="1"/>
    <col min="8" max="8" width="9.85546875" style="237" customWidth="1"/>
    <col min="9" max="9" width="9.5703125" style="5" hidden="1" customWidth="1"/>
    <col min="10" max="10" width="61.28515625" style="49" customWidth="1"/>
    <col min="11" max="11" width="19.5703125" style="94" hidden="1" customWidth="1"/>
    <col min="12" max="12" width="26.42578125" style="8" hidden="1" customWidth="1"/>
    <col min="13" max="17" width="5.5703125" style="8" hidden="1" customWidth="1"/>
    <col min="18" max="24" width="5.5703125" style="8" customWidth="1"/>
    <col min="25" max="16384" width="9.140625" style="8"/>
  </cols>
  <sheetData>
    <row r="1" spans="1:20" ht="28.5" hidden="1" customHeight="1" x14ac:dyDescent="0.25">
      <c r="A1" s="5" t="s">
        <v>8</v>
      </c>
      <c r="C1" s="87"/>
      <c r="D1" s="88"/>
      <c r="E1" s="88"/>
      <c r="F1" s="88"/>
      <c r="G1" s="88"/>
      <c r="H1" s="88"/>
      <c r="I1" s="88"/>
      <c r="J1" s="87"/>
      <c r="K1" s="91"/>
      <c r="L1" s="92"/>
      <c r="M1" s="92"/>
      <c r="N1" s="92"/>
      <c r="O1" s="92"/>
      <c r="P1" s="92"/>
      <c r="Q1" s="92"/>
      <c r="R1" s="92"/>
      <c r="S1" s="92"/>
      <c r="T1" s="92"/>
    </row>
    <row r="2" spans="1:20" ht="28.5" hidden="1" customHeight="1" x14ac:dyDescent="0.25">
      <c r="A2" s="83" t="s">
        <v>9</v>
      </c>
      <c r="B2" s="83"/>
      <c r="C2" s="87"/>
      <c r="D2" s="88"/>
      <c r="E2" s="88"/>
      <c r="F2" s="88"/>
      <c r="G2" s="88"/>
      <c r="H2" s="88"/>
      <c r="I2" s="88"/>
      <c r="J2" s="87"/>
      <c r="K2" s="91"/>
      <c r="L2" s="92"/>
      <c r="M2" s="92"/>
      <c r="N2" s="92"/>
      <c r="O2" s="92"/>
      <c r="P2" s="92"/>
      <c r="Q2" s="92"/>
      <c r="R2" s="92"/>
      <c r="S2" s="92"/>
      <c r="T2" s="92"/>
    </row>
    <row r="3" spans="1:20" ht="19.5" hidden="1" customHeight="1" x14ac:dyDescent="0.25">
      <c r="C3" s="87"/>
      <c r="D3" s="88"/>
      <c r="E3" s="88"/>
      <c r="F3" s="88"/>
      <c r="G3" s="88"/>
      <c r="H3" s="88"/>
      <c r="I3" s="88"/>
      <c r="J3" s="87"/>
      <c r="K3" s="91"/>
      <c r="L3" s="92"/>
      <c r="M3" s="92"/>
      <c r="N3" s="92"/>
      <c r="O3" s="92"/>
      <c r="P3" s="92"/>
      <c r="Q3" s="92"/>
      <c r="R3" s="92"/>
      <c r="S3" s="92"/>
      <c r="T3" s="92"/>
    </row>
    <row r="4" spans="1:20" ht="14.25" hidden="1" customHeight="1" x14ac:dyDescent="0.25">
      <c r="C4" s="87"/>
      <c r="D4" s="88"/>
      <c r="E4" s="88"/>
      <c r="F4" s="88"/>
      <c r="G4" s="88"/>
      <c r="H4" s="88"/>
      <c r="I4" s="88"/>
      <c r="J4" s="87"/>
      <c r="K4" s="91"/>
      <c r="L4" s="92"/>
      <c r="M4" s="92"/>
      <c r="N4" s="92"/>
      <c r="O4" s="92"/>
      <c r="P4" s="92"/>
      <c r="Q4" s="92"/>
      <c r="R4" s="92"/>
      <c r="S4" s="92"/>
      <c r="T4" s="92"/>
    </row>
    <row r="5" spans="1:20" ht="14.25" hidden="1" customHeight="1" x14ac:dyDescent="0.25">
      <c r="B5" s="5" t="s">
        <v>14</v>
      </c>
      <c r="C5" s="87"/>
      <c r="D5" s="88"/>
      <c r="E5" s="88"/>
      <c r="F5" s="88"/>
      <c r="G5" s="88"/>
      <c r="H5" s="88"/>
      <c r="I5" s="88"/>
      <c r="J5" s="87"/>
      <c r="K5" s="91"/>
      <c r="L5" s="92"/>
      <c r="M5" s="92"/>
      <c r="N5" s="92"/>
      <c r="O5" s="92"/>
      <c r="P5" s="92"/>
      <c r="Q5" s="92"/>
      <c r="R5" s="92"/>
      <c r="S5" s="92"/>
      <c r="T5" s="92"/>
    </row>
    <row r="6" spans="1:20" ht="14.25" hidden="1" customHeight="1" x14ac:dyDescent="0.25">
      <c r="B6" s="5" t="s">
        <v>12</v>
      </c>
      <c r="C6" s="87"/>
      <c r="D6" s="88"/>
      <c r="E6" s="88"/>
      <c r="F6" s="88"/>
      <c r="G6" s="88"/>
      <c r="H6" s="88"/>
      <c r="I6" s="88"/>
      <c r="J6" s="87"/>
      <c r="K6" s="91"/>
      <c r="L6" s="92"/>
      <c r="M6" s="92"/>
      <c r="N6" s="92"/>
      <c r="O6" s="92"/>
      <c r="P6" s="92"/>
      <c r="Q6" s="92"/>
      <c r="R6" s="92"/>
      <c r="S6" s="92"/>
      <c r="T6" s="92"/>
    </row>
    <row r="7" spans="1:20" ht="14.25" hidden="1" customHeight="1" x14ac:dyDescent="0.25">
      <c r="B7" s="5" t="s">
        <v>15</v>
      </c>
      <c r="C7" s="87"/>
      <c r="D7" s="88"/>
      <c r="E7" s="88"/>
      <c r="F7" s="88"/>
      <c r="G7" s="88"/>
      <c r="H7" s="88"/>
      <c r="I7" s="88"/>
      <c r="J7" s="87"/>
      <c r="K7" s="91"/>
      <c r="L7" s="92"/>
      <c r="M7" s="92"/>
      <c r="N7" s="92"/>
      <c r="O7" s="92"/>
      <c r="P7" s="92"/>
      <c r="Q7" s="92"/>
      <c r="R7" s="92"/>
      <c r="S7" s="92"/>
      <c r="T7" s="92"/>
    </row>
    <row r="8" spans="1:20" ht="14.25" hidden="1" customHeight="1" x14ac:dyDescent="0.25">
      <c r="B8" s="5" t="s">
        <v>13</v>
      </c>
      <c r="C8" s="87"/>
      <c r="D8" s="88"/>
      <c r="E8" s="88"/>
      <c r="F8" s="88"/>
      <c r="G8" s="88"/>
      <c r="H8" s="88"/>
      <c r="I8" s="88"/>
      <c r="J8" s="87"/>
      <c r="K8" s="91"/>
      <c r="L8" s="92"/>
      <c r="M8" s="92"/>
      <c r="N8" s="92"/>
      <c r="O8" s="92"/>
      <c r="P8" s="92"/>
      <c r="Q8" s="92"/>
      <c r="R8" s="92"/>
      <c r="S8" s="92"/>
      <c r="T8" s="92"/>
    </row>
    <row r="9" spans="1:20" ht="14.25" hidden="1" customHeight="1" x14ac:dyDescent="0.25">
      <c r="C9" s="87"/>
      <c r="D9" s="88"/>
      <c r="E9" s="88"/>
      <c r="F9" s="88"/>
      <c r="G9" s="88"/>
      <c r="H9" s="88"/>
      <c r="I9" s="88"/>
      <c r="J9" s="87"/>
      <c r="K9" s="91"/>
      <c r="L9" s="92"/>
      <c r="M9" s="92"/>
      <c r="N9" s="92"/>
      <c r="O9" s="92"/>
      <c r="P9" s="92"/>
      <c r="Q9" s="92"/>
      <c r="R9" s="92"/>
      <c r="S9" s="92"/>
      <c r="T9" s="92"/>
    </row>
    <row r="10" spans="1:20" ht="45" customHeight="1" x14ac:dyDescent="0.25">
      <c r="A10" s="487" t="s">
        <v>109</v>
      </c>
      <c r="B10" s="487"/>
      <c r="C10" s="87"/>
      <c r="D10" s="88"/>
      <c r="E10" s="88"/>
      <c r="F10" s="88"/>
      <c r="G10" s="88"/>
      <c r="H10" s="88"/>
      <c r="I10" s="88"/>
      <c r="J10" s="93" t="s">
        <v>371</v>
      </c>
      <c r="L10" s="92"/>
      <c r="M10" s="92"/>
      <c r="N10" s="92"/>
      <c r="O10" s="92"/>
      <c r="P10" s="92"/>
      <c r="Q10" s="92"/>
      <c r="R10" s="92"/>
      <c r="S10" s="92"/>
      <c r="T10" s="92"/>
    </row>
    <row r="11" spans="1:20" ht="18.75" x14ac:dyDescent="0.25">
      <c r="A11" s="488" t="s">
        <v>9</v>
      </c>
      <c r="B11" s="488"/>
      <c r="C11" s="229"/>
      <c r="D11" s="96"/>
      <c r="E11" s="96"/>
      <c r="F11" s="96"/>
      <c r="G11" s="96"/>
      <c r="H11" s="96"/>
      <c r="I11" s="96"/>
      <c r="J11" s="229"/>
      <c r="K11" s="99"/>
      <c r="L11" s="95"/>
      <c r="M11" s="95"/>
      <c r="N11" s="95"/>
      <c r="O11" s="95"/>
      <c r="P11" s="95"/>
      <c r="Q11" s="95"/>
      <c r="R11" s="95"/>
      <c r="S11" s="95"/>
      <c r="T11" s="95"/>
    </row>
    <row r="12" spans="1:20" x14ac:dyDescent="0.25">
      <c r="A12" s="486" t="s">
        <v>893</v>
      </c>
      <c r="B12" s="486"/>
      <c r="C12" s="6"/>
      <c r="H12" s="489"/>
      <c r="I12" s="489"/>
      <c r="J12" s="6"/>
    </row>
    <row r="13" spans="1:20" x14ac:dyDescent="0.25">
      <c r="C13" s="6"/>
      <c r="H13" s="5"/>
      <c r="J13" s="6"/>
    </row>
    <row r="14" spans="1:20" s="104" customFormat="1" ht="25.5" x14ac:dyDescent="0.25">
      <c r="A14" s="103"/>
      <c r="B14" s="490" t="s">
        <v>368</v>
      </c>
      <c r="C14" s="490"/>
      <c r="D14" s="490"/>
      <c r="E14" s="490"/>
      <c r="F14" s="490"/>
      <c r="G14" s="490"/>
      <c r="H14" s="490"/>
      <c r="I14" s="490"/>
      <c r="J14" s="490"/>
      <c r="K14" s="91"/>
    </row>
    <row r="15" spans="1:20" x14ac:dyDescent="0.25">
      <c r="B15" s="486" t="s">
        <v>1368</v>
      </c>
      <c r="C15" s="486"/>
      <c r="D15" s="486"/>
      <c r="E15" s="486"/>
      <c r="F15" s="486"/>
      <c r="G15" s="486"/>
      <c r="H15" s="486"/>
      <c r="I15" s="486"/>
      <c r="J15" s="486"/>
      <c r="K15" s="105"/>
    </row>
    <row r="16" spans="1:20" x14ac:dyDescent="0.25">
      <c r="C16" s="6"/>
      <c r="H16" s="5"/>
      <c r="J16" s="6"/>
      <c r="K16" s="105"/>
    </row>
    <row r="17" spans="1:24" x14ac:dyDescent="0.25">
      <c r="B17" s="5" t="s">
        <v>220</v>
      </c>
      <c r="C17" s="6"/>
      <c r="H17" s="5"/>
      <c r="J17" s="6" t="s">
        <v>797</v>
      </c>
      <c r="K17" s="105"/>
    </row>
    <row r="18" spans="1:24" x14ac:dyDescent="0.25">
      <c r="B18" s="5" t="s">
        <v>1367</v>
      </c>
      <c r="C18" s="6"/>
      <c r="H18" s="5"/>
      <c r="J18" s="6" t="s">
        <v>513</v>
      </c>
      <c r="K18" s="105"/>
    </row>
    <row r="19" spans="1:24" x14ac:dyDescent="0.25">
      <c r="C19" s="6"/>
      <c r="H19" s="5"/>
      <c r="J19" s="6" t="s">
        <v>514</v>
      </c>
      <c r="K19" s="105"/>
    </row>
    <row r="20" spans="1:24" x14ac:dyDescent="0.25">
      <c r="A20" s="106"/>
      <c r="B20" s="106"/>
      <c r="C20" s="108"/>
      <c r="D20" s="106"/>
      <c r="E20" s="106"/>
      <c r="F20" s="106"/>
      <c r="G20" s="106"/>
      <c r="H20" s="106"/>
      <c r="I20" s="106"/>
      <c r="J20" s="108"/>
      <c r="K20" s="111"/>
      <c r="L20" s="107"/>
    </row>
    <row r="21" spans="1:24" s="259" customFormat="1" ht="101.25" customHeight="1" x14ac:dyDescent="0.25">
      <c r="A21" s="451" t="s">
        <v>5</v>
      </c>
      <c r="B21" s="451" t="s">
        <v>10</v>
      </c>
      <c r="C21" s="452" t="s">
        <v>11</v>
      </c>
      <c r="D21" s="451" t="s">
        <v>6</v>
      </c>
      <c r="E21" s="451" t="s">
        <v>373</v>
      </c>
      <c r="F21" s="451" t="s">
        <v>404</v>
      </c>
      <c r="G21" s="451" t="s">
        <v>946</v>
      </c>
      <c r="H21" s="453" t="s">
        <v>406</v>
      </c>
      <c r="I21" s="454" t="s">
        <v>407</v>
      </c>
      <c r="J21" s="451" t="s">
        <v>408</v>
      </c>
      <c r="K21" s="468" t="s">
        <v>35</v>
      </c>
      <c r="L21" s="469" t="s">
        <v>108</v>
      </c>
      <c r="M21" s="260"/>
      <c r="N21" s="260"/>
      <c r="O21" s="260"/>
      <c r="P21" s="260"/>
      <c r="Q21" s="260"/>
      <c r="R21" s="264"/>
      <c r="S21" s="260"/>
      <c r="T21" s="260"/>
      <c r="U21" s="264"/>
    </row>
    <row r="22" spans="1:24" s="260" customFormat="1" ht="33" customHeight="1" x14ac:dyDescent="0.25">
      <c r="A22" s="466" t="s">
        <v>18</v>
      </c>
      <c r="B22" s="466"/>
      <c r="C22" s="466"/>
      <c r="D22" s="455"/>
      <c r="E22" s="455"/>
      <c r="F22" s="455"/>
      <c r="G22" s="455"/>
      <c r="H22" s="455"/>
      <c r="I22" s="455"/>
      <c r="J22" s="455"/>
      <c r="K22" s="470"/>
      <c r="L22" s="469"/>
      <c r="M22" s="260" t="s">
        <v>895</v>
      </c>
      <c r="N22" s="260" t="s">
        <v>896</v>
      </c>
      <c r="O22" s="260" t="s">
        <v>812</v>
      </c>
      <c r="P22" s="260" t="s">
        <v>813</v>
      </c>
      <c r="Q22" s="260" t="s">
        <v>827</v>
      </c>
      <c r="R22" s="260" t="s">
        <v>840</v>
      </c>
      <c r="S22" s="260" t="s">
        <v>897</v>
      </c>
      <c r="T22" s="260" t="s">
        <v>849</v>
      </c>
      <c r="U22" s="260" t="s">
        <v>852</v>
      </c>
      <c r="V22" s="260" t="s">
        <v>854</v>
      </c>
      <c r="W22" s="260" t="s">
        <v>858</v>
      </c>
      <c r="X22" s="260" t="s">
        <v>870</v>
      </c>
    </row>
    <row r="23" spans="1:24" s="258" customFormat="1" ht="27.75" customHeight="1" x14ac:dyDescent="0.25">
      <c r="A23" s="455">
        <v>1</v>
      </c>
      <c r="B23" s="455" t="s">
        <v>153</v>
      </c>
      <c r="C23" s="456" t="s">
        <v>54</v>
      </c>
      <c r="D23" s="455" t="s">
        <v>2</v>
      </c>
      <c r="E23" s="454">
        <v>2288</v>
      </c>
      <c r="F23" s="454">
        <v>1369</v>
      </c>
      <c r="G23" s="454">
        <f t="shared" ref="G23:G32" si="0">E23-F23</f>
        <v>919</v>
      </c>
      <c r="H23" s="454">
        <v>200</v>
      </c>
      <c r="I23" s="455"/>
      <c r="J23" s="457" t="s">
        <v>814</v>
      </c>
      <c r="K23" s="471">
        <v>0</v>
      </c>
      <c r="L23" s="455" t="s">
        <v>88</v>
      </c>
      <c r="M23" s="258" t="s">
        <v>895</v>
      </c>
      <c r="N23" s="258" t="s">
        <v>896</v>
      </c>
      <c r="P23" s="463" t="s">
        <v>813</v>
      </c>
      <c r="Q23" s="257" t="s">
        <v>827</v>
      </c>
      <c r="R23" s="257" t="s">
        <v>840</v>
      </c>
      <c r="S23" s="257"/>
      <c r="T23" s="257"/>
      <c r="U23" s="257"/>
    </row>
    <row r="24" spans="1:24" s="257" customFormat="1" ht="27.75" customHeight="1" x14ac:dyDescent="0.25">
      <c r="A24" s="455">
        <v>2</v>
      </c>
      <c r="B24" s="455" t="s">
        <v>153</v>
      </c>
      <c r="C24" s="456" t="s">
        <v>54</v>
      </c>
      <c r="D24" s="455" t="s">
        <v>2</v>
      </c>
      <c r="E24" s="454">
        <v>2288</v>
      </c>
      <c r="F24" s="454">
        <v>1369</v>
      </c>
      <c r="G24" s="454">
        <f t="shared" si="0"/>
        <v>919</v>
      </c>
      <c r="H24" s="454">
        <v>30</v>
      </c>
      <c r="I24" s="455"/>
      <c r="J24" s="457" t="s">
        <v>161</v>
      </c>
      <c r="K24" s="471">
        <v>0</v>
      </c>
      <c r="L24" s="456" t="s">
        <v>140</v>
      </c>
      <c r="M24" s="264" t="s">
        <v>895</v>
      </c>
      <c r="N24" s="259" t="s">
        <v>896</v>
      </c>
      <c r="O24" s="264" t="s">
        <v>812</v>
      </c>
      <c r="P24" s="260" t="s">
        <v>813</v>
      </c>
      <c r="Q24" s="264" t="s">
        <v>827</v>
      </c>
      <c r="R24" s="257" t="s">
        <v>840</v>
      </c>
    </row>
    <row r="25" spans="1:24" s="257" customFormat="1" ht="27.75" customHeight="1" x14ac:dyDescent="0.25">
      <c r="A25" s="455">
        <f>A24+1</f>
        <v>3</v>
      </c>
      <c r="B25" s="454" t="s">
        <v>141</v>
      </c>
      <c r="C25" s="457" t="s">
        <v>142</v>
      </c>
      <c r="D25" s="455" t="s">
        <v>2</v>
      </c>
      <c r="E25" s="454">
        <v>6240</v>
      </c>
      <c r="F25" s="454">
        <v>832</v>
      </c>
      <c r="G25" s="454">
        <f t="shared" si="0"/>
        <v>5408</v>
      </c>
      <c r="H25" s="454">
        <v>208</v>
      </c>
      <c r="I25" s="455"/>
      <c r="J25" s="457" t="s">
        <v>143</v>
      </c>
      <c r="K25" s="472"/>
      <c r="L25" s="456" t="s">
        <v>140</v>
      </c>
      <c r="M25" s="264" t="s">
        <v>895</v>
      </c>
      <c r="N25" s="259" t="s">
        <v>896</v>
      </c>
      <c r="O25" s="264" t="s">
        <v>812</v>
      </c>
      <c r="P25" s="260" t="s">
        <v>813</v>
      </c>
      <c r="Q25" s="264" t="s">
        <v>827</v>
      </c>
      <c r="R25" s="257" t="s">
        <v>840</v>
      </c>
    </row>
    <row r="26" spans="1:24" s="257" customFormat="1" ht="27.75" customHeight="1" x14ac:dyDescent="0.25">
      <c r="A26" s="455">
        <f t="shared" ref="A26:A50" si="1">A25+1</f>
        <v>4</v>
      </c>
      <c r="B26" s="454" t="s">
        <v>158</v>
      </c>
      <c r="C26" s="457" t="s">
        <v>159</v>
      </c>
      <c r="D26" s="455" t="s">
        <v>2</v>
      </c>
      <c r="E26" s="454">
        <v>624</v>
      </c>
      <c r="F26" s="454">
        <v>0</v>
      </c>
      <c r="G26" s="454">
        <f t="shared" si="0"/>
        <v>624</v>
      </c>
      <c r="H26" s="454">
        <v>60</v>
      </c>
      <c r="I26" s="455"/>
      <c r="J26" s="456" t="s">
        <v>160</v>
      </c>
      <c r="K26" s="472"/>
      <c r="L26" s="456" t="s">
        <v>140</v>
      </c>
      <c r="M26" s="264" t="s">
        <v>895</v>
      </c>
      <c r="N26" s="259" t="s">
        <v>896</v>
      </c>
      <c r="O26" s="264" t="s">
        <v>812</v>
      </c>
      <c r="P26" s="260" t="s">
        <v>813</v>
      </c>
      <c r="Q26" s="264" t="s">
        <v>827</v>
      </c>
      <c r="R26" s="257" t="s">
        <v>840</v>
      </c>
    </row>
    <row r="27" spans="1:24" s="258" customFormat="1" ht="27.75" customHeight="1" x14ac:dyDescent="0.25">
      <c r="A27" s="455">
        <f t="shared" si="1"/>
        <v>5</v>
      </c>
      <c r="B27" s="454" t="s">
        <v>515</v>
      </c>
      <c r="C27" s="457" t="s">
        <v>516</v>
      </c>
      <c r="D27" s="455" t="s">
        <v>2</v>
      </c>
      <c r="E27" s="454">
        <v>1944</v>
      </c>
      <c r="F27" s="454">
        <v>0</v>
      </c>
      <c r="G27" s="454">
        <f t="shared" si="0"/>
        <v>1944</v>
      </c>
      <c r="H27" s="454">
        <v>100</v>
      </c>
      <c r="I27" s="455"/>
      <c r="J27" s="457" t="s">
        <v>160</v>
      </c>
      <c r="K27" s="471"/>
      <c r="L27" s="454" t="s">
        <v>88</v>
      </c>
      <c r="M27" s="465" t="s">
        <v>895</v>
      </c>
      <c r="N27" s="465"/>
      <c r="O27" s="465"/>
      <c r="P27" s="463"/>
      <c r="Q27" s="386" t="s">
        <v>827</v>
      </c>
      <c r="R27" s="257" t="s">
        <v>840</v>
      </c>
      <c r="S27" s="386"/>
      <c r="T27" s="257"/>
      <c r="U27" s="257"/>
    </row>
    <row r="28" spans="1:24" s="258" customFormat="1" ht="27.75" customHeight="1" x14ac:dyDescent="0.25">
      <c r="A28" s="455">
        <v>6</v>
      </c>
      <c r="B28" s="454" t="s">
        <v>850</v>
      </c>
      <c r="C28" s="457" t="s">
        <v>633</v>
      </c>
      <c r="D28" s="455" t="s">
        <v>2</v>
      </c>
      <c r="E28" s="454">
        <v>927</v>
      </c>
      <c r="F28" s="454">
        <v>300</v>
      </c>
      <c r="G28" s="454">
        <f t="shared" si="0"/>
        <v>627</v>
      </c>
      <c r="H28" s="458">
        <v>50</v>
      </c>
      <c r="I28" s="455"/>
      <c r="J28" s="456" t="s">
        <v>851</v>
      </c>
      <c r="K28" s="471"/>
      <c r="L28" s="454" t="s">
        <v>88</v>
      </c>
      <c r="M28" s="465" t="s">
        <v>895</v>
      </c>
      <c r="N28" s="465" t="s">
        <v>896</v>
      </c>
      <c r="O28" s="465"/>
      <c r="P28" s="463" t="s">
        <v>813</v>
      </c>
      <c r="Q28" s="386" t="s">
        <v>827</v>
      </c>
      <c r="R28" s="386" t="s">
        <v>840</v>
      </c>
      <c r="S28" s="386"/>
      <c r="T28" s="257"/>
      <c r="U28" s="257"/>
    </row>
    <row r="29" spans="1:24" s="259" customFormat="1" ht="21.75" hidden="1" customHeight="1" x14ac:dyDescent="0.25">
      <c r="A29" s="455">
        <v>4</v>
      </c>
      <c r="B29" s="454" t="s">
        <v>850</v>
      </c>
      <c r="C29" s="457" t="s">
        <v>633</v>
      </c>
      <c r="D29" s="455" t="s">
        <v>2</v>
      </c>
      <c r="E29" s="454">
        <v>927</v>
      </c>
      <c r="F29" s="454">
        <v>0</v>
      </c>
      <c r="G29" s="454">
        <f t="shared" si="0"/>
        <v>927</v>
      </c>
      <c r="H29" s="458">
        <v>250</v>
      </c>
      <c r="I29" s="455"/>
      <c r="J29" s="456" t="s">
        <v>1177</v>
      </c>
      <c r="K29" s="471"/>
      <c r="L29" s="454" t="s">
        <v>140</v>
      </c>
      <c r="M29" s="279" t="s">
        <v>895</v>
      </c>
      <c r="N29" s="279" t="s">
        <v>896</v>
      </c>
      <c r="O29" s="279" t="s">
        <v>812</v>
      </c>
      <c r="P29" s="260" t="s">
        <v>813</v>
      </c>
      <c r="Q29" s="280"/>
      <c r="R29" s="280"/>
      <c r="S29" s="280"/>
      <c r="T29" s="264"/>
      <c r="U29" s="264"/>
    </row>
    <row r="30" spans="1:24" s="258" customFormat="1" ht="34.5" customHeight="1" x14ac:dyDescent="0.25">
      <c r="A30" s="455">
        <v>7</v>
      </c>
      <c r="B30" s="454" t="s">
        <v>806</v>
      </c>
      <c r="C30" s="457" t="s">
        <v>807</v>
      </c>
      <c r="D30" s="454" t="s">
        <v>2</v>
      </c>
      <c r="E30" s="454">
        <v>2562</v>
      </c>
      <c r="F30" s="454">
        <v>0</v>
      </c>
      <c r="G30" s="454">
        <f t="shared" si="0"/>
        <v>2562</v>
      </c>
      <c r="H30" s="454">
        <f>VLOOKUP(B30,'[1]Tháng 7.2025'!$B$23:$H$153,7,0)</f>
        <v>208</v>
      </c>
      <c r="I30" s="455"/>
      <c r="J30" s="457" t="s">
        <v>833</v>
      </c>
      <c r="K30" s="472">
        <v>1076</v>
      </c>
      <c r="L30" s="455" t="s">
        <v>88</v>
      </c>
      <c r="M30" s="258" t="s">
        <v>895</v>
      </c>
      <c r="N30" s="258" t="s">
        <v>896</v>
      </c>
      <c r="P30" s="463" t="s">
        <v>813</v>
      </c>
      <c r="Q30" s="257" t="s">
        <v>827</v>
      </c>
      <c r="R30" s="257" t="s">
        <v>840</v>
      </c>
      <c r="S30" s="257"/>
      <c r="T30" s="257"/>
      <c r="U30" s="257"/>
    </row>
    <row r="31" spans="1:24" s="258" customFormat="1" ht="34.5" customHeight="1" x14ac:dyDescent="0.25">
      <c r="A31" s="455">
        <v>8</v>
      </c>
      <c r="B31" s="454" t="s">
        <v>3</v>
      </c>
      <c r="C31" s="457" t="s">
        <v>4</v>
      </c>
      <c r="D31" s="455" t="s">
        <v>2</v>
      </c>
      <c r="E31" s="454">
        <v>1725</v>
      </c>
      <c r="F31" s="454">
        <v>0</v>
      </c>
      <c r="G31" s="454">
        <f t="shared" si="0"/>
        <v>1725</v>
      </c>
      <c r="H31" s="454">
        <v>200</v>
      </c>
      <c r="I31" s="455"/>
      <c r="J31" s="457" t="s">
        <v>823</v>
      </c>
      <c r="K31" s="472" t="s">
        <v>843</v>
      </c>
      <c r="L31" s="455" t="s">
        <v>88</v>
      </c>
      <c r="M31" s="258" t="s">
        <v>895</v>
      </c>
      <c r="N31" s="258" t="s">
        <v>896</v>
      </c>
      <c r="P31" s="463" t="s">
        <v>813</v>
      </c>
      <c r="Q31" s="257" t="s">
        <v>827</v>
      </c>
      <c r="R31" s="257" t="s">
        <v>840</v>
      </c>
      <c r="S31" s="257"/>
      <c r="T31" s="257"/>
      <c r="U31" s="257"/>
    </row>
    <row r="32" spans="1:24" s="259" customFormat="1" ht="21.75" hidden="1" customHeight="1" x14ac:dyDescent="0.25">
      <c r="A32" s="455">
        <f t="shared" si="1"/>
        <v>9</v>
      </c>
      <c r="B32" s="454" t="s">
        <v>1064</v>
      </c>
      <c r="C32" s="457" t="s">
        <v>1065</v>
      </c>
      <c r="D32" s="455" t="s">
        <v>2</v>
      </c>
      <c r="E32" s="454">
        <v>585</v>
      </c>
      <c r="F32" s="454">
        <v>0</v>
      </c>
      <c r="G32" s="454">
        <f t="shared" si="0"/>
        <v>585</v>
      </c>
      <c r="H32" s="454"/>
      <c r="I32" s="455"/>
      <c r="J32" s="457" t="s">
        <v>824</v>
      </c>
      <c r="K32" s="472"/>
      <c r="L32" s="455" t="s">
        <v>88</v>
      </c>
      <c r="M32" s="259" t="s">
        <v>895</v>
      </c>
      <c r="N32" s="259" t="s">
        <v>896</v>
      </c>
      <c r="P32" s="260" t="s">
        <v>813</v>
      </c>
      <c r="Q32" s="264"/>
      <c r="R32" s="264"/>
      <c r="S32" s="264"/>
      <c r="T32" s="264"/>
      <c r="U32" s="264"/>
    </row>
    <row r="33" spans="1:21" s="259" customFormat="1" ht="21.75" hidden="1" customHeight="1" x14ac:dyDescent="0.25">
      <c r="A33" s="455">
        <f>A34+1</f>
        <v>10</v>
      </c>
      <c r="B33" s="454" t="s">
        <v>566</v>
      </c>
      <c r="C33" s="457" t="s">
        <v>1181</v>
      </c>
      <c r="D33" s="455" t="s">
        <v>2</v>
      </c>
      <c r="E33" s="454"/>
      <c r="F33" s="454"/>
      <c r="G33" s="454"/>
      <c r="H33" s="454">
        <v>1253</v>
      </c>
      <c r="I33" s="455"/>
      <c r="J33" s="457" t="s">
        <v>1182</v>
      </c>
      <c r="K33" s="472"/>
      <c r="L33" s="455" t="s">
        <v>140</v>
      </c>
      <c r="M33" s="259" t="s">
        <v>895</v>
      </c>
      <c r="N33" s="259" t="s">
        <v>896</v>
      </c>
      <c r="O33" s="259" t="s">
        <v>812</v>
      </c>
      <c r="P33" s="260" t="s">
        <v>813</v>
      </c>
      <c r="Q33" s="264"/>
      <c r="R33" s="264"/>
      <c r="S33" s="264"/>
      <c r="T33" s="264"/>
      <c r="U33" s="264"/>
    </row>
    <row r="34" spans="1:21" s="259" customFormat="1" ht="34.5" customHeight="1" x14ac:dyDescent="0.25">
      <c r="A34" s="455">
        <v>9</v>
      </c>
      <c r="B34" s="454" t="s">
        <v>46</v>
      </c>
      <c r="C34" s="457" t="s">
        <v>1179</v>
      </c>
      <c r="D34" s="455" t="s">
        <v>2</v>
      </c>
      <c r="E34" s="454">
        <v>1717</v>
      </c>
      <c r="F34" s="454">
        <v>0</v>
      </c>
      <c r="G34" s="454">
        <v>0</v>
      </c>
      <c r="H34" s="454">
        <v>50</v>
      </c>
      <c r="I34" s="455"/>
      <c r="J34" s="457" t="s">
        <v>1180</v>
      </c>
      <c r="K34" s="472"/>
      <c r="L34" s="455" t="s">
        <v>140</v>
      </c>
      <c r="M34" s="259" t="s">
        <v>895</v>
      </c>
      <c r="N34" s="259" t="s">
        <v>896</v>
      </c>
      <c r="O34" s="259" t="s">
        <v>812</v>
      </c>
      <c r="P34" s="260" t="s">
        <v>813</v>
      </c>
      <c r="Q34" s="264" t="s">
        <v>827</v>
      </c>
      <c r="R34" s="264" t="s">
        <v>840</v>
      </c>
      <c r="S34" s="264"/>
      <c r="T34" s="264"/>
      <c r="U34" s="264"/>
    </row>
    <row r="35" spans="1:21" s="259" customFormat="1" ht="21.75" hidden="1" customHeight="1" x14ac:dyDescent="0.25">
      <c r="A35" s="455">
        <f>A33+1</f>
        <v>11</v>
      </c>
      <c r="B35" s="454" t="s">
        <v>56</v>
      </c>
      <c r="C35" s="457" t="s">
        <v>57</v>
      </c>
      <c r="D35" s="455" t="s">
        <v>2</v>
      </c>
      <c r="E35" s="454">
        <v>4389</v>
      </c>
      <c r="F35" s="454">
        <v>0</v>
      </c>
      <c r="G35" s="454">
        <f t="shared" ref="G35:G47" si="2">E35-F35</f>
        <v>4389</v>
      </c>
      <c r="H35" s="454">
        <v>600</v>
      </c>
      <c r="I35" s="455"/>
      <c r="J35" s="457" t="s">
        <v>1178</v>
      </c>
      <c r="K35" s="472"/>
      <c r="L35" s="455" t="s">
        <v>140</v>
      </c>
      <c r="M35" s="259" t="s">
        <v>895</v>
      </c>
      <c r="N35" s="259" t="s">
        <v>896</v>
      </c>
      <c r="O35" s="259" t="s">
        <v>812</v>
      </c>
      <c r="P35" s="260" t="s">
        <v>813</v>
      </c>
      <c r="Q35" s="264"/>
      <c r="R35" s="264"/>
      <c r="S35" s="264"/>
      <c r="T35" s="264"/>
      <c r="U35" s="264"/>
    </row>
    <row r="36" spans="1:21" s="259" customFormat="1" ht="36.75" hidden="1" customHeight="1" x14ac:dyDescent="0.25">
      <c r="A36" s="455">
        <f t="shared" si="1"/>
        <v>12</v>
      </c>
      <c r="B36" s="454" t="s">
        <v>56</v>
      </c>
      <c r="C36" s="457" t="s">
        <v>57</v>
      </c>
      <c r="D36" s="455" t="s">
        <v>2</v>
      </c>
      <c r="E36" s="454">
        <v>4389</v>
      </c>
      <c r="F36" s="454">
        <v>0</v>
      </c>
      <c r="G36" s="454">
        <f t="shared" si="2"/>
        <v>4389</v>
      </c>
      <c r="H36" s="454">
        <v>20</v>
      </c>
      <c r="I36" s="455"/>
      <c r="J36" s="457" t="s">
        <v>1313</v>
      </c>
      <c r="K36" s="472"/>
      <c r="L36" s="455" t="s">
        <v>76</v>
      </c>
      <c r="P36" s="260" t="s">
        <v>813</v>
      </c>
      <c r="Q36" s="264"/>
      <c r="R36" s="264"/>
      <c r="S36" s="264"/>
      <c r="T36" s="264"/>
      <c r="U36" s="264"/>
    </row>
    <row r="37" spans="1:21" s="258" customFormat="1" ht="30" customHeight="1" x14ac:dyDescent="0.25">
      <c r="A37" s="455">
        <v>10</v>
      </c>
      <c r="B37" s="454" t="s">
        <v>56</v>
      </c>
      <c r="C37" s="457" t="s">
        <v>57</v>
      </c>
      <c r="D37" s="455" t="s">
        <v>2</v>
      </c>
      <c r="E37" s="454">
        <v>4389</v>
      </c>
      <c r="F37" s="454">
        <v>654</v>
      </c>
      <c r="G37" s="454">
        <f t="shared" si="2"/>
        <v>3735</v>
      </c>
      <c r="H37" s="454">
        <v>209</v>
      </c>
      <c r="I37" s="455"/>
      <c r="J37" s="457" t="s">
        <v>1365</v>
      </c>
      <c r="K37" s="472"/>
      <c r="L37" s="455" t="s">
        <v>88</v>
      </c>
      <c r="P37" s="463" t="s">
        <v>813</v>
      </c>
      <c r="Q37" s="257" t="s">
        <v>827</v>
      </c>
      <c r="R37" s="257" t="s">
        <v>840</v>
      </c>
      <c r="S37" s="257"/>
      <c r="T37" s="257"/>
      <c r="U37" s="257"/>
    </row>
    <row r="38" spans="1:21" s="258" customFormat="1" ht="30" customHeight="1" x14ac:dyDescent="0.25">
      <c r="A38" s="455">
        <v>11</v>
      </c>
      <c r="B38" s="454" t="s">
        <v>79</v>
      </c>
      <c r="C38" s="457" t="s">
        <v>80</v>
      </c>
      <c r="D38" s="455" t="s">
        <v>2</v>
      </c>
      <c r="E38" s="454">
        <v>4389</v>
      </c>
      <c r="F38" s="454">
        <v>0</v>
      </c>
      <c r="G38" s="454">
        <f t="shared" si="2"/>
        <v>4389</v>
      </c>
      <c r="H38" s="454">
        <v>200</v>
      </c>
      <c r="I38" s="455"/>
      <c r="J38" s="457" t="s">
        <v>1314</v>
      </c>
      <c r="K38" s="472" t="s">
        <v>88</v>
      </c>
      <c r="L38" s="455" t="s">
        <v>88</v>
      </c>
      <c r="N38" s="258" t="s">
        <v>896</v>
      </c>
      <c r="P38" s="463" t="s">
        <v>813</v>
      </c>
      <c r="Q38" s="257" t="s">
        <v>827</v>
      </c>
      <c r="R38" s="257" t="s">
        <v>840</v>
      </c>
      <c r="S38" s="257"/>
      <c r="T38" s="257"/>
      <c r="U38" s="257"/>
    </row>
    <row r="39" spans="1:21" s="258" customFormat="1" ht="30" customHeight="1" x14ac:dyDescent="0.25">
      <c r="A39" s="455">
        <v>12</v>
      </c>
      <c r="B39" s="454" t="s">
        <v>447</v>
      </c>
      <c r="C39" s="457" t="s">
        <v>701</v>
      </c>
      <c r="D39" s="455" t="s">
        <v>2</v>
      </c>
      <c r="E39" s="454">
        <v>2374</v>
      </c>
      <c r="F39" s="454">
        <v>0</v>
      </c>
      <c r="G39" s="454">
        <f t="shared" si="2"/>
        <v>2374</v>
      </c>
      <c r="H39" s="454">
        <v>300</v>
      </c>
      <c r="I39" s="455"/>
      <c r="J39" s="456" t="s">
        <v>778</v>
      </c>
      <c r="K39" s="472"/>
      <c r="L39" s="455" t="s">
        <v>88</v>
      </c>
      <c r="M39" s="258" t="s">
        <v>895</v>
      </c>
      <c r="N39" s="258" t="s">
        <v>896</v>
      </c>
      <c r="P39" s="463" t="s">
        <v>813</v>
      </c>
      <c r="Q39" s="257" t="s">
        <v>827</v>
      </c>
      <c r="R39" s="257" t="s">
        <v>840</v>
      </c>
      <c r="S39" s="257"/>
      <c r="T39" s="257"/>
      <c r="U39" s="257"/>
    </row>
    <row r="40" spans="1:21" s="257" customFormat="1" ht="30" customHeight="1" x14ac:dyDescent="0.25">
      <c r="A40" s="455">
        <v>13</v>
      </c>
      <c r="B40" s="454" t="s">
        <v>83</v>
      </c>
      <c r="C40" s="457" t="s">
        <v>1022</v>
      </c>
      <c r="D40" s="455" t="s">
        <v>2</v>
      </c>
      <c r="E40" s="454">
        <v>4158</v>
      </c>
      <c r="F40" s="454">
        <v>0</v>
      </c>
      <c r="G40" s="454">
        <f>E40-F40</f>
        <v>4158</v>
      </c>
      <c r="H40" s="458">
        <v>200</v>
      </c>
      <c r="I40" s="455"/>
      <c r="J40" s="456" t="s">
        <v>778</v>
      </c>
      <c r="K40" s="472"/>
      <c r="L40" s="455" t="s">
        <v>88</v>
      </c>
      <c r="N40" s="464" t="s">
        <v>896</v>
      </c>
      <c r="P40" s="463" t="s">
        <v>813</v>
      </c>
      <c r="Q40" s="257" t="s">
        <v>827</v>
      </c>
      <c r="R40" s="257" t="s">
        <v>840</v>
      </c>
    </row>
    <row r="41" spans="1:21" s="259" customFormat="1" ht="46.5" customHeight="1" x14ac:dyDescent="0.25">
      <c r="A41" s="455">
        <v>14</v>
      </c>
      <c r="B41" s="454" t="s">
        <v>447</v>
      </c>
      <c r="C41" s="457" t="s">
        <v>448</v>
      </c>
      <c r="D41" s="455" t="s">
        <v>2</v>
      </c>
      <c r="E41" s="454">
        <v>2374</v>
      </c>
      <c r="F41" s="454">
        <v>0</v>
      </c>
      <c r="G41" s="454">
        <f t="shared" si="2"/>
        <v>2374</v>
      </c>
      <c r="H41" s="454">
        <v>200</v>
      </c>
      <c r="I41" s="455"/>
      <c r="J41" s="457" t="s">
        <v>869</v>
      </c>
      <c r="K41" s="472"/>
      <c r="L41" s="455" t="s">
        <v>88</v>
      </c>
      <c r="Q41" s="264"/>
      <c r="R41" s="257" t="s">
        <v>840</v>
      </c>
      <c r="S41" s="264"/>
      <c r="T41" s="264"/>
      <c r="U41" s="264"/>
    </row>
    <row r="42" spans="1:21" s="258" customFormat="1" ht="57.75" customHeight="1" x14ac:dyDescent="0.25">
      <c r="A42" s="455">
        <f t="shared" si="1"/>
        <v>15</v>
      </c>
      <c r="B42" s="454" t="s">
        <v>85</v>
      </c>
      <c r="C42" s="457" t="s">
        <v>86</v>
      </c>
      <c r="D42" s="455" t="s">
        <v>2</v>
      </c>
      <c r="E42" s="454">
        <v>4082</v>
      </c>
      <c r="F42" s="454">
        <v>0</v>
      </c>
      <c r="G42" s="454">
        <f t="shared" si="2"/>
        <v>4082</v>
      </c>
      <c r="H42" s="454">
        <v>200</v>
      </c>
      <c r="I42" s="455"/>
      <c r="J42" s="457" t="s">
        <v>219</v>
      </c>
      <c r="K42" s="472">
        <v>6843</v>
      </c>
      <c r="L42" s="455" t="s">
        <v>140</v>
      </c>
      <c r="M42" s="258" t="s">
        <v>895</v>
      </c>
      <c r="N42" s="258" t="s">
        <v>896</v>
      </c>
      <c r="O42" s="258" t="s">
        <v>812</v>
      </c>
      <c r="P42" s="463" t="s">
        <v>813</v>
      </c>
      <c r="Q42" s="257"/>
      <c r="R42" s="257" t="s">
        <v>840</v>
      </c>
      <c r="S42" s="257"/>
      <c r="T42" s="257"/>
      <c r="U42" s="257"/>
    </row>
    <row r="43" spans="1:21" s="264" customFormat="1" ht="21.75" hidden="1" customHeight="1" x14ac:dyDescent="0.25">
      <c r="A43" s="455">
        <f>A40+1</f>
        <v>14</v>
      </c>
      <c r="B43" s="454" t="s">
        <v>816</v>
      </c>
      <c r="C43" s="457" t="s">
        <v>817</v>
      </c>
      <c r="D43" s="455" t="s">
        <v>2</v>
      </c>
      <c r="E43" s="454">
        <v>0</v>
      </c>
      <c r="F43" s="454">
        <v>0</v>
      </c>
      <c r="G43" s="454">
        <f t="shared" si="2"/>
        <v>0</v>
      </c>
      <c r="H43" s="454">
        <v>300</v>
      </c>
      <c r="I43" s="455"/>
      <c r="J43" s="457" t="s">
        <v>957</v>
      </c>
      <c r="K43" s="472"/>
      <c r="L43" s="456" t="s">
        <v>140</v>
      </c>
      <c r="N43" s="281" t="s">
        <v>896</v>
      </c>
      <c r="P43" s="260" t="s">
        <v>813</v>
      </c>
    </row>
    <row r="44" spans="1:21" s="257" customFormat="1" ht="34.5" customHeight="1" x14ac:dyDescent="0.25">
      <c r="A44" s="455">
        <v>16</v>
      </c>
      <c r="B44" s="454" t="s">
        <v>25</v>
      </c>
      <c r="C44" s="457" t="s">
        <v>703</v>
      </c>
      <c r="D44" s="455" t="s">
        <v>2</v>
      </c>
      <c r="E44" s="454">
        <v>50</v>
      </c>
      <c r="F44" s="454">
        <v>0</v>
      </c>
      <c r="G44" s="454">
        <f t="shared" si="2"/>
        <v>50</v>
      </c>
      <c r="H44" s="454">
        <f>VLOOKUP(B44,'[1]Tháng 7.2025'!$B$23:$H$153,7,0)</f>
        <v>200</v>
      </c>
      <c r="I44" s="455"/>
      <c r="J44" s="457" t="s">
        <v>815</v>
      </c>
      <c r="K44" s="472"/>
      <c r="L44" s="456" t="s">
        <v>88</v>
      </c>
      <c r="M44" s="257" t="s">
        <v>895</v>
      </c>
      <c r="N44" s="257" t="s">
        <v>896</v>
      </c>
      <c r="P44" s="463" t="s">
        <v>813</v>
      </c>
      <c r="Q44" s="257" t="s">
        <v>827</v>
      </c>
      <c r="R44" s="257" t="s">
        <v>840</v>
      </c>
    </row>
    <row r="45" spans="1:21" s="258" customFormat="1" ht="45" customHeight="1" x14ac:dyDescent="0.25">
      <c r="A45" s="455">
        <f t="shared" si="1"/>
        <v>17</v>
      </c>
      <c r="B45" s="454" t="s">
        <v>24</v>
      </c>
      <c r="C45" s="457" t="s">
        <v>43</v>
      </c>
      <c r="D45" s="455" t="s">
        <v>2</v>
      </c>
      <c r="E45" s="454">
        <v>50</v>
      </c>
      <c r="F45" s="454">
        <v>0</v>
      </c>
      <c r="G45" s="454">
        <f t="shared" si="2"/>
        <v>50</v>
      </c>
      <c r="H45" s="454">
        <v>200</v>
      </c>
      <c r="I45" s="455"/>
      <c r="J45" s="457" t="s">
        <v>815</v>
      </c>
      <c r="K45" s="472"/>
      <c r="L45" s="456" t="s">
        <v>88</v>
      </c>
      <c r="M45" s="257" t="s">
        <v>895</v>
      </c>
      <c r="Q45" s="257"/>
      <c r="R45" s="257" t="s">
        <v>840</v>
      </c>
      <c r="S45" s="257"/>
      <c r="T45" s="257"/>
      <c r="U45" s="257"/>
    </row>
    <row r="46" spans="1:21" s="258" customFormat="1" ht="57.75" customHeight="1" x14ac:dyDescent="0.25">
      <c r="A46" s="455">
        <f t="shared" si="1"/>
        <v>18</v>
      </c>
      <c r="B46" s="455" t="s">
        <v>841</v>
      </c>
      <c r="C46" s="457" t="s">
        <v>842</v>
      </c>
      <c r="D46" s="454" t="s">
        <v>2</v>
      </c>
      <c r="E46" s="454">
        <v>2740</v>
      </c>
      <c r="F46" s="454">
        <v>0</v>
      </c>
      <c r="G46" s="454">
        <f t="shared" si="2"/>
        <v>2740</v>
      </c>
      <c r="H46" s="454">
        <v>40</v>
      </c>
      <c r="I46" s="455"/>
      <c r="J46" s="457" t="s">
        <v>1366</v>
      </c>
      <c r="K46" s="471" t="s">
        <v>110</v>
      </c>
      <c r="L46" s="455" t="s">
        <v>140</v>
      </c>
      <c r="M46" s="258" t="s">
        <v>895</v>
      </c>
      <c r="N46" s="258" t="s">
        <v>896</v>
      </c>
      <c r="O46" s="258" t="s">
        <v>812</v>
      </c>
      <c r="P46" s="258" t="s">
        <v>813</v>
      </c>
      <c r="Q46" s="257" t="s">
        <v>827</v>
      </c>
      <c r="R46" s="257" t="s">
        <v>840</v>
      </c>
      <c r="S46" s="257"/>
      <c r="T46" s="257"/>
      <c r="U46" s="257"/>
    </row>
    <row r="47" spans="1:21" s="259" customFormat="1" ht="96.75" customHeight="1" x14ac:dyDescent="0.25">
      <c r="A47" s="455">
        <f t="shared" si="1"/>
        <v>19</v>
      </c>
      <c r="B47" s="454" t="s">
        <v>81</v>
      </c>
      <c r="C47" s="457" t="s">
        <v>82</v>
      </c>
      <c r="D47" s="455" t="s">
        <v>66</v>
      </c>
      <c r="E47" s="454">
        <v>0</v>
      </c>
      <c r="F47" s="454">
        <v>0</v>
      </c>
      <c r="G47" s="454">
        <f t="shared" si="2"/>
        <v>0</v>
      </c>
      <c r="H47" s="454">
        <v>540</v>
      </c>
      <c r="I47" s="455"/>
      <c r="J47" s="457" t="s">
        <v>1059</v>
      </c>
      <c r="K47" s="472">
        <v>9385</v>
      </c>
      <c r="L47" s="455" t="s">
        <v>88</v>
      </c>
      <c r="P47" s="260"/>
      <c r="Q47" s="264"/>
      <c r="R47" s="257" t="s">
        <v>840</v>
      </c>
      <c r="S47" s="264"/>
      <c r="T47" s="264"/>
      <c r="U47" s="264"/>
    </row>
    <row r="48" spans="1:21" s="258" customFormat="1" ht="38.25" customHeight="1" x14ac:dyDescent="0.25">
      <c r="A48" s="455">
        <f t="shared" si="1"/>
        <v>20</v>
      </c>
      <c r="B48" s="454" t="s">
        <v>945</v>
      </c>
      <c r="C48" s="457" t="s">
        <v>878</v>
      </c>
      <c r="D48" s="455" t="s">
        <v>66</v>
      </c>
      <c r="E48" s="454">
        <v>0</v>
      </c>
      <c r="F48" s="454">
        <v>880</v>
      </c>
      <c r="G48" s="454"/>
      <c r="H48" s="454">
        <v>3000</v>
      </c>
      <c r="I48" s="455"/>
      <c r="J48" s="457" t="s">
        <v>853</v>
      </c>
      <c r="K48" s="472">
        <v>9385</v>
      </c>
      <c r="L48" s="454" t="s">
        <v>140</v>
      </c>
      <c r="M48" s="258" t="s">
        <v>895</v>
      </c>
      <c r="N48" s="258" t="s">
        <v>896</v>
      </c>
      <c r="O48" s="258" t="s">
        <v>812</v>
      </c>
      <c r="P48" s="258" t="s">
        <v>813</v>
      </c>
      <c r="Q48" s="257" t="s">
        <v>827</v>
      </c>
      <c r="R48" s="257" t="s">
        <v>840</v>
      </c>
      <c r="S48" s="257"/>
      <c r="T48" s="257"/>
      <c r="U48" s="257"/>
    </row>
    <row r="49" spans="1:21" s="259" customFormat="1" ht="41.25" hidden="1" customHeight="1" x14ac:dyDescent="0.25">
      <c r="A49" s="455">
        <f t="shared" si="1"/>
        <v>21</v>
      </c>
      <c r="B49" s="454" t="s">
        <v>415</v>
      </c>
      <c r="C49" s="457" t="s">
        <v>950</v>
      </c>
      <c r="D49" s="455" t="s">
        <v>66</v>
      </c>
      <c r="E49" s="454">
        <v>3553.5790576240001</v>
      </c>
      <c r="F49" s="454">
        <v>0</v>
      </c>
      <c r="G49" s="454">
        <f>E49-F49</f>
        <v>3553.5790576240001</v>
      </c>
      <c r="H49" s="454">
        <v>510</v>
      </c>
      <c r="I49" s="455"/>
      <c r="J49" s="457" t="s">
        <v>951</v>
      </c>
      <c r="K49" s="472"/>
      <c r="L49" s="455" t="s">
        <v>76</v>
      </c>
      <c r="N49" s="259" t="s">
        <v>896</v>
      </c>
      <c r="O49" s="259" t="s">
        <v>812</v>
      </c>
      <c r="P49" s="259" t="s">
        <v>813</v>
      </c>
      <c r="Q49" s="264"/>
      <c r="R49" s="264"/>
      <c r="S49" s="264"/>
      <c r="T49" s="264"/>
      <c r="U49" s="264"/>
    </row>
    <row r="50" spans="1:21" s="259" customFormat="1" ht="39" hidden="1" customHeight="1" x14ac:dyDescent="0.25">
      <c r="A50" s="455">
        <f t="shared" si="1"/>
        <v>22</v>
      </c>
      <c r="B50" s="454" t="s">
        <v>705</v>
      </c>
      <c r="C50" s="457" t="s">
        <v>706</v>
      </c>
      <c r="D50" s="455" t="s">
        <v>2</v>
      </c>
      <c r="E50" s="454">
        <f>VLOOKUP(B50,'[1]Tháng 7.2025'!$B$23:$H$153,4,0)</f>
        <v>0</v>
      </c>
      <c r="F50" s="454">
        <f>VLOOKUP(B50,'[1]Tháng 7.2025'!$B$23:$H$153,5,0)</f>
        <v>0</v>
      </c>
      <c r="G50" s="454">
        <f>E50-F50</f>
        <v>0</v>
      </c>
      <c r="H50" s="454">
        <v>0</v>
      </c>
      <c r="I50" s="455"/>
      <c r="J50" s="457" t="s">
        <v>707</v>
      </c>
      <c r="K50" s="472"/>
      <c r="L50" s="455" t="s">
        <v>88</v>
      </c>
      <c r="Q50" s="264"/>
      <c r="R50" s="264"/>
      <c r="S50" s="264"/>
      <c r="T50" s="264"/>
      <c r="U50" s="264"/>
    </row>
    <row r="51" spans="1:21" s="258" customFormat="1" ht="39" customHeight="1" x14ac:dyDescent="0.25">
      <c r="A51" s="455">
        <v>21</v>
      </c>
      <c r="B51" s="454" t="s">
        <v>495</v>
      </c>
      <c r="C51" s="457" t="s">
        <v>1311</v>
      </c>
      <c r="D51" s="455" t="s">
        <v>2</v>
      </c>
      <c r="E51" s="454">
        <v>482.6</v>
      </c>
      <c r="F51" s="454"/>
      <c r="G51" s="454"/>
      <c r="H51" s="454">
        <v>200</v>
      </c>
      <c r="I51" s="455"/>
      <c r="J51" s="473" t="s">
        <v>1312</v>
      </c>
      <c r="K51" s="472"/>
      <c r="L51" s="455" t="s">
        <v>88</v>
      </c>
      <c r="P51" s="258" t="s">
        <v>813</v>
      </c>
      <c r="Q51" s="257" t="s">
        <v>827</v>
      </c>
      <c r="R51" s="257" t="s">
        <v>840</v>
      </c>
      <c r="S51" s="257"/>
      <c r="T51" s="257"/>
      <c r="U51" s="257"/>
    </row>
    <row r="52" spans="1:21" s="258" customFormat="1" ht="39" hidden="1" customHeight="1" x14ac:dyDescent="0.25">
      <c r="A52" s="455"/>
      <c r="B52" s="454" t="s">
        <v>203</v>
      </c>
      <c r="C52" s="457" t="s">
        <v>204</v>
      </c>
      <c r="D52" s="455" t="s">
        <v>2</v>
      </c>
      <c r="E52" s="454">
        <v>1256</v>
      </c>
      <c r="F52" s="454"/>
      <c r="G52" s="454"/>
      <c r="H52" s="454">
        <v>0</v>
      </c>
      <c r="I52" s="455"/>
      <c r="J52" s="473" t="s">
        <v>510</v>
      </c>
      <c r="K52" s="472"/>
      <c r="L52" s="455" t="s">
        <v>88</v>
      </c>
      <c r="Q52" s="257" t="s">
        <v>827</v>
      </c>
      <c r="R52" s="257"/>
      <c r="S52" s="257"/>
      <c r="T52" s="257"/>
      <c r="U52" s="257"/>
    </row>
    <row r="53" spans="1:21" s="259" customFormat="1" ht="46.5" hidden="1" customHeight="1" x14ac:dyDescent="0.25">
      <c r="A53" s="455">
        <f>A50+1</f>
        <v>23</v>
      </c>
      <c r="B53" s="454" t="s">
        <v>866</v>
      </c>
      <c r="C53" s="457" t="s">
        <v>867</v>
      </c>
      <c r="D53" s="455" t="s">
        <v>2</v>
      </c>
      <c r="E53" s="454">
        <v>0</v>
      </c>
      <c r="F53" s="454">
        <v>0</v>
      </c>
      <c r="G53" s="454">
        <f>E53-F53</f>
        <v>0</v>
      </c>
      <c r="H53" s="454">
        <v>150</v>
      </c>
      <c r="I53" s="455"/>
      <c r="J53" s="457" t="s">
        <v>958</v>
      </c>
      <c r="K53" s="472"/>
      <c r="L53" s="455" t="s">
        <v>76</v>
      </c>
      <c r="N53" s="259" t="s">
        <v>896</v>
      </c>
      <c r="Q53" s="264"/>
      <c r="R53" s="264"/>
      <c r="S53" s="264"/>
      <c r="T53" s="264"/>
      <c r="U53" s="264"/>
    </row>
    <row r="54" spans="1:21" s="260" customFormat="1" ht="48.75" customHeight="1" x14ac:dyDescent="0.25">
      <c r="A54" s="459" t="s">
        <v>19</v>
      </c>
      <c r="B54" s="456"/>
      <c r="C54" s="456"/>
      <c r="D54" s="455"/>
      <c r="E54" s="454"/>
      <c r="F54" s="454"/>
      <c r="G54" s="454"/>
      <c r="H54" s="454"/>
      <c r="I54" s="455"/>
      <c r="J54" s="455"/>
      <c r="K54" s="470"/>
      <c r="L54" s="469"/>
      <c r="O54" s="259"/>
      <c r="Q54" s="285"/>
      <c r="R54" s="285"/>
      <c r="S54" s="285"/>
      <c r="T54" s="285"/>
      <c r="U54" s="285"/>
    </row>
    <row r="55" spans="1:21" s="258" customFormat="1" ht="36.75" customHeight="1" x14ac:dyDescent="0.25">
      <c r="A55" s="455">
        <v>22</v>
      </c>
      <c r="B55" s="454" t="s">
        <v>819</v>
      </c>
      <c r="C55" s="457" t="s">
        <v>820</v>
      </c>
      <c r="D55" s="455" t="s">
        <v>0</v>
      </c>
      <c r="E55" s="454">
        <v>28</v>
      </c>
      <c r="F55" s="454">
        <v>12</v>
      </c>
      <c r="G55" s="454">
        <f t="shared" ref="G55:G64" si="3">E55-F55</f>
        <v>16</v>
      </c>
      <c r="H55" s="454">
        <v>6</v>
      </c>
      <c r="I55" s="455"/>
      <c r="J55" s="457" t="s">
        <v>1361</v>
      </c>
      <c r="K55" s="471">
        <v>50</v>
      </c>
      <c r="L55" s="455" t="s">
        <v>140</v>
      </c>
      <c r="O55" s="258" t="s">
        <v>812</v>
      </c>
      <c r="P55" s="258" t="s">
        <v>813</v>
      </c>
      <c r="Q55" s="257" t="s">
        <v>827</v>
      </c>
      <c r="R55" s="257" t="s">
        <v>840</v>
      </c>
      <c r="S55" s="257"/>
      <c r="T55" s="257"/>
      <c r="U55" s="257"/>
    </row>
    <row r="56" spans="1:21" s="258" customFormat="1" ht="37.5" customHeight="1" x14ac:dyDescent="0.25">
      <c r="A56" s="455">
        <v>23</v>
      </c>
      <c r="B56" s="455" t="s">
        <v>1080</v>
      </c>
      <c r="C56" s="457" t="s">
        <v>1116</v>
      </c>
      <c r="D56" s="454" t="s">
        <v>0</v>
      </c>
      <c r="E56" s="454">
        <v>0</v>
      </c>
      <c r="F56" s="454">
        <v>0</v>
      </c>
      <c r="G56" s="454">
        <f t="shared" si="3"/>
        <v>0</v>
      </c>
      <c r="H56" s="454">
        <v>6</v>
      </c>
      <c r="I56" s="455"/>
      <c r="J56" s="457" t="s">
        <v>1361</v>
      </c>
      <c r="K56" s="472"/>
      <c r="L56" s="455" t="s">
        <v>140</v>
      </c>
      <c r="Q56" s="257"/>
      <c r="R56" s="257" t="s">
        <v>840</v>
      </c>
      <c r="S56" s="257"/>
      <c r="T56" s="257"/>
      <c r="U56" s="257"/>
    </row>
    <row r="57" spans="1:21" s="258" customFormat="1" ht="40.5" customHeight="1" x14ac:dyDescent="0.25">
      <c r="A57" s="455">
        <v>24</v>
      </c>
      <c r="B57" s="454" t="s">
        <v>821</v>
      </c>
      <c r="C57" s="457" t="s">
        <v>822</v>
      </c>
      <c r="D57" s="455" t="s">
        <v>0</v>
      </c>
      <c r="E57" s="454">
        <v>10</v>
      </c>
      <c r="F57" s="454">
        <v>0</v>
      </c>
      <c r="G57" s="454">
        <f t="shared" si="3"/>
        <v>10</v>
      </c>
      <c r="H57" s="454">
        <v>3</v>
      </c>
      <c r="I57" s="455"/>
      <c r="J57" s="457" t="s">
        <v>1362</v>
      </c>
      <c r="K57" s="472">
        <v>18</v>
      </c>
      <c r="L57" s="455" t="s">
        <v>140</v>
      </c>
      <c r="Q57" s="257"/>
      <c r="R57" s="257" t="s">
        <v>840</v>
      </c>
      <c r="S57" s="257"/>
      <c r="T57" s="257"/>
      <c r="U57" s="257"/>
    </row>
    <row r="58" spans="1:21" s="258" customFormat="1" ht="37.5" customHeight="1" x14ac:dyDescent="0.25">
      <c r="A58" s="455">
        <v>25</v>
      </c>
      <c r="B58" s="455" t="s">
        <v>821</v>
      </c>
      <c r="C58" s="457" t="s">
        <v>1115</v>
      </c>
      <c r="D58" s="454" t="s">
        <v>0</v>
      </c>
      <c r="E58" s="454">
        <v>0</v>
      </c>
      <c r="F58" s="454">
        <v>0</v>
      </c>
      <c r="G58" s="454">
        <f t="shared" si="3"/>
        <v>0</v>
      </c>
      <c r="H58" s="454">
        <v>3</v>
      </c>
      <c r="I58" s="455"/>
      <c r="J58" s="457" t="s">
        <v>1362</v>
      </c>
      <c r="K58" s="472"/>
      <c r="L58" s="455" t="s">
        <v>140</v>
      </c>
      <c r="Q58" s="257"/>
      <c r="R58" s="257" t="s">
        <v>840</v>
      </c>
      <c r="S58" s="257"/>
      <c r="T58" s="257"/>
      <c r="U58" s="257"/>
    </row>
    <row r="59" spans="1:21" s="259" customFormat="1" ht="40.5" hidden="1" customHeight="1" x14ac:dyDescent="0.25">
      <c r="A59" s="455">
        <f>A57+1</f>
        <v>25</v>
      </c>
      <c r="B59" s="454" t="s">
        <v>954</v>
      </c>
      <c r="C59" s="457" t="s">
        <v>860</v>
      </c>
      <c r="D59" s="455" t="s">
        <v>0</v>
      </c>
      <c r="E59" s="454">
        <v>8</v>
      </c>
      <c r="F59" s="454">
        <v>0</v>
      </c>
      <c r="G59" s="454">
        <f t="shared" si="3"/>
        <v>8</v>
      </c>
      <c r="H59" s="454">
        <v>1</v>
      </c>
      <c r="I59" s="455"/>
      <c r="J59" s="457" t="s">
        <v>1310</v>
      </c>
      <c r="K59" s="472"/>
      <c r="L59" s="455" t="s">
        <v>76</v>
      </c>
      <c r="N59" s="259" t="s">
        <v>896</v>
      </c>
      <c r="P59" s="259" t="s">
        <v>813</v>
      </c>
      <c r="Q59" s="264"/>
      <c r="R59" s="257"/>
      <c r="S59" s="264"/>
      <c r="T59" s="264"/>
      <c r="U59" s="264"/>
    </row>
    <row r="60" spans="1:21" s="258" customFormat="1" ht="40.5" customHeight="1" x14ac:dyDescent="0.25">
      <c r="A60" s="455">
        <v>26</v>
      </c>
      <c r="B60" s="454" t="s">
        <v>828</v>
      </c>
      <c r="C60" s="457" t="s">
        <v>832</v>
      </c>
      <c r="D60" s="455" t="s">
        <v>0</v>
      </c>
      <c r="E60" s="454">
        <v>20</v>
      </c>
      <c r="F60" s="454">
        <v>0</v>
      </c>
      <c r="G60" s="454">
        <f t="shared" si="3"/>
        <v>20</v>
      </c>
      <c r="H60" s="454">
        <v>3</v>
      </c>
      <c r="I60" s="455"/>
      <c r="J60" s="457" t="s">
        <v>1363</v>
      </c>
      <c r="K60" s="472"/>
      <c r="L60" s="455" t="s">
        <v>140</v>
      </c>
      <c r="Q60" s="257"/>
      <c r="R60" s="257" t="s">
        <v>840</v>
      </c>
      <c r="S60" s="257"/>
      <c r="T60" s="257"/>
      <c r="U60" s="257"/>
    </row>
    <row r="61" spans="1:21" s="258" customFormat="1" ht="32.25" customHeight="1" x14ac:dyDescent="0.25">
      <c r="A61" s="455">
        <v>27</v>
      </c>
      <c r="B61" s="455" t="s">
        <v>828</v>
      </c>
      <c r="C61" s="457" t="s">
        <v>1124</v>
      </c>
      <c r="D61" s="454" t="s">
        <v>0</v>
      </c>
      <c r="E61" s="454">
        <v>0</v>
      </c>
      <c r="F61" s="454">
        <v>0</v>
      </c>
      <c r="G61" s="454">
        <f t="shared" si="3"/>
        <v>0</v>
      </c>
      <c r="H61" s="454">
        <v>3</v>
      </c>
      <c r="I61" s="455"/>
      <c r="J61" s="457" t="s">
        <v>1363</v>
      </c>
      <c r="K61" s="472"/>
      <c r="L61" s="455" t="s">
        <v>140</v>
      </c>
      <c r="Q61" s="257"/>
      <c r="R61" s="257" t="s">
        <v>840</v>
      </c>
      <c r="S61" s="257"/>
      <c r="T61" s="257"/>
      <c r="U61" s="257"/>
    </row>
    <row r="62" spans="1:21" s="257" customFormat="1" ht="38.25" customHeight="1" x14ac:dyDescent="0.25">
      <c r="A62" s="455">
        <v>28</v>
      </c>
      <c r="B62" s="454" t="s">
        <v>829</v>
      </c>
      <c r="C62" s="457" t="s">
        <v>830</v>
      </c>
      <c r="D62" s="455" t="s">
        <v>0</v>
      </c>
      <c r="E62" s="454">
        <v>28</v>
      </c>
      <c r="F62" s="454">
        <v>0</v>
      </c>
      <c r="G62" s="454">
        <f t="shared" si="3"/>
        <v>28</v>
      </c>
      <c r="H62" s="454">
        <v>3</v>
      </c>
      <c r="I62" s="455"/>
      <c r="J62" s="457" t="s">
        <v>1363</v>
      </c>
      <c r="K62" s="472"/>
      <c r="L62" s="455" t="s">
        <v>140</v>
      </c>
      <c r="P62" s="258"/>
      <c r="R62" s="257" t="s">
        <v>840</v>
      </c>
    </row>
    <row r="63" spans="1:21" s="258" customFormat="1" ht="43.5" customHeight="1" x14ac:dyDescent="0.25">
      <c r="A63" s="455">
        <v>29</v>
      </c>
      <c r="B63" s="454" t="s">
        <v>829</v>
      </c>
      <c r="C63" s="457" t="s">
        <v>831</v>
      </c>
      <c r="D63" s="455" t="s">
        <v>172</v>
      </c>
      <c r="E63" s="454">
        <v>28</v>
      </c>
      <c r="F63" s="454">
        <v>0</v>
      </c>
      <c r="G63" s="454">
        <f t="shared" si="3"/>
        <v>28</v>
      </c>
      <c r="H63" s="454">
        <v>3</v>
      </c>
      <c r="I63" s="455"/>
      <c r="J63" s="457" t="s">
        <v>1363</v>
      </c>
      <c r="K63" s="472"/>
      <c r="L63" s="455" t="s">
        <v>140</v>
      </c>
      <c r="Q63" s="257"/>
      <c r="R63" s="257" t="s">
        <v>840</v>
      </c>
      <c r="S63" s="257"/>
      <c r="T63" s="257"/>
      <c r="U63" s="257"/>
    </row>
    <row r="64" spans="1:21" s="264" customFormat="1" ht="88.5" customHeight="1" x14ac:dyDescent="0.25">
      <c r="A64" s="455">
        <v>30</v>
      </c>
      <c r="B64" s="454" t="s">
        <v>116</v>
      </c>
      <c r="C64" s="457" t="s">
        <v>64</v>
      </c>
      <c r="D64" s="455" t="s">
        <v>0</v>
      </c>
      <c r="E64" s="454">
        <v>48</v>
      </c>
      <c r="F64" s="454">
        <v>0</v>
      </c>
      <c r="G64" s="454">
        <f t="shared" si="3"/>
        <v>48</v>
      </c>
      <c r="H64" s="454">
        <v>32</v>
      </c>
      <c r="I64" s="455"/>
      <c r="J64" s="457" t="s">
        <v>904</v>
      </c>
      <c r="K64" s="472"/>
      <c r="L64" s="455" t="s">
        <v>76</v>
      </c>
      <c r="M64" s="264" t="s">
        <v>895</v>
      </c>
      <c r="N64" s="264" t="s">
        <v>896</v>
      </c>
      <c r="P64" s="264" t="s">
        <v>813</v>
      </c>
      <c r="R64" s="264" t="s">
        <v>840</v>
      </c>
    </row>
    <row r="65" spans="1:21" s="257" customFormat="1" ht="60.75" customHeight="1" x14ac:dyDescent="0.25">
      <c r="A65" s="455">
        <v>31</v>
      </c>
      <c r="B65" s="454" t="s">
        <v>1243</v>
      </c>
      <c r="C65" s="457" t="s">
        <v>1244</v>
      </c>
      <c r="D65" s="455" t="s">
        <v>390</v>
      </c>
      <c r="E65" s="454">
        <v>20000</v>
      </c>
      <c r="F65" s="454">
        <v>10000</v>
      </c>
      <c r="G65" s="454">
        <f>E65-F65</f>
        <v>10000</v>
      </c>
      <c r="H65" s="454">
        <v>5000</v>
      </c>
      <c r="I65" s="455"/>
      <c r="J65" s="457" t="s">
        <v>1245</v>
      </c>
      <c r="K65" s="472"/>
      <c r="L65" s="455" t="s">
        <v>140</v>
      </c>
      <c r="P65" s="257" t="s">
        <v>813</v>
      </c>
      <c r="Q65" s="257" t="s">
        <v>827</v>
      </c>
      <c r="R65" s="257" t="s">
        <v>840</v>
      </c>
    </row>
    <row r="66" spans="1:21" s="264" customFormat="1" ht="57" hidden="1" customHeight="1" x14ac:dyDescent="0.25">
      <c r="A66" s="455">
        <f>A64+1</f>
        <v>31</v>
      </c>
      <c r="B66" s="454" t="s">
        <v>112</v>
      </c>
      <c r="C66" s="457" t="s">
        <v>60</v>
      </c>
      <c r="D66" s="455" t="s">
        <v>0</v>
      </c>
      <c r="E66" s="454">
        <v>18</v>
      </c>
      <c r="F66" s="454">
        <v>0</v>
      </c>
      <c r="G66" s="454">
        <f t="shared" ref="G66:G116" si="4">E66-F66</f>
        <v>18</v>
      </c>
      <c r="H66" s="454">
        <v>0</v>
      </c>
      <c r="I66" s="455"/>
      <c r="J66" s="467" t="s">
        <v>900</v>
      </c>
      <c r="K66" s="472"/>
      <c r="L66" s="455" t="s">
        <v>76</v>
      </c>
      <c r="M66" s="264" t="s">
        <v>895</v>
      </c>
      <c r="N66" s="264" t="s">
        <v>896</v>
      </c>
    </row>
    <row r="67" spans="1:21" s="259" customFormat="1" ht="68.25" customHeight="1" x14ac:dyDescent="0.25">
      <c r="A67" s="455">
        <v>32</v>
      </c>
      <c r="B67" s="455" t="s">
        <v>1087</v>
      </c>
      <c r="C67" s="457" t="s">
        <v>1123</v>
      </c>
      <c r="D67" s="454" t="s">
        <v>0</v>
      </c>
      <c r="E67" s="454">
        <v>0</v>
      </c>
      <c r="F67" s="454">
        <v>0</v>
      </c>
      <c r="G67" s="454">
        <f t="shared" si="4"/>
        <v>0</v>
      </c>
      <c r="H67" s="454">
        <v>18</v>
      </c>
      <c r="I67" s="455"/>
      <c r="J67" s="457" t="s">
        <v>1161</v>
      </c>
      <c r="K67" s="472"/>
      <c r="L67" s="455" t="s">
        <v>197</v>
      </c>
      <c r="Q67" s="264"/>
      <c r="R67" s="264" t="s">
        <v>840</v>
      </c>
      <c r="S67" s="264"/>
      <c r="T67" s="264"/>
      <c r="U67" s="264"/>
    </row>
    <row r="68" spans="1:21" s="259" customFormat="1" ht="57.75" customHeight="1" x14ac:dyDescent="0.25">
      <c r="A68" s="455">
        <v>33</v>
      </c>
      <c r="B68" s="455" t="s">
        <v>1088</v>
      </c>
      <c r="C68" s="457" t="s">
        <v>1125</v>
      </c>
      <c r="D68" s="454" t="s">
        <v>0</v>
      </c>
      <c r="E68" s="454">
        <v>0</v>
      </c>
      <c r="F68" s="454">
        <v>0</v>
      </c>
      <c r="G68" s="454">
        <f t="shared" si="4"/>
        <v>0</v>
      </c>
      <c r="H68" s="454">
        <v>18</v>
      </c>
      <c r="I68" s="455"/>
      <c r="J68" s="457" t="s">
        <v>1161</v>
      </c>
      <c r="K68" s="472"/>
      <c r="L68" s="455" t="s">
        <v>197</v>
      </c>
      <c r="Q68" s="264"/>
      <c r="R68" s="264" t="s">
        <v>840</v>
      </c>
      <c r="S68" s="264"/>
      <c r="T68" s="264"/>
      <c r="U68" s="264"/>
    </row>
    <row r="69" spans="1:21" s="258" customFormat="1" ht="81" customHeight="1" x14ac:dyDescent="0.25">
      <c r="A69" s="455">
        <v>34</v>
      </c>
      <c r="B69" s="454" t="s">
        <v>295</v>
      </c>
      <c r="C69" s="457" t="s">
        <v>296</v>
      </c>
      <c r="D69" s="455" t="s">
        <v>0</v>
      </c>
      <c r="E69" s="454">
        <v>0</v>
      </c>
      <c r="F69" s="454">
        <v>0</v>
      </c>
      <c r="G69" s="454">
        <f t="shared" si="4"/>
        <v>0</v>
      </c>
      <c r="H69" s="454">
        <v>6</v>
      </c>
      <c r="I69" s="460"/>
      <c r="J69" s="457" t="s">
        <v>798</v>
      </c>
      <c r="K69" s="472">
        <v>0</v>
      </c>
      <c r="L69" s="455" t="s">
        <v>88</v>
      </c>
      <c r="M69" s="258" t="s">
        <v>895</v>
      </c>
      <c r="Q69" s="257" t="s">
        <v>827</v>
      </c>
      <c r="R69" s="257" t="s">
        <v>840</v>
      </c>
      <c r="S69" s="257"/>
      <c r="T69" s="257"/>
      <c r="U69" s="257"/>
    </row>
    <row r="70" spans="1:21" s="259" customFormat="1" ht="45" hidden="1" customHeight="1" x14ac:dyDescent="0.25">
      <c r="A70" s="455">
        <f t="shared" ref="A70:A106" si="5">A69+1</f>
        <v>35</v>
      </c>
      <c r="B70" s="455" t="s">
        <v>89</v>
      </c>
      <c r="C70" s="457" t="s">
        <v>90</v>
      </c>
      <c r="D70" s="455" t="s">
        <v>0</v>
      </c>
      <c r="E70" s="454">
        <v>0</v>
      </c>
      <c r="F70" s="454">
        <v>0</v>
      </c>
      <c r="G70" s="454">
        <f t="shared" si="4"/>
        <v>0</v>
      </c>
      <c r="H70" s="454">
        <f>VLOOKUP(B70,'[1]Tháng 7.2025'!$B$23:$H$153,7,0)</f>
        <v>6</v>
      </c>
      <c r="I70" s="460"/>
      <c r="J70" s="457" t="s">
        <v>97</v>
      </c>
      <c r="K70" s="472">
        <v>0</v>
      </c>
      <c r="L70" s="455" t="s">
        <v>88</v>
      </c>
      <c r="Q70" s="264"/>
      <c r="R70" s="264"/>
      <c r="S70" s="264"/>
      <c r="T70" s="264"/>
      <c r="U70" s="264"/>
    </row>
    <row r="71" spans="1:21" s="258" customFormat="1" ht="85.5" customHeight="1" x14ac:dyDescent="0.25">
      <c r="A71" s="455">
        <v>35</v>
      </c>
      <c r="B71" s="454" t="s">
        <v>855</v>
      </c>
      <c r="C71" s="457" t="s">
        <v>627</v>
      </c>
      <c r="D71" s="455" t="s">
        <v>0</v>
      </c>
      <c r="E71" s="454">
        <v>0</v>
      </c>
      <c r="F71" s="454">
        <v>0</v>
      </c>
      <c r="G71" s="454">
        <f t="shared" si="4"/>
        <v>0</v>
      </c>
      <c r="H71" s="454">
        <v>2</v>
      </c>
      <c r="I71" s="460"/>
      <c r="J71" s="457" t="s">
        <v>628</v>
      </c>
      <c r="K71" s="472"/>
      <c r="L71" s="455" t="s">
        <v>88</v>
      </c>
      <c r="M71" s="258" t="s">
        <v>895</v>
      </c>
      <c r="N71" s="258" t="s">
        <v>896</v>
      </c>
      <c r="Q71" s="257" t="s">
        <v>827</v>
      </c>
      <c r="R71" s="257" t="s">
        <v>840</v>
      </c>
      <c r="S71" s="257"/>
      <c r="T71" s="257"/>
      <c r="U71" s="257"/>
    </row>
    <row r="72" spans="1:21" s="258" customFormat="1" ht="153.75" customHeight="1" x14ac:dyDescent="0.25">
      <c r="A72" s="455">
        <v>36</v>
      </c>
      <c r="B72" s="454" t="s">
        <v>91</v>
      </c>
      <c r="C72" s="457" t="s">
        <v>92</v>
      </c>
      <c r="D72" s="455" t="s">
        <v>0</v>
      </c>
      <c r="E72" s="454">
        <v>0</v>
      </c>
      <c r="F72" s="454">
        <v>0</v>
      </c>
      <c r="G72" s="454">
        <f t="shared" si="4"/>
        <v>0</v>
      </c>
      <c r="H72" s="454">
        <v>6</v>
      </c>
      <c r="I72" s="460"/>
      <c r="J72" s="457" t="s">
        <v>98</v>
      </c>
      <c r="K72" s="472"/>
      <c r="L72" s="455" t="s">
        <v>88</v>
      </c>
      <c r="M72" s="258" t="s">
        <v>895</v>
      </c>
      <c r="N72" s="258" t="s">
        <v>896</v>
      </c>
      <c r="Q72" s="257" t="s">
        <v>827</v>
      </c>
      <c r="R72" s="257" t="s">
        <v>840</v>
      </c>
      <c r="S72" s="257"/>
      <c r="T72" s="257"/>
      <c r="U72" s="257"/>
    </row>
    <row r="73" spans="1:21" s="258" customFormat="1" ht="32.25" customHeight="1" x14ac:dyDescent="0.25">
      <c r="A73" s="455">
        <v>37</v>
      </c>
      <c r="B73" s="454" t="s">
        <v>93</v>
      </c>
      <c r="C73" s="457" t="s">
        <v>94</v>
      </c>
      <c r="D73" s="455" t="s">
        <v>0</v>
      </c>
      <c r="E73" s="454">
        <v>12</v>
      </c>
      <c r="F73" s="454">
        <v>0</v>
      </c>
      <c r="G73" s="454">
        <f t="shared" si="4"/>
        <v>12</v>
      </c>
      <c r="H73" s="454">
        <v>6</v>
      </c>
      <c r="I73" s="460"/>
      <c r="J73" s="457" t="s">
        <v>99</v>
      </c>
      <c r="K73" s="472">
        <v>0</v>
      </c>
      <c r="L73" s="455" t="s">
        <v>88</v>
      </c>
      <c r="M73" s="258" t="s">
        <v>895</v>
      </c>
      <c r="N73" s="258" t="s">
        <v>896</v>
      </c>
      <c r="P73" s="257" t="s">
        <v>813</v>
      </c>
      <c r="Q73" s="257" t="s">
        <v>827</v>
      </c>
      <c r="R73" s="257" t="s">
        <v>840</v>
      </c>
      <c r="S73" s="257"/>
      <c r="T73" s="257"/>
      <c r="U73" s="257"/>
    </row>
    <row r="74" spans="1:21" s="258" customFormat="1" ht="42.75" customHeight="1" x14ac:dyDescent="0.25">
      <c r="A74" s="455">
        <v>38</v>
      </c>
      <c r="B74" s="454" t="s">
        <v>95</v>
      </c>
      <c r="C74" s="457" t="s">
        <v>96</v>
      </c>
      <c r="D74" s="455" t="s">
        <v>0</v>
      </c>
      <c r="E74" s="454">
        <v>24</v>
      </c>
      <c r="F74" s="454">
        <v>12</v>
      </c>
      <c r="G74" s="454">
        <f t="shared" si="4"/>
        <v>12</v>
      </c>
      <c r="H74" s="454">
        <v>6</v>
      </c>
      <c r="I74" s="460"/>
      <c r="J74" s="457" t="s">
        <v>100</v>
      </c>
      <c r="K74" s="472"/>
      <c r="L74" s="454" t="s">
        <v>88</v>
      </c>
      <c r="M74" s="465" t="s">
        <v>895</v>
      </c>
      <c r="N74" s="258" t="s">
        <v>896</v>
      </c>
      <c r="P74" s="257" t="s">
        <v>813</v>
      </c>
      <c r="Q74" s="257" t="s">
        <v>827</v>
      </c>
      <c r="R74" s="257" t="s">
        <v>840</v>
      </c>
      <c r="S74" s="386"/>
      <c r="T74" s="257"/>
      <c r="U74" s="257"/>
    </row>
    <row r="75" spans="1:21" s="258" customFormat="1" ht="45" customHeight="1" x14ac:dyDescent="0.25">
      <c r="A75" s="455">
        <v>39</v>
      </c>
      <c r="B75" s="455" t="s">
        <v>519</v>
      </c>
      <c r="C75" s="457" t="s">
        <v>518</v>
      </c>
      <c r="D75" s="454" t="s">
        <v>0</v>
      </c>
      <c r="E75" s="454">
        <v>24</v>
      </c>
      <c r="F75" s="454">
        <v>12</v>
      </c>
      <c r="G75" s="454">
        <f t="shared" si="4"/>
        <v>12</v>
      </c>
      <c r="H75" s="454">
        <v>6</v>
      </c>
      <c r="I75" s="455"/>
      <c r="J75" s="457" t="s">
        <v>1140</v>
      </c>
      <c r="K75" s="472"/>
      <c r="L75" s="454" t="s">
        <v>88</v>
      </c>
      <c r="P75" s="257" t="s">
        <v>813</v>
      </c>
      <c r="Q75" s="257"/>
      <c r="R75" s="257" t="s">
        <v>840</v>
      </c>
      <c r="S75" s="257"/>
      <c r="T75" s="257"/>
      <c r="U75" s="257"/>
    </row>
    <row r="76" spans="1:21" s="258" customFormat="1" ht="44.25" customHeight="1" x14ac:dyDescent="0.25">
      <c r="A76" s="455">
        <v>40</v>
      </c>
      <c r="B76" s="455" t="s">
        <v>1082</v>
      </c>
      <c r="C76" s="457" t="s">
        <v>1118</v>
      </c>
      <c r="D76" s="454" t="s">
        <v>0</v>
      </c>
      <c r="E76" s="454">
        <v>24</v>
      </c>
      <c r="F76" s="454">
        <v>12</v>
      </c>
      <c r="G76" s="454">
        <f t="shared" si="4"/>
        <v>12</v>
      </c>
      <c r="H76" s="454">
        <v>6</v>
      </c>
      <c r="I76" s="455"/>
      <c r="J76" s="457" t="s">
        <v>1140</v>
      </c>
      <c r="K76" s="472"/>
      <c r="L76" s="454" t="s">
        <v>88</v>
      </c>
      <c r="P76" s="257" t="s">
        <v>813</v>
      </c>
      <c r="Q76" s="257"/>
      <c r="R76" s="257" t="s">
        <v>840</v>
      </c>
      <c r="S76" s="257"/>
      <c r="T76" s="257"/>
      <c r="U76" s="257"/>
    </row>
    <row r="77" spans="1:21" s="258" customFormat="1" ht="35.25" customHeight="1" x14ac:dyDescent="0.25">
      <c r="A77" s="455">
        <v>41</v>
      </c>
      <c r="B77" s="455" t="s">
        <v>1070</v>
      </c>
      <c r="C77" s="457" t="s">
        <v>1103</v>
      </c>
      <c r="D77" s="454" t="s">
        <v>0</v>
      </c>
      <c r="E77" s="454">
        <v>44</v>
      </c>
      <c r="F77" s="454">
        <v>0</v>
      </c>
      <c r="G77" s="454">
        <f t="shared" si="4"/>
        <v>44</v>
      </c>
      <c r="H77" s="454">
        <v>6</v>
      </c>
      <c r="I77" s="455"/>
      <c r="J77" s="457" t="s">
        <v>1139</v>
      </c>
      <c r="K77" s="472"/>
      <c r="L77" s="455" t="s">
        <v>88</v>
      </c>
      <c r="P77" s="257" t="s">
        <v>813</v>
      </c>
      <c r="Q77" s="257"/>
      <c r="R77" s="257" t="s">
        <v>840</v>
      </c>
      <c r="S77" s="257"/>
      <c r="T77" s="257"/>
      <c r="U77" s="257"/>
    </row>
    <row r="78" spans="1:21" s="258" customFormat="1" ht="42.75" customHeight="1" x14ac:dyDescent="0.25">
      <c r="A78" s="455">
        <v>42</v>
      </c>
      <c r="B78" s="455" t="s">
        <v>630</v>
      </c>
      <c r="C78" s="457" t="s">
        <v>631</v>
      </c>
      <c r="D78" s="455" t="s">
        <v>0</v>
      </c>
      <c r="E78" s="454">
        <v>44</v>
      </c>
      <c r="F78" s="454">
        <v>0</v>
      </c>
      <c r="G78" s="454">
        <f t="shared" si="4"/>
        <v>44</v>
      </c>
      <c r="H78" s="454">
        <v>6</v>
      </c>
      <c r="I78" s="460"/>
      <c r="J78" s="457" t="s">
        <v>101</v>
      </c>
      <c r="K78" s="472"/>
      <c r="L78" s="454" t="s">
        <v>88</v>
      </c>
      <c r="M78" s="465" t="s">
        <v>895</v>
      </c>
      <c r="N78" s="258" t="s">
        <v>896</v>
      </c>
      <c r="O78" s="465"/>
      <c r="P78" s="257" t="s">
        <v>813</v>
      </c>
      <c r="Q78" s="257" t="s">
        <v>827</v>
      </c>
      <c r="R78" s="257" t="s">
        <v>840</v>
      </c>
      <c r="S78" s="386"/>
      <c r="T78" s="257"/>
      <c r="U78" s="257"/>
    </row>
    <row r="79" spans="1:21" s="258" customFormat="1" ht="56.25" customHeight="1" x14ac:dyDescent="0.25">
      <c r="A79" s="455">
        <f t="shared" si="5"/>
        <v>43</v>
      </c>
      <c r="B79" s="454" t="s">
        <v>856</v>
      </c>
      <c r="C79" s="457" t="s">
        <v>39</v>
      </c>
      <c r="D79" s="455" t="s">
        <v>0</v>
      </c>
      <c r="E79" s="454">
        <v>6</v>
      </c>
      <c r="F79" s="454">
        <v>0</v>
      </c>
      <c r="G79" s="454">
        <f t="shared" si="4"/>
        <v>6</v>
      </c>
      <c r="H79" s="454">
        <v>5</v>
      </c>
      <c r="I79" s="460"/>
      <c r="J79" s="457" t="s">
        <v>623</v>
      </c>
      <c r="K79" s="472"/>
      <c r="L79" s="455" t="s">
        <v>88</v>
      </c>
      <c r="M79" s="258" t="s">
        <v>895</v>
      </c>
      <c r="N79" s="258" t="s">
        <v>896</v>
      </c>
      <c r="O79" s="465"/>
      <c r="P79" s="257" t="s">
        <v>813</v>
      </c>
      <c r="Q79" s="257" t="s">
        <v>827</v>
      </c>
      <c r="R79" s="257" t="s">
        <v>840</v>
      </c>
      <c r="S79" s="257"/>
      <c r="T79" s="257"/>
      <c r="U79" s="257"/>
    </row>
    <row r="80" spans="1:21" s="258" customFormat="1" ht="63" customHeight="1" x14ac:dyDescent="0.25">
      <c r="A80" s="455">
        <v>44</v>
      </c>
      <c r="B80" s="455" t="s">
        <v>1091</v>
      </c>
      <c r="C80" s="457" t="s">
        <v>39</v>
      </c>
      <c r="D80" s="454" t="s">
        <v>0</v>
      </c>
      <c r="E80" s="454">
        <v>6</v>
      </c>
      <c r="F80" s="454">
        <v>0</v>
      </c>
      <c r="G80" s="454">
        <f t="shared" si="4"/>
        <v>6</v>
      </c>
      <c r="H80" s="454">
        <v>5</v>
      </c>
      <c r="I80" s="455"/>
      <c r="J80" s="457" t="s">
        <v>1166</v>
      </c>
      <c r="K80" s="472"/>
      <c r="L80" s="455" t="s">
        <v>197</v>
      </c>
      <c r="P80" s="257" t="s">
        <v>813</v>
      </c>
      <c r="Q80" s="257"/>
      <c r="R80" s="257" t="s">
        <v>840</v>
      </c>
      <c r="S80" s="257"/>
      <c r="T80" s="257"/>
      <c r="U80" s="257"/>
    </row>
    <row r="81" spans="1:21" s="258" customFormat="1" ht="74.25" customHeight="1" x14ac:dyDescent="0.25">
      <c r="A81" s="455">
        <v>45</v>
      </c>
      <c r="B81" s="454" t="s">
        <v>857</v>
      </c>
      <c r="C81" s="457" t="s">
        <v>37</v>
      </c>
      <c r="D81" s="455" t="s">
        <v>17</v>
      </c>
      <c r="E81" s="454">
        <v>12</v>
      </c>
      <c r="F81" s="454">
        <v>0</v>
      </c>
      <c r="G81" s="454">
        <f t="shared" si="4"/>
        <v>12</v>
      </c>
      <c r="H81" s="454">
        <v>4</v>
      </c>
      <c r="I81" s="460"/>
      <c r="J81" s="457" t="s">
        <v>846</v>
      </c>
      <c r="K81" s="472" t="s">
        <v>121</v>
      </c>
      <c r="L81" s="455" t="s">
        <v>88</v>
      </c>
      <c r="M81" s="258" t="s">
        <v>895</v>
      </c>
      <c r="N81" s="258" t="s">
        <v>896</v>
      </c>
      <c r="O81" s="465"/>
      <c r="P81" s="257" t="s">
        <v>813</v>
      </c>
      <c r="Q81" s="257" t="s">
        <v>827</v>
      </c>
      <c r="R81" s="257" t="s">
        <v>840</v>
      </c>
      <c r="S81" s="257"/>
      <c r="T81" s="257"/>
      <c r="U81" s="257"/>
    </row>
    <row r="82" spans="1:21" s="258" customFormat="1" ht="44.25" customHeight="1" x14ac:dyDescent="0.25">
      <c r="A82" s="455">
        <v>46</v>
      </c>
      <c r="B82" s="455" t="s">
        <v>1090</v>
      </c>
      <c r="C82" s="457" t="s">
        <v>1127</v>
      </c>
      <c r="D82" s="454" t="s">
        <v>0</v>
      </c>
      <c r="E82" s="454">
        <v>12</v>
      </c>
      <c r="F82" s="454">
        <v>0</v>
      </c>
      <c r="G82" s="454">
        <f t="shared" si="4"/>
        <v>12</v>
      </c>
      <c r="H82" s="454">
        <v>4</v>
      </c>
      <c r="I82" s="455"/>
      <c r="J82" s="457" t="s">
        <v>1166</v>
      </c>
      <c r="K82" s="472"/>
      <c r="L82" s="455" t="s">
        <v>197</v>
      </c>
      <c r="P82" s="257" t="s">
        <v>813</v>
      </c>
      <c r="Q82" s="257"/>
      <c r="R82" s="257" t="s">
        <v>840</v>
      </c>
      <c r="S82" s="257"/>
      <c r="T82" s="257"/>
      <c r="U82" s="257"/>
    </row>
    <row r="83" spans="1:21" s="258" customFormat="1" ht="69.75" customHeight="1" x14ac:dyDescent="0.25">
      <c r="A83" s="455">
        <v>47</v>
      </c>
      <c r="B83" s="454" t="s">
        <v>825</v>
      </c>
      <c r="C83" s="457" t="s">
        <v>26</v>
      </c>
      <c r="D83" s="455" t="s">
        <v>17</v>
      </c>
      <c r="E83" s="454">
        <v>8</v>
      </c>
      <c r="F83" s="454">
        <v>0</v>
      </c>
      <c r="G83" s="454">
        <f t="shared" si="4"/>
        <v>8</v>
      </c>
      <c r="H83" s="454">
        <f>VLOOKUP(B83,'[1]Tháng 7.2025'!$B$23:$H$153,7,0)</f>
        <v>2</v>
      </c>
      <c r="I83" s="460"/>
      <c r="J83" s="457" t="s">
        <v>847</v>
      </c>
      <c r="K83" s="471">
        <v>0</v>
      </c>
      <c r="L83" s="455" t="s">
        <v>88</v>
      </c>
      <c r="M83" s="258" t="s">
        <v>895</v>
      </c>
      <c r="N83" s="258" t="s">
        <v>896</v>
      </c>
      <c r="O83" s="465"/>
      <c r="P83" s="257" t="s">
        <v>813</v>
      </c>
      <c r="Q83" s="257" t="s">
        <v>827</v>
      </c>
      <c r="R83" s="257" t="s">
        <v>840</v>
      </c>
      <c r="S83" s="257"/>
      <c r="T83" s="257"/>
      <c r="U83" s="257"/>
    </row>
    <row r="84" spans="1:21" s="259" customFormat="1" ht="37.5" hidden="1" customHeight="1" x14ac:dyDescent="0.25">
      <c r="A84" s="455" t="e">
        <f>A106+1</f>
        <v>#REF!</v>
      </c>
      <c r="B84" s="455" t="s">
        <v>1078</v>
      </c>
      <c r="C84" s="457" t="s">
        <v>1113</v>
      </c>
      <c r="D84" s="454" t="s">
        <v>0</v>
      </c>
      <c r="E84" s="454">
        <v>0</v>
      </c>
      <c r="F84" s="454">
        <v>0</v>
      </c>
      <c r="G84" s="454">
        <f t="shared" si="4"/>
        <v>0</v>
      </c>
      <c r="H84" s="454">
        <v>4</v>
      </c>
      <c r="I84" s="455"/>
      <c r="J84" s="457" t="s">
        <v>1154</v>
      </c>
      <c r="K84" s="472"/>
      <c r="L84" s="455" t="s">
        <v>197</v>
      </c>
      <c r="Q84" s="264"/>
      <c r="R84" s="264"/>
      <c r="S84" s="264"/>
      <c r="T84" s="264"/>
      <c r="U84" s="264"/>
    </row>
    <row r="85" spans="1:21" s="264" customFormat="1" ht="33" hidden="1" customHeight="1" x14ac:dyDescent="0.25">
      <c r="A85" s="455">
        <f>A83+1</f>
        <v>48</v>
      </c>
      <c r="B85" s="454" t="s">
        <v>459</v>
      </c>
      <c r="C85" s="457" t="s">
        <v>460</v>
      </c>
      <c r="D85" s="455" t="s">
        <v>59</v>
      </c>
      <c r="E85" s="454">
        <v>0</v>
      </c>
      <c r="F85" s="454">
        <v>0</v>
      </c>
      <c r="G85" s="454">
        <f t="shared" si="4"/>
        <v>0</v>
      </c>
      <c r="H85" s="454">
        <f>VLOOKUP(B85,'[1]Tháng 7.2025'!$B$23:$H$153,7,0)</f>
        <v>2</v>
      </c>
      <c r="I85" s="460"/>
      <c r="J85" s="457" t="s">
        <v>461</v>
      </c>
      <c r="K85" s="471"/>
      <c r="L85" s="456" t="s">
        <v>140</v>
      </c>
    </row>
    <row r="86" spans="1:21" s="258" customFormat="1" ht="71.25" customHeight="1" x14ac:dyDescent="0.25">
      <c r="A86" s="455">
        <v>48</v>
      </c>
      <c r="B86" s="454" t="s">
        <v>361</v>
      </c>
      <c r="C86" s="457" t="s">
        <v>362</v>
      </c>
      <c r="D86" s="454" t="s">
        <v>0</v>
      </c>
      <c r="E86" s="454">
        <v>24</v>
      </c>
      <c r="F86" s="454">
        <v>0</v>
      </c>
      <c r="G86" s="454">
        <f t="shared" si="4"/>
        <v>24</v>
      </c>
      <c r="H86" s="454">
        <f>VLOOKUP(B86,'[1]Tháng 7.2025'!$B$23:$H$153,7,0)</f>
        <v>6</v>
      </c>
      <c r="I86" s="454"/>
      <c r="J86" s="457" t="s">
        <v>879</v>
      </c>
      <c r="K86" s="471"/>
      <c r="L86" s="455" t="s">
        <v>88</v>
      </c>
      <c r="M86" s="258" t="s">
        <v>895</v>
      </c>
      <c r="N86" s="258" t="s">
        <v>896</v>
      </c>
      <c r="P86" s="257" t="s">
        <v>813</v>
      </c>
      <c r="Q86" s="257" t="s">
        <v>827</v>
      </c>
      <c r="R86" s="257" t="s">
        <v>840</v>
      </c>
      <c r="S86" s="257"/>
      <c r="T86" s="257"/>
      <c r="U86" s="257"/>
    </row>
    <row r="87" spans="1:21" s="259" customFormat="1" ht="41.25" customHeight="1" x14ac:dyDescent="0.25">
      <c r="A87" s="455">
        <v>49</v>
      </c>
      <c r="B87" s="454" t="s">
        <v>335</v>
      </c>
      <c r="C87" s="457" t="s">
        <v>336</v>
      </c>
      <c r="D87" s="455" t="s">
        <v>0</v>
      </c>
      <c r="E87" s="454">
        <v>0</v>
      </c>
      <c r="F87" s="454">
        <v>0</v>
      </c>
      <c r="G87" s="454">
        <f t="shared" si="4"/>
        <v>0</v>
      </c>
      <c r="H87" s="454">
        <v>2</v>
      </c>
      <c r="I87" s="455"/>
      <c r="J87" s="457" t="s">
        <v>1023</v>
      </c>
      <c r="K87" s="472"/>
      <c r="L87" s="455" t="s">
        <v>140</v>
      </c>
      <c r="N87" s="259" t="s">
        <v>896</v>
      </c>
      <c r="Q87" s="264"/>
      <c r="R87" s="257" t="s">
        <v>840</v>
      </c>
      <c r="S87" s="264"/>
      <c r="T87" s="264"/>
      <c r="U87" s="264"/>
    </row>
    <row r="88" spans="1:21" s="259" customFormat="1" ht="46.5" hidden="1" customHeight="1" x14ac:dyDescent="0.25">
      <c r="A88" s="455" t="e">
        <f>#REF!+1</f>
        <v>#REF!</v>
      </c>
      <c r="B88" s="455" t="s">
        <v>335</v>
      </c>
      <c r="C88" s="457" t="s">
        <v>336</v>
      </c>
      <c r="D88" s="454" t="s">
        <v>0</v>
      </c>
      <c r="E88" s="454">
        <v>0</v>
      </c>
      <c r="F88" s="454">
        <v>0</v>
      </c>
      <c r="G88" s="454">
        <f t="shared" si="4"/>
        <v>0</v>
      </c>
      <c r="H88" s="454">
        <v>2</v>
      </c>
      <c r="I88" s="455"/>
      <c r="J88" s="457" t="s">
        <v>1146</v>
      </c>
      <c r="K88" s="472"/>
      <c r="L88" s="455" t="s">
        <v>197</v>
      </c>
      <c r="Q88" s="264"/>
      <c r="R88" s="264"/>
      <c r="S88" s="264"/>
      <c r="T88" s="264"/>
      <c r="U88" s="264"/>
    </row>
    <row r="89" spans="1:21" s="259" customFormat="1" ht="58.5" hidden="1" customHeight="1" x14ac:dyDescent="0.25">
      <c r="A89" s="455">
        <f>A87+1</f>
        <v>50</v>
      </c>
      <c r="B89" s="454" t="s">
        <v>340</v>
      </c>
      <c r="C89" s="457" t="s">
        <v>341</v>
      </c>
      <c r="D89" s="455" t="s">
        <v>0</v>
      </c>
      <c r="E89" s="454">
        <v>0</v>
      </c>
      <c r="F89" s="454">
        <v>0</v>
      </c>
      <c r="G89" s="454">
        <f t="shared" si="4"/>
        <v>0</v>
      </c>
      <c r="H89" s="454">
        <v>2</v>
      </c>
      <c r="I89" s="455"/>
      <c r="J89" s="457" t="s">
        <v>1024</v>
      </c>
      <c r="K89" s="472"/>
      <c r="L89" s="455" t="s">
        <v>140</v>
      </c>
      <c r="N89" s="259" t="s">
        <v>896</v>
      </c>
      <c r="Q89" s="264"/>
      <c r="R89" s="264"/>
      <c r="S89" s="264"/>
      <c r="T89" s="264"/>
      <c r="U89" s="264"/>
    </row>
    <row r="90" spans="1:21" s="259" customFormat="1" ht="57.75" customHeight="1" x14ac:dyDescent="0.25">
      <c r="A90" s="455">
        <v>50</v>
      </c>
      <c r="B90" s="455" t="s">
        <v>340</v>
      </c>
      <c r="C90" s="457" t="s">
        <v>341</v>
      </c>
      <c r="D90" s="454" t="s">
        <v>0</v>
      </c>
      <c r="E90" s="454">
        <v>0</v>
      </c>
      <c r="F90" s="454">
        <v>0</v>
      </c>
      <c r="G90" s="454">
        <f t="shared" si="4"/>
        <v>0</v>
      </c>
      <c r="H90" s="454">
        <v>4</v>
      </c>
      <c r="I90" s="455"/>
      <c r="J90" s="457" t="s">
        <v>1149</v>
      </c>
      <c r="K90" s="472"/>
      <c r="L90" s="455" t="s">
        <v>197</v>
      </c>
      <c r="Q90" s="264"/>
      <c r="R90" s="257" t="s">
        <v>840</v>
      </c>
      <c r="S90" s="264"/>
      <c r="T90" s="264"/>
      <c r="U90" s="264"/>
    </row>
    <row r="91" spans="1:21" s="259" customFormat="1" ht="30" hidden="1" customHeight="1" x14ac:dyDescent="0.25">
      <c r="A91" s="455" t="e">
        <f>#REF!+1</f>
        <v>#REF!</v>
      </c>
      <c r="B91" s="455"/>
      <c r="C91" s="457" t="s">
        <v>1062</v>
      </c>
      <c r="D91" s="454" t="s">
        <v>0</v>
      </c>
      <c r="E91" s="454">
        <v>0</v>
      </c>
      <c r="F91" s="454">
        <v>0</v>
      </c>
      <c r="G91" s="454">
        <f t="shared" si="4"/>
        <v>0</v>
      </c>
      <c r="H91" s="454">
        <v>1</v>
      </c>
      <c r="I91" s="455"/>
      <c r="J91" s="457" t="s">
        <v>1063</v>
      </c>
      <c r="K91" s="472"/>
      <c r="L91" s="455" t="s">
        <v>76</v>
      </c>
      <c r="Q91" s="264"/>
      <c r="R91" s="264"/>
      <c r="S91" s="264"/>
      <c r="T91" s="264"/>
      <c r="U91" s="264"/>
    </row>
    <row r="92" spans="1:21" s="259" customFormat="1" ht="58.5" hidden="1" customHeight="1" x14ac:dyDescent="0.25">
      <c r="A92" s="455" t="e">
        <f t="shared" si="5"/>
        <v>#REF!</v>
      </c>
      <c r="B92" s="455" t="s">
        <v>1066</v>
      </c>
      <c r="C92" s="457" t="s">
        <v>1099</v>
      </c>
      <c r="D92" s="454" t="s">
        <v>0</v>
      </c>
      <c r="E92" s="454">
        <v>0</v>
      </c>
      <c r="F92" s="454">
        <v>0</v>
      </c>
      <c r="G92" s="454">
        <f t="shared" si="4"/>
        <v>0</v>
      </c>
      <c r="H92" s="454">
        <v>1014</v>
      </c>
      <c r="I92" s="455"/>
      <c r="J92" s="457" t="s">
        <v>1135</v>
      </c>
      <c r="K92" s="472"/>
      <c r="L92" s="455" t="s">
        <v>197</v>
      </c>
      <c r="Q92" s="264"/>
      <c r="R92" s="264"/>
      <c r="S92" s="264"/>
      <c r="T92" s="264"/>
      <c r="U92" s="264"/>
    </row>
    <row r="93" spans="1:21" s="259" customFormat="1" ht="35.25" hidden="1" customHeight="1" x14ac:dyDescent="0.25">
      <c r="A93" s="455" t="e">
        <f t="shared" si="5"/>
        <v>#REF!</v>
      </c>
      <c r="B93" s="455" t="s">
        <v>1067</v>
      </c>
      <c r="C93" s="457" t="s">
        <v>1100</v>
      </c>
      <c r="D93" s="454" t="s">
        <v>0</v>
      </c>
      <c r="E93" s="454">
        <v>0</v>
      </c>
      <c r="F93" s="454">
        <v>0</v>
      </c>
      <c r="G93" s="454">
        <f t="shared" si="4"/>
        <v>0</v>
      </c>
      <c r="H93" s="454">
        <v>60</v>
      </c>
      <c r="I93" s="455"/>
      <c r="J93" s="457" t="s">
        <v>1136</v>
      </c>
      <c r="K93" s="472"/>
      <c r="L93" s="455" t="s">
        <v>197</v>
      </c>
      <c r="Q93" s="264"/>
      <c r="R93" s="264"/>
      <c r="S93" s="264"/>
      <c r="T93" s="264"/>
      <c r="U93" s="264"/>
    </row>
    <row r="94" spans="1:21" s="259" customFormat="1" ht="35.25" hidden="1" customHeight="1" x14ac:dyDescent="0.25">
      <c r="A94" s="455" t="e">
        <f t="shared" si="5"/>
        <v>#REF!</v>
      </c>
      <c r="B94" s="455" t="s">
        <v>1068</v>
      </c>
      <c r="C94" s="457" t="s">
        <v>1101</v>
      </c>
      <c r="D94" s="454" t="s">
        <v>0</v>
      </c>
      <c r="E94" s="454">
        <v>0</v>
      </c>
      <c r="F94" s="454">
        <v>0</v>
      </c>
      <c r="G94" s="454">
        <f t="shared" si="4"/>
        <v>0</v>
      </c>
      <c r="H94" s="454">
        <v>30</v>
      </c>
      <c r="I94" s="455"/>
      <c r="J94" s="457" t="s">
        <v>1137</v>
      </c>
      <c r="K94" s="472"/>
      <c r="L94" s="455" t="s">
        <v>197</v>
      </c>
      <c r="Q94" s="264"/>
      <c r="R94" s="264"/>
      <c r="S94" s="264"/>
      <c r="T94" s="264"/>
      <c r="U94" s="264"/>
    </row>
    <row r="95" spans="1:21" s="259" customFormat="1" ht="35.25" hidden="1" customHeight="1" x14ac:dyDescent="0.25">
      <c r="A95" s="455" t="e">
        <f t="shared" si="5"/>
        <v>#REF!</v>
      </c>
      <c r="B95" s="455" t="s">
        <v>1069</v>
      </c>
      <c r="C95" s="457" t="s">
        <v>1102</v>
      </c>
      <c r="D95" s="454" t="s">
        <v>0</v>
      </c>
      <c r="E95" s="454">
        <v>0</v>
      </c>
      <c r="F95" s="454">
        <v>0</v>
      </c>
      <c r="G95" s="454">
        <f t="shared" si="4"/>
        <v>0</v>
      </c>
      <c r="H95" s="454">
        <v>500</v>
      </c>
      <c r="I95" s="455"/>
      <c r="J95" s="457" t="s">
        <v>1138</v>
      </c>
      <c r="K95" s="472"/>
      <c r="L95" s="455" t="s">
        <v>197</v>
      </c>
      <c r="Q95" s="264"/>
      <c r="R95" s="264"/>
      <c r="S95" s="264"/>
      <c r="T95" s="264"/>
      <c r="U95" s="264"/>
    </row>
    <row r="96" spans="1:21" s="259" customFormat="1" ht="35.25" hidden="1" customHeight="1" x14ac:dyDescent="0.25">
      <c r="A96" s="455">
        <f>A75+1</f>
        <v>40</v>
      </c>
      <c r="B96" s="455" t="s">
        <v>871</v>
      </c>
      <c r="C96" s="457" t="s">
        <v>872</v>
      </c>
      <c r="D96" s="454" t="s">
        <v>0</v>
      </c>
      <c r="E96" s="454">
        <v>10</v>
      </c>
      <c r="F96" s="454">
        <v>0</v>
      </c>
      <c r="G96" s="454">
        <f t="shared" si="4"/>
        <v>10</v>
      </c>
      <c r="H96" s="454">
        <v>8</v>
      </c>
      <c r="I96" s="455"/>
      <c r="J96" s="457" t="s">
        <v>1141</v>
      </c>
      <c r="K96" s="472"/>
      <c r="L96" s="455" t="s">
        <v>197</v>
      </c>
      <c r="Q96" s="264"/>
      <c r="R96" s="264"/>
      <c r="S96" s="264"/>
      <c r="T96" s="264"/>
      <c r="U96" s="264"/>
    </row>
    <row r="97" spans="1:21" s="259" customFormat="1" ht="35.25" hidden="1" customHeight="1" x14ac:dyDescent="0.25">
      <c r="A97" s="455">
        <f t="shared" si="5"/>
        <v>41</v>
      </c>
      <c r="B97" s="455" t="s">
        <v>711</v>
      </c>
      <c r="C97" s="457" t="s">
        <v>712</v>
      </c>
      <c r="D97" s="454" t="s">
        <v>0</v>
      </c>
      <c r="E97" s="454">
        <v>10</v>
      </c>
      <c r="F97" s="454">
        <v>0</v>
      </c>
      <c r="G97" s="454">
        <f t="shared" si="4"/>
        <v>10</v>
      </c>
      <c r="H97" s="454">
        <v>3</v>
      </c>
      <c r="I97" s="455"/>
      <c r="J97" s="457" t="s">
        <v>1141</v>
      </c>
      <c r="K97" s="472"/>
      <c r="L97" s="455" t="s">
        <v>197</v>
      </c>
      <c r="Q97" s="264"/>
      <c r="R97" s="264"/>
      <c r="S97" s="264"/>
      <c r="T97" s="264"/>
      <c r="U97" s="264"/>
    </row>
    <row r="98" spans="1:21" s="257" customFormat="1" ht="25.5" customHeight="1" x14ac:dyDescent="0.25">
      <c r="A98" s="455">
        <v>51</v>
      </c>
      <c r="B98" s="454" t="s">
        <v>871</v>
      </c>
      <c r="C98" s="457" t="s">
        <v>872</v>
      </c>
      <c r="D98" s="454" t="s">
        <v>59</v>
      </c>
      <c r="E98" s="454">
        <v>10</v>
      </c>
      <c r="F98" s="454">
        <v>0</v>
      </c>
      <c r="G98" s="454">
        <f t="shared" si="4"/>
        <v>10</v>
      </c>
      <c r="H98" s="454">
        <v>1</v>
      </c>
      <c r="I98" s="454"/>
      <c r="J98" s="457" t="s">
        <v>1364</v>
      </c>
      <c r="K98" s="471"/>
      <c r="L98" s="456" t="s">
        <v>140</v>
      </c>
      <c r="M98" s="257" t="s">
        <v>895</v>
      </c>
      <c r="R98" s="257" t="s">
        <v>840</v>
      </c>
    </row>
    <row r="99" spans="1:21" s="264" customFormat="1" ht="39" hidden="1" customHeight="1" x14ac:dyDescent="0.25">
      <c r="A99" s="455">
        <f>A98+1</f>
        <v>52</v>
      </c>
      <c r="B99" s="454" t="s">
        <v>711</v>
      </c>
      <c r="C99" s="457" t="s">
        <v>712</v>
      </c>
      <c r="D99" s="454" t="s">
        <v>59</v>
      </c>
      <c r="E99" s="454">
        <v>0</v>
      </c>
      <c r="F99" s="454">
        <v>0</v>
      </c>
      <c r="G99" s="454">
        <f t="shared" si="4"/>
        <v>0</v>
      </c>
      <c r="H99" s="454">
        <v>2</v>
      </c>
      <c r="I99" s="454"/>
      <c r="J99" s="457" t="s">
        <v>875</v>
      </c>
      <c r="K99" s="471"/>
      <c r="L99" s="456" t="s">
        <v>140</v>
      </c>
      <c r="M99" s="264" t="s">
        <v>895</v>
      </c>
    </row>
    <row r="100" spans="1:21" s="259" customFormat="1" ht="35.25" customHeight="1" x14ac:dyDescent="0.25">
      <c r="A100" s="455">
        <v>52</v>
      </c>
      <c r="B100" s="455" t="s">
        <v>716</v>
      </c>
      <c r="C100" s="457" t="s">
        <v>717</v>
      </c>
      <c r="D100" s="454" t="s">
        <v>0</v>
      </c>
      <c r="E100" s="454">
        <v>0</v>
      </c>
      <c r="F100" s="454">
        <v>0</v>
      </c>
      <c r="G100" s="454">
        <f t="shared" si="4"/>
        <v>0</v>
      </c>
      <c r="H100" s="454">
        <v>2</v>
      </c>
      <c r="I100" s="455"/>
      <c r="J100" s="457" t="s">
        <v>873</v>
      </c>
      <c r="K100" s="472"/>
      <c r="L100" s="456" t="s">
        <v>140</v>
      </c>
      <c r="Q100" s="264"/>
      <c r="R100" s="264" t="s">
        <v>840</v>
      </c>
      <c r="S100" s="264"/>
      <c r="T100" s="264"/>
      <c r="U100" s="264"/>
    </row>
    <row r="101" spans="1:21" s="259" customFormat="1" ht="35.25" customHeight="1" x14ac:dyDescent="0.25">
      <c r="A101" s="455">
        <v>53</v>
      </c>
      <c r="B101" s="455" t="s">
        <v>1354</v>
      </c>
      <c r="C101" s="457" t="s">
        <v>1355</v>
      </c>
      <c r="D101" s="454" t="s">
        <v>2</v>
      </c>
      <c r="E101" s="454">
        <v>0</v>
      </c>
      <c r="F101" s="454">
        <v>0</v>
      </c>
      <c r="G101" s="454">
        <v>0</v>
      </c>
      <c r="H101" s="454">
        <v>5</v>
      </c>
      <c r="I101" s="455"/>
      <c r="J101" s="457" t="s">
        <v>1356</v>
      </c>
      <c r="K101" s="472"/>
      <c r="L101" s="456" t="s">
        <v>140</v>
      </c>
      <c r="Q101" s="264"/>
      <c r="R101" s="264" t="s">
        <v>840</v>
      </c>
      <c r="S101" s="264"/>
      <c r="T101" s="264"/>
      <c r="U101" s="264"/>
    </row>
    <row r="102" spans="1:21" s="259" customFormat="1" ht="44.25" customHeight="1" x14ac:dyDescent="0.25">
      <c r="A102" s="455">
        <v>54</v>
      </c>
      <c r="B102" s="455" t="s">
        <v>1083</v>
      </c>
      <c r="C102" s="457" t="s">
        <v>1119</v>
      </c>
      <c r="D102" s="454" t="s">
        <v>0</v>
      </c>
      <c r="E102" s="454">
        <v>0</v>
      </c>
      <c r="F102" s="454">
        <v>0</v>
      </c>
      <c r="G102" s="454">
        <f>E102-F102</f>
        <v>0</v>
      </c>
      <c r="H102" s="454">
        <v>10</v>
      </c>
      <c r="I102" s="455"/>
      <c r="J102" s="457" t="s">
        <v>1159</v>
      </c>
      <c r="K102" s="472"/>
      <c r="L102" s="456" t="s">
        <v>140</v>
      </c>
      <c r="Q102" s="264"/>
      <c r="R102" s="264" t="s">
        <v>840</v>
      </c>
      <c r="S102" s="264"/>
      <c r="T102" s="264"/>
      <c r="U102" s="264"/>
    </row>
    <row r="103" spans="1:21" s="259" customFormat="1" ht="35.25" hidden="1" customHeight="1" x14ac:dyDescent="0.25">
      <c r="A103" s="455"/>
      <c r="B103" s="455" t="s">
        <v>1357</v>
      </c>
      <c r="C103" s="457" t="s">
        <v>1358</v>
      </c>
      <c r="D103" s="454" t="s">
        <v>1203</v>
      </c>
      <c r="E103" s="454">
        <v>0</v>
      </c>
      <c r="F103" s="454">
        <v>0</v>
      </c>
      <c r="G103" s="454">
        <f>E103-F103</f>
        <v>0</v>
      </c>
      <c r="H103" s="454">
        <v>50</v>
      </c>
      <c r="I103" s="455"/>
      <c r="J103" s="457" t="s">
        <v>1359</v>
      </c>
      <c r="K103" s="472"/>
      <c r="L103" s="456" t="s">
        <v>1360</v>
      </c>
      <c r="Q103" s="264"/>
      <c r="R103" s="264"/>
      <c r="S103" s="264"/>
      <c r="T103" s="264"/>
      <c r="U103" s="264"/>
    </row>
    <row r="104" spans="1:21" s="259" customFormat="1" ht="46.5" hidden="1" customHeight="1" x14ac:dyDescent="0.25">
      <c r="A104" s="455" t="e">
        <f>#REF!+1</f>
        <v>#REF!</v>
      </c>
      <c r="B104" s="455" t="s">
        <v>1075</v>
      </c>
      <c r="C104" s="457" t="s">
        <v>1110</v>
      </c>
      <c r="D104" s="454" t="s">
        <v>0</v>
      </c>
      <c r="E104" s="454">
        <v>0</v>
      </c>
      <c r="F104" s="454">
        <v>0</v>
      </c>
      <c r="G104" s="454">
        <f t="shared" si="4"/>
        <v>0</v>
      </c>
      <c r="H104" s="454">
        <v>4</v>
      </c>
      <c r="I104" s="455"/>
      <c r="J104" s="457" t="s">
        <v>1152</v>
      </c>
      <c r="K104" s="472"/>
      <c r="L104" s="455" t="s">
        <v>197</v>
      </c>
      <c r="Q104" s="264"/>
      <c r="R104" s="264"/>
      <c r="S104" s="264"/>
      <c r="T104" s="264"/>
      <c r="U104" s="264"/>
    </row>
    <row r="105" spans="1:21" s="259" customFormat="1" ht="52.5" hidden="1" customHeight="1" x14ac:dyDescent="0.25">
      <c r="A105" s="455" t="e">
        <f t="shared" si="5"/>
        <v>#REF!</v>
      </c>
      <c r="B105" s="455" t="s">
        <v>1076</v>
      </c>
      <c r="C105" s="457" t="s">
        <v>1111</v>
      </c>
      <c r="D105" s="454" t="s">
        <v>0</v>
      </c>
      <c r="E105" s="454">
        <v>0</v>
      </c>
      <c r="F105" s="454">
        <v>0</v>
      </c>
      <c r="G105" s="454">
        <f t="shared" si="4"/>
        <v>0</v>
      </c>
      <c r="H105" s="454">
        <v>1</v>
      </c>
      <c r="I105" s="455"/>
      <c r="J105" s="457" t="s">
        <v>1152</v>
      </c>
      <c r="K105" s="472"/>
      <c r="L105" s="455" t="s">
        <v>197</v>
      </c>
      <c r="Q105" s="264"/>
      <c r="R105" s="264"/>
      <c r="S105" s="264"/>
      <c r="T105" s="264"/>
      <c r="U105" s="264"/>
    </row>
    <row r="106" spans="1:21" s="259" customFormat="1" ht="57.75" hidden="1" customHeight="1" x14ac:dyDescent="0.25">
      <c r="A106" s="455" t="e">
        <f t="shared" si="5"/>
        <v>#REF!</v>
      </c>
      <c r="B106" s="455" t="s">
        <v>1077</v>
      </c>
      <c r="C106" s="457" t="s">
        <v>1112</v>
      </c>
      <c r="D106" s="454" t="s">
        <v>0</v>
      </c>
      <c r="E106" s="454">
        <v>0</v>
      </c>
      <c r="F106" s="454">
        <v>0</v>
      </c>
      <c r="G106" s="454">
        <f t="shared" si="4"/>
        <v>0</v>
      </c>
      <c r="H106" s="454">
        <v>4</v>
      </c>
      <c r="I106" s="455"/>
      <c r="J106" s="457" t="s">
        <v>1153</v>
      </c>
      <c r="K106" s="472"/>
      <c r="L106" s="455" t="s">
        <v>197</v>
      </c>
      <c r="Q106" s="264"/>
      <c r="R106" s="264"/>
      <c r="S106" s="264"/>
      <c r="T106" s="264"/>
      <c r="U106" s="264"/>
    </row>
    <row r="107" spans="1:21" s="259" customFormat="1" ht="69" customHeight="1" x14ac:dyDescent="0.25">
      <c r="A107" s="455">
        <v>55</v>
      </c>
      <c r="B107" s="455" t="s">
        <v>708</v>
      </c>
      <c r="C107" s="457" t="s">
        <v>1350</v>
      </c>
      <c r="D107" s="454" t="s">
        <v>0</v>
      </c>
      <c r="E107" s="454">
        <v>0</v>
      </c>
      <c r="F107" s="454">
        <v>0</v>
      </c>
      <c r="G107" s="454">
        <f t="shared" si="4"/>
        <v>0</v>
      </c>
      <c r="H107" s="454">
        <v>1</v>
      </c>
      <c r="I107" s="455"/>
      <c r="J107" s="457" t="s">
        <v>1349</v>
      </c>
      <c r="K107" s="472"/>
      <c r="L107" s="455" t="s">
        <v>140</v>
      </c>
      <c r="Q107" s="264" t="s">
        <v>827</v>
      </c>
      <c r="R107" s="264" t="s">
        <v>840</v>
      </c>
      <c r="S107" s="264"/>
      <c r="T107" s="264"/>
      <c r="U107" s="264"/>
    </row>
    <row r="108" spans="1:21" s="264" customFormat="1" ht="25.5" customHeight="1" x14ac:dyDescent="0.25">
      <c r="A108" s="455">
        <v>56</v>
      </c>
      <c r="B108" s="454" t="s">
        <v>719</v>
      </c>
      <c r="C108" s="457" t="s">
        <v>720</v>
      </c>
      <c r="D108" s="454" t="s">
        <v>0</v>
      </c>
      <c r="E108" s="454">
        <f>VLOOKUP(B108,'[1]Tháng 7.2025'!$B$23:$H$153,4,0)</f>
        <v>10</v>
      </c>
      <c r="F108" s="454">
        <f>VLOOKUP(B108,'[1]Tháng 7.2025'!$B$23:$H$153,5,0)</f>
        <v>2</v>
      </c>
      <c r="G108" s="454">
        <f t="shared" si="4"/>
        <v>8</v>
      </c>
      <c r="H108" s="454">
        <f>VLOOKUP(B108,'[1]Tháng 7.2025'!$B$23:$H$153,7,0)</f>
        <v>10</v>
      </c>
      <c r="I108" s="454"/>
      <c r="J108" s="457" t="s">
        <v>710</v>
      </c>
      <c r="K108" s="471"/>
      <c r="L108" s="456" t="s">
        <v>140</v>
      </c>
      <c r="R108" s="264" t="s">
        <v>840</v>
      </c>
    </row>
    <row r="109" spans="1:21" s="259" customFormat="1" ht="44.25" hidden="1" customHeight="1" x14ac:dyDescent="0.25">
      <c r="A109" s="455">
        <f>A102+1</f>
        <v>55</v>
      </c>
      <c r="B109" s="455" t="s">
        <v>1084</v>
      </c>
      <c r="C109" s="457" t="s">
        <v>1120</v>
      </c>
      <c r="D109" s="454" t="s">
        <v>0</v>
      </c>
      <c r="E109" s="454">
        <v>0</v>
      </c>
      <c r="F109" s="454">
        <v>0</v>
      </c>
      <c r="G109" s="454">
        <f t="shared" si="4"/>
        <v>0</v>
      </c>
      <c r="H109" s="454">
        <v>1</v>
      </c>
      <c r="I109" s="455"/>
      <c r="J109" s="457" t="s">
        <v>1152</v>
      </c>
      <c r="K109" s="472"/>
      <c r="L109" s="455" t="s">
        <v>197</v>
      </c>
      <c r="Q109" s="264"/>
      <c r="R109" s="264"/>
      <c r="S109" s="264"/>
      <c r="T109" s="264"/>
      <c r="U109" s="264"/>
    </row>
    <row r="110" spans="1:21" s="259" customFormat="1" ht="44.25" hidden="1" customHeight="1" x14ac:dyDescent="0.25">
      <c r="A110" s="455" t="e">
        <f>#REF!+1</f>
        <v>#REF!</v>
      </c>
      <c r="B110" s="455" t="s">
        <v>1086</v>
      </c>
      <c r="C110" s="457" t="s">
        <v>1122</v>
      </c>
      <c r="D110" s="454" t="s">
        <v>0</v>
      </c>
      <c r="E110" s="454">
        <v>0</v>
      </c>
      <c r="F110" s="454">
        <v>0</v>
      </c>
      <c r="G110" s="454">
        <f t="shared" si="4"/>
        <v>0</v>
      </c>
      <c r="H110" s="454">
        <v>4</v>
      </c>
      <c r="I110" s="455"/>
      <c r="J110" s="457" t="s">
        <v>1152</v>
      </c>
      <c r="K110" s="472"/>
      <c r="L110" s="455" t="s">
        <v>197</v>
      </c>
      <c r="Q110" s="264"/>
      <c r="R110" s="264"/>
      <c r="S110" s="264"/>
      <c r="T110" s="264"/>
      <c r="U110" s="264"/>
    </row>
    <row r="111" spans="1:21" s="259" customFormat="1" ht="44.25" hidden="1" customHeight="1" x14ac:dyDescent="0.25">
      <c r="A111" s="455">
        <f>A68+1</f>
        <v>34</v>
      </c>
      <c r="B111" s="455" t="s">
        <v>1089</v>
      </c>
      <c r="C111" s="457" t="s">
        <v>1126</v>
      </c>
      <c r="D111" s="454" t="s">
        <v>0</v>
      </c>
      <c r="E111" s="454">
        <v>0</v>
      </c>
      <c r="F111" s="454">
        <v>0</v>
      </c>
      <c r="G111" s="454">
        <f t="shared" si="4"/>
        <v>0</v>
      </c>
      <c r="H111" s="454">
        <v>4</v>
      </c>
      <c r="I111" s="455"/>
      <c r="J111" s="457" t="s">
        <v>1164</v>
      </c>
      <c r="K111" s="472"/>
      <c r="L111" s="455" t="s">
        <v>197</v>
      </c>
      <c r="Q111" s="264"/>
      <c r="R111" s="264"/>
      <c r="S111" s="264"/>
      <c r="T111" s="264"/>
      <c r="U111" s="264"/>
    </row>
    <row r="112" spans="1:21" s="259" customFormat="1" ht="57.75" hidden="1" customHeight="1" x14ac:dyDescent="0.25">
      <c r="A112" s="455">
        <f t="shared" ref="A112:A115" si="6">A111+1</f>
        <v>35</v>
      </c>
      <c r="B112" s="455" t="s">
        <v>357</v>
      </c>
      <c r="C112" s="457" t="s">
        <v>358</v>
      </c>
      <c r="D112" s="454" t="s">
        <v>0</v>
      </c>
      <c r="E112" s="454">
        <v>2</v>
      </c>
      <c r="F112" s="454">
        <v>0</v>
      </c>
      <c r="G112" s="454">
        <f t="shared" si="4"/>
        <v>2</v>
      </c>
      <c r="H112" s="454">
        <v>4</v>
      </c>
      <c r="I112" s="455"/>
      <c r="J112" s="457" t="s">
        <v>1165</v>
      </c>
      <c r="K112" s="472"/>
      <c r="L112" s="455" t="s">
        <v>197</v>
      </c>
      <c r="Q112" s="264"/>
      <c r="R112" s="264"/>
      <c r="S112" s="264"/>
      <c r="T112" s="264"/>
      <c r="U112" s="264"/>
    </row>
    <row r="113" spans="1:21" s="259" customFormat="1" ht="63" hidden="1" customHeight="1" x14ac:dyDescent="0.25">
      <c r="A113" s="455">
        <f>A80+1</f>
        <v>45</v>
      </c>
      <c r="B113" s="455" t="s">
        <v>363</v>
      </c>
      <c r="C113" s="457" t="s">
        <v>364</v>
      </c>
      <c r="D113" s="454" t="s">
        <v>0</v>
      </c>
      <c r="E113" s="454">
        <v>0</v>
      </c>
      <c r="F113" s="454">
        <v>0</v>
      </c>
      <c r="G113" s="454">
        <f t="shared" si="4"/>
        <v>0</v>
      </c>
      <c r="H113" s="454">
        <v>26</v>
      </c>
      <c r="I113" s="455"/>
      <c r="J113" s="457" t="s">
        <v>1167</v>
      </c>
      <c r="K113" s="472"/>
      <c r="L113" s="455" t="s">
        <v>197</v>
      </c>
      <c r="Q113" s="264"/>
      <c r="R113" s="264"/>
      <c r="S113" s="264"/>
      <c r="T113" s="264"/>
      <c r="U113" s="264"/>
    </row>
    <row r="114" spans="1:21" s="259" customFormat="1" ht="63" hidden="1" customHeight="1" x14ac:dyDescent="0.25">
      <c r="A114" s="455">
        <f t="shared" si="6"/>
        <v>46</v>
      </c>
      <c r="B114" s="455" t="s">
        <v>1092</v>
      </c>
      <c r="C114" s="457" t="s">
        <v>1128</v>
      </c>
      <c r="D114" s="454" t="s">
        <v>0</v>
      </c>
      <c r="E114" s="454">
        <v>0</v>
      </c>
      <c r="F114" s="454">
        <v>0</v>
      </c>
      <c r="G114" s="454">
        <f t="shared" si="4"/>
        <v>0</v>
      </c>
      <c r="H114" s="454">
        <v>2</v>
      </c>
      <c r="I114" s="455"/>
      <c r="J114" s="457" t="s">
        <v>1152</v>
      </c>
      <c r="K114" s="472"/>
      <c r="L114" s="455" t="s">
        <v>197</v>
      </c>
      <c r="Q114" s="264"/>
      <c r="R114" s="264"/>
      <c r="S114" s="264"/>
      <c r="T114" s="264"/>
      <c r="U114" s="264"/>
    </row>
    <row r="115" spans="1:21" s="259" customFormat="1" ht="63" hidden="1" customHeight="1" x14ac:dyDescent="0.25">
      <c r="A115" s="455">
        <f t="shared" si="6"/>
        <v>47</v>
      </c>
      <c r="B115" s="455" t="s">
        <v>1093</v>
      </c>
      <c r="C115" s="457" t="s">
        <v>1129</v>
      </c>
      <c r="D115" s="454" t="s">
        <v>0</v>
      </c>
      <c r="E115" s="454">
        <v>0</v>
      </c>
      <c r="F115" s="454">
        <v>0</v>
      </c>
      <c r="G115" s="454">
        <f t="shared" si="4"/>
        <v>0</v>
      </c>
      <c r="H115" s="454">
        <v>1</v>
      </c>
      <c r="I115" s="455"/>
      <c r="J115" s="457" t="s">
        <v>1152</v>
      </c>
      <c r="K115" s="472"/>
      <c r="L115" s="455" t="s">
        <v>197</v>
      </c>
      <c r="Q115" s="264"/>
      <c r="R115" s="264"/>
      <c r="S115" s="264"/>
      <c r="T115" s="264"/>
      <c r="U115" s="264"/>
    </row>
    <row r="116" spans="1:21" s="264" customFormat="1" ht="45" hidden="1" customHeight="1" x14ac:dyDescent="0.25">
      <c r="A116" s="455" t="e">
        <f>#REF!+1</f>
        <v>#REF!</v>
      </c>
      <c r="B116" s="454" t="s">
        <v>715</v>
      </c>
      <c r="C116" s="457" t="s">
        <v>714</v>
      </c>
      <c r="D116" s="454" t="s">
        <v>0</v>
      </c>
      <c r="E116" s="454">
        <v>0</v>
      </c>
      <c r="F116" s="454">
        <v>0</v>
      </c>
      <c r="G116" s="454">
        <f t="shared" si="4"/>
        <v>0</v>
      </c>
      <c r="H116" s="454">
        <f>VLOOKUP(B116,'[1]Tháng 7.2025'!$B$23:$H$153,7,0)</f>
        <v>4</v>
      </c>
      <c r="I116" s="454"/>
      <c r="J116" s="457" t="s">
        <v>710</v>
      </c>
      <c r="K116" s="471"/>
      <c r="L116" s="456" t="s">
        <v>140</v>
      </c>
    </row>
    <row r="117" spans="1:21" s="258" customFormat="1" ht="51.75" customHeight="1" x14ac:dyDescent="0.25">
      <c r="A117" s="455">
        <v>57</v>
      </c>
      <c r="B117" s="454" t="s">
        <v>615</v>
      </c>
      <c r="C117" s="457" t="s">
        <v>616</v>
      </c>
      <c r="D117" s="455" t="s">
        <v>0</v>
      </c>
      <c r="E117" s="454">
        <v>1000</v>
      </c>
      <c r="F117" s="454">
        <v>80</v>
      </c>
      <c r="G117" s="454">
        <f>E117-F117</f>
        <v>920</v>
      </c>
      <c r="H117" s="454">
        <v>63</v>
      </c>
      <c r="I117" s="460"/>
      <c r="J117" s="457" t="s">
        <v>617</v>
      </c>
      <c r="K117" s="472">
        <v>1815</v>
      </c>
      <c r="L117" s="455" t="s">
        <v>76</v>
      </c>
      <c r="M117" s="258" t="s">
        <v>895</v>
      </c>
      <c r="N117" s="258" t="s">
        <v>896</v>
      </c>
      <c r="O117" s="258" t="s">
        <v>812</v>
      </c>
      <c r="P117" s="258" t="s">
        <v>813</v>
      </c>
      <c r="Q117" s="257" t="s">
        <v>827</v>
      </c>
      <c r="R117" s="257" t="s">
        <v>840</v>
      </c>
      <c r="S117" s="257"/>
      <c r="T117" s="257"/>
      <c r="U117" s="257"/>
    </row>
    <row r="118" spans="1:21" s="258" customFormat="1" ht="51.75" customHeight="1" x14ac:dyDescent="0.25">
      <c r="A118" s="455">
        <f>A117+1</f>
        <v>58</v>
      </c>
      <c r="B118" s="454" t="s">
        <v>618</v>
      </c>
      <c r="C118" s="457" t="s">
        <v>619</v>
      </c>
      <c r="D118" s="455" t="s">
        <v>0</v>
      </c>
      <c r="E118" s="454">
        <v>175</v>
      </c>
      <c r="F118" s="454">
        <v>32</v>
      </c>
      <c r="G118" s="454">
        <f>E118-F118</f>
        <v>143</v>
      </c>
      <c r="H118" s="454">
        <v>20</v>
      </c>
      <c r="I118" s="460"/>
      <c r="J118" s="457" t="s">
        <v>620</v>
      </c>
      <c r="K118" s="472"/>
      <c r="L118" s="455" t="s">
        <v>76</v>
      </c>
      <c r="M118" s="258" t="s">
        <v>895</v>
      </c>
      <c r="N118" s="258" t="s">
        <v>896</v>
      </c>
      <c r="O118" s="258" t="s">
        <v>812</v>
      </c>
      <c r="P118" s="258" t="s">
        <v>813</v>
      </c>
      <c r="Q118" s="257" t="s">
        <v>827</v>
      </c>
      <c r="R118" s="257" t="s">
        <v>840</v>
      </c>
      <c r="S118" s="257"/>
      <c r="T118" s="257"/>
      <c r="U118" s="257"/>
    </row>
    <row r="119" spans="1:21" s="260" customFormat="1" ht="34.5" customHeight="1" x14ac:dyDescent="0.25">
      <c r="A119" s="459" t="s">
        <v>20</v>
      </c>
      <c r="B119" s="455"/>
      <c r="C119" s="456"/>
      <c r="D119" s="455"/>
      <c r="E119" s="454"/>
      <c r="F119" s="454"/>
      <c r="G119" s="454"/>
      <c r="H119" s="454"/>
      <c r="I119" s="455"/>
      <c r="J119" s="455"/>
      <c r="K119" s="470"/>
      <c r="L119" s="469"/>
      <c r="Q119" s="285"/>
      <c r="R119" s="285"/>
      <c r="S119" s="285"/>
      <c r="T119" s="285"/>
      <c r="U119" s="285"/>
    </row>
    <row r="120" spans="1:21" s="257" customFormat="1" ht="60.75" customHeight="1" x14ac:dyDescent="0.25">
      <c r="A120" s="455">
        <v>59</v>
      </c>
      <c r="B120" s="455" t="s">
        <v>49</v>
      </c>
      <c r="C120" s="457" t="s">
        <v>50</v>
      </c>
      <c r="D120" s="455" t="s">
        <v>51</v>
      </c>
      <c r="E120" s="454">
        <v>0</v>
      </c>
      <c r="F120" s="454">
        <v>0</v>
      </c>
      <c r="G120" s="454">
        <f t="shared" ref="G120" si="7">E120-F120</f>
        <v>0</v>
      </c>
      <c r="H120" s="454">
        <v>30</v>
      </c>
      <c r="I120" s="455"/>
      <c r="J120" s="457" t="s">
        <v>876</v>
      </c>
      <c r="K120" s="472">
        <v>0</v>
      </c>
      <c r="L120" s="457" t="s">
        <v>140</v>
      </c>
      <c r="M120" s="386"/>
      <c r="N120" s="386" t="s">
        <v>896</v>
      </c>
      <c r="O120" s="386"/>
      <c r="Q120" s="386" t="s">
        <v>827</v>
      </c>
      <c r="R120" s="386" t="s">
        <v>840</v>
      </c>
      <c r="S120" s="386"/>
    </row>
    <row r="121" spans="1:21" s="257" customFormat="1" ht="43.5" customHeight="1" x14ac:dyDescent="0.25">
      <c r="A121" s="455">
        <v>60</v>
      </c>
      <c r="B121" s="455" t="s">
        <v>166</v>
      </c>
      <c r="C121" s="457" t="s">
        <v>167</v>
      </c>
      <c r="D121" s="455" t="s">
        <v>51</v>
      </c>
      <c r="E121" s="454">
        <v>0</v>
      </c>
      <c r="F121" s="454">
        <v>81</v>
      </c>
      <c r="G121" s="454">
        <v>0</v>
      </c>
      <c r="H121" s="454">
        <v>30</v>
      </c>
      <c r="I121" s="455"/>
      <c r="J121" s="457" t="s">
        <v>168</v>
      </c>
      <c r="K121" s="472">
        <v>4</v>
      </c>
      <c r="L121" s="456" t="s">
        <v>140</v>
      </c>
      <c r="N121" s="257" t="s">
        <v>896</v>
      </c>
      <c r="Q121" s="257" t="s">
        <v>827</v>
      </c>
      <c r="R121" s="257" t="s">
        <v>840</v>
      </c>
    </row>
    <row r="122" spans="1:21" s="258" customFormat="1" ht="30.75" customHeight="1" x14ac:dyDescent="0.25">
      <c r="A122" s="455">
        <f t="shared" ref="A122:A150" si="8">A121+1</f>
        <v>61</v>
      </c>
      <c r="B122" s="455" t="s">
        <v>174</v>
      </c>
      <c r="C122" s="456" t="s">
        <v>102</v>
      </c>
      <c r="D122" s="455" t="s">
        <v>66</v>
      </c>
      <c r="E122" s="454">
        <v>1800000</v>
      </c>
      <c r="F122" s="454">
        <v>47500</v>
      </c>
      <c r="G122" s="454">
        <v>0</v>
      </c>
      <c r="H122" s="454">
        <f>VLOOKUP(B122,'[1]Tháng 7.2025'!$B$23:$H$153,7,0)</f>
        <v>150000</v>
      </c>
      <c r="I122" s="455"/>
      <c r="J122" s="457" t="s">
        <v>103</v>
      </c>
      <c r="K122" s="471">
        <v>239581</v>
      </c>
      <c r="L122" s="455" t="s">
        <v>88</v>
      </c>
      <c r="M122" s="258" t="s">
        <v>895</v>
      </c>
      <c r="N122" s="258" t="s">
        <v>896</v>
      </c>
      <c r="Q122" s="257" t="s">
        <v>827</v>
      </c>
      <c r="R122" s="257" t="s">
        <v>840</v>
      </c>
      <c r="S122" s="257"/>
      <c r="T122" s="257"/>
      <c r="U122" s="257"/>
    </row>
    <row r="123" spans="1:21" s="258" customFormat="1" ht="30.75" customHeight="1" x14ac:dyDescent="0.25">
      <c r="A123" s="455">
        <f t="shared" si="8"/>
        <v>62</v>
      </c>
      <c r="B123" s="455" t="s">
        <v>880</v>
      </c>
      <c r="C123" s="456" t="s">
        <v>881</v>
      </c>
      <c r="D123" s="455" t="s">
        <v>66</v>
      </c>
      <c r="E123" s="454">
        <v>1800000</v>
      </c>
      <c r="F123" s="454">
        <v>0</v>
      </c>
      <c r="G123" s="454">
        <v>0</v>
      </c>
      <c r="H123" s="454">
        <v>30500</v>
      </c>
      <c r="I123" s="455"/>
      <c r="J123" s="457" t="s">
        <v>862</v>
      </c>
      <c r="K123" s="471"/>
      <c r="L123" s="455" t="s">
        <v>88</v>
      </c>
      <c r="M123" s="258" t="s">
        <v>895</v>
      </c>
      <c r="N123" s="258" t="s">
        <v>896</v>
      </c>
      <c r="Q123" s="257" t="s">
        <v>827</v>
      </c>
      <c r="R123" s="257" t="s">
        <v>840</v>
      </c>
      <c r="S123" s="257"/>
      <c r="T123" s="257"/>
      <c r="U123" s="257"/>
    </row>
    <row r="124" spans="1:21" s="258" customFormat="1" ht="30.75" customHeight="1" x14ac:dyDescent="0.25">
      <c r="A124" s="455">
        <f t="shared" si="8"/>
        <v>63</v>
      </c>
      <c r="B124" s="455" t="s">
        <v>147</v>
      </c>
      <c r="C124" s="457" t="s">
        <v>148</v>
      </c>
      <c r="D124" s="455" t="s">
        <v>66</v>
      </c>
      <c r="E124" s="454">
        <v>0</v>
      </c>
      <c r="F124" s="454">
        <v>0</v>
      </c>
      <c r="G124" s="454">
        <v>0</v>
      </c>
      <c r="H124" s="454">
        <f>VLOOKUP(B124,'[1]Tháng 7.2025'!$B$23:$H$153,7,0)</f>
        <v>100</v>
      </c>
      <c r="I124" s="454"/>
      <c r="J124" s="461" t="s">
        <v>374</v>
      </c>
      <c r="K124" s="472">
        <v>5379</v>
      </c>
      <c r="L124" s="455" t="s">
        <v>385</v>
      </c>
      <c r="N124" s="258" t="s">
        <v>896</v>
      </c>
      <c r="Q124" s="257" t="s">
        <v>827</v>
      </c>
      <c r="R124" s="257" t="s">
        <v>840</v>
      </c>
      <c r="S124" s="257"/>
      <c r="T124" s="257"/>
      <c r="U124" s="257"/>
    </row>
    <row r="125" spans="1:21" s="258" customFormat="1" ht="30.75" customHeight="1" x14ac:dyDescent="0.25">
      <c r="A125" s="455">
        <f t="shared" si="8"/>
        <v>64</v>
      </c>
      <c r="B125" s="455" t="s">
        <v>149</v>
      </c>
      <c r="C125" s="457" t="s">
        <v>150</v>
      </c>
      <c r="D125" s="455" t="s">
        <v>0</v>
      </c>
      <c r="E125" s="454">
        <v>0</v>
      </c>
      <c r="F125" s="454">
        <v>0</v>
      </c>
      <c r="G125" s="454">
        <v>0</v>
      </c>
      <c r="H125" s="454">
        <v>5000</v>
      </c>
      <c r="I125" s="454"/>
      <c r="J125" s="461" t="s">
        <v>151</v>
      </c>
      <c r="K125" s="472">
        <v>15000</v>
      </c>
      <c r="L125" s="455" t="s">
        <v>385</v>
      </c>
      <c r="M125" s="258" t="s">
        <v>895</v>
      </c>
      <c r="N125" s="258" t="s">
        <v>896</v>
      </c>
      <c r="Q125" s="257" t="s">
        <v>827</v>
      </c>
      <c r="R125" s="257" t="s">
        <v>840</v>
      </c>
      <c r="S125" s="257"/>
      <c r="T125" s="257"/>
      <c r="U125" s="257"/>
    </row>
    <row r="126" spans="1:21" s="259" customFormat="1" ht="30.75" hidden="1" customHeight="1" x14ac:dyDescent="0.25">
      <c r="A126" s="455">
        <f t="shared" si="8"/>
        <v>65</v>
      </c>
      <c r="B126" s="454" t="s">
        <v>883</v>
      </c>
      <c r="C126" s="457" t="s">
        <v>884</v>
      </c>
      <c r="D126" s="455" t="s">
        <v>0</v>
      </c>
      <c r="E126" s="454">
        <v>0</v>
      </c>
      <c r="F126" s="454">
        <v>0</v>
      </c>
      <c r="G126" s="454">
        <v>0</v>
      </c>
      <c r="H126" s="454">
        <v>150</v>
      </c>
      <c r="I126" s="454"/>
      <c r="J126" s="461" t="s">
        <v>906</v>
      </c>
      <c r="K126" s="472"/>
      <c r="L126" s="455" t="s">
        <v>385</v>
      </c>
      <c r="M126" s="259" t="s">
        <v>895</v>
      </c>
      <c r="N126" s="259" t="s">
        <v>896</v>
      </c>
      <c r="Q126" s="264"/>
      <c r="R126" s="264"/>
      <c r="S126" s="264"/>
      <c r="T126" s="264"/>
      <c r="U126" s="264"/>
    </row>
    <row r="127" spans="1:21" s="259" customFormat="1" ht="30.75" hidden="1" customHeight="1" x14ac:dyDescent="0.25">
      <c r="A127" s="455">
        <f t="shared" si="8"/>
        <v>66</v>
      </c>
      <c r="B127" s="454" t="s">
        <v>885</v>
      </c>
      <c r="C127" s="457" t="s">
        <v>886</v>
      </c>
      <c r="D127" s="454" t="s">
        <v>0</v>
      </c>
      <c r="E127" s="454">
        <v>0</v>
      </c>
      <c r="F127" s="454">
        <v>0</v>
      </c>
      <c r="G127" s="454">
        <v>0</v>
      </c>
      <c r="H127" s="454">
        <v>100</v>
      </c>
      <c r="I127" s="454"/>
      <c r="J127" s="461" t="s">
        <v>906</v>
      </c>
      <c r="K127" s="472"/>
      <c r="L127" s="455" t="s">
        <v>385</v>
      </c>
      <c r="M127" s="259" t="s">
        <v>895</v>
      </c>
      <c r="N127" s="259" t="s">
        <v>896</v>
      </c>
      <c r="Q127" s="264"/>
      <c r="R127" s="264"/>
      <c r="S127" s="264"/>
      <c r="T127" s="264"/>
      <c r="U127" s="264"/>
    </row>
    <row r="128" spans="1:21" s="259" customFormat="1" ht="30.75" hidden="1" customHeight="1" x14ac:dyDescent="0.25">
      <c r="A128" s="455">
        <f t="shared" si="8"/>
        <v>67</v>
      </c>
      <c r="B128" s="454" t="s">
        <v>887</v>
      </c>
      <c r="C128" s="457" t="s">
        <v>888</v>
      </c>
      <c r="D128" s="454" t="s">
        <v>66</v>
      </c>
      <c r="E128" s="454">
        <v>0</v>
      </c>
      <c r="F128" s="454">
        <v>0</v>
      </c>
      <c r="G128" s="454">
        <v>0</v>
      </c>
      <c r="H128" s="454">
        <v>10</v>
      </c>
      <c r="I128" s="454"/>
      <c r="J128" s="461" t="s">
        <v>906</v>
      </c>
      <c r="K128" s="472"/>
      <c r="L128" s="455" t="s">
        <v>385</v>
      </c>
      <c r="M128" s="259" t="s">
        <v>895</v>
      </c>
      <c r="N128" s="259" t="s">
        <v>896</v>
      </c>
      <c r="Q128" s="264"/>
      <c r="R128" s="264"/>
      <c r="S128" s="264"/>
      <c r="T128" s="264"/>
      <c r="U128" s="264"/>
    </row>
    <row r="129" spans="1:21" s="259" customFormat="1" ht="30.75" hidden="1" customHeight="1" x14ac:dyDescent="0.25">
      <c r="A129" s="455">
        <f t="shared" si="8"/>
        <v>68</v>
      </c>
      <c r="B129" s="454" t="s">
        <v>552</v>
      </c>
      <c r="C129" s="457" t="s">
        <v>553</v>
      </c>
      <c r="D129" s="454" t="s">
        <v>0</v>
      </c>
      <c r="E129" s="454">
        <v>0</v>
      </c>
      <c r="F129" s="454">
        <v>0</v>
      </c>
      <c r="G129" s="454">
        <v>0</v>
      </c>
      <c r="H129" s="454">
        <v>10</v>
      </c>
      <c r="I129" s="454"/>
      <c r="J129" s="461" t="s">
        <v>906</v>
      </c>
      <c r="K129" s="472"/>
      <c r="L129" s="455" t="s">
        <v>385</v>
      </c>
      <c r="M129" s="259" t="s">
        <v>895</v>
      </c>
      <c r="N129" s="259" t="s">
        <v>896</v>
      </c>
      <c r="Q129" s="264"/>
      <c r="R129" s="264"/>
      <c r="S129" s="264"/>
      <c r="T129" s="264"/>
      <c r="U129" s="264"/>
    </row>
    <row r="130" spans="1:21" s="259" customFormat="1" ht="30.75" hidden="1" customHeight="1" x14ac:dyDescent="0.25">
      <c r="A130" s="455">
        <f t="shared" si="8"/>
        <v>69</v>
      </c>
      <c r="B130" s="454" t="s">
        <v>889</v>
      </c>
      <c r="C130" s="457" t="s">
        <v>890</v>
      </c>
      <c r="D130" s="454" t="s">
        <v>390</v>
      </c>
      <c r="E130" s="454">
        <v>0</v>
      </c>
      <c r="F130" s="454">
        <v>0</v>
      </c>
      <c r="G130" s="454">
        <v>0</v>
      </c>
      <c r="H130" s="454">
        <v>100</v>
      </c>
      <c r="I130" s="454"/>
      <c r="J130" s="461" t="s">
        <v>906</v>
      </c>
      <c r="K130" s="472"/>
      <c r="L130" s="455" t="s">
        <v>385</v>
      </c>
      <c r="M130" s="259" t="s">
        <v>895</v>
      </c>
      <c r="N130" s="259" t="s">
        <v>896</v>
      </c>
      <c r="Q130" s="264"/>
      <c r="R130" s="264"/>
      <c r="S130" s="264"/>
      <c r="T130" s="264"/>
      <c r="U130" s="264"/>
    </row>
    <row r="131" spans="1:21" s="259" customFormat="1" ht="30.75" hidden="1" customHeight="1" x14ac:dyDescent="0.25">
      <c r="A131" s="455">
        <f t="shared" si="8"/>
        <v>70</v>
      </c>
      <c r="B131" s="454" t="s">
        <v>891</v>
      </c>
      <c r="C131" s="457" t="s">
        <v>892</v>
      </c>
      <c r="D131" s="454" t="s">
        <v>390</v>
      </c>
      <c r="E131" s="454">
        <v>0</v>
      </c>
      <c r="F131" s="454">
        <v>0</v>
      </c>
      <c r="G131" s="454">
        <v>0</v>
      </c>
      <c r="H131" s="454">
        <v>100</v>
      </c>
      <c r="I131" s="454"/>
      <c r="J131" s="461" t="s">
        <v>906</v>
      </c>
      <c r="K131" s="472"/>
      <c r="L131" s="455" t="s">
        <v>385</v>
      </c>
      <c r="M131" s="259" t="s">
        <v>895</v>
      </c>
      <c r="N131" s="259" t="s">
        <v>896</v>
      </c>
      <c r="Q131" s="264"/>
      <c r="R131" s="264"/>
      <c r="S131" s="264"/>
      <c r="T131" s="264"/>
      <c r="U131" s="264"/>
    </row>
    <row r="132" spans="1:21" s="259" customFormat="1" ht="25.5" hidden="1" x14ac:dyDescent="0.25">
      <c r="A132" s="455">
        <f t="shared" si="8"/>
        <v>71</v>
      </c>
      <c r="B132" s="455" t="s">
        <v>975</v>
      </c>
      <c r="C132" s="457" t="s">
        <v>1007</v>
      </c>
      <c r="D132" s="454" t="s">
        <v>0</v>
      </c>
      <c r="E132" s="454">
        <v>0</v>
      </c>
      <c r="F132" s="454">
        <v>0</v>
      </c>
      <c r="G132" s="454">
        <v>0</v>
      </c>
      <c r="H132" s="454">
        <v>200</v>
      </c>
      <c r="I132" s="455"/>
      <c r="J132" s="457" t="s">
        <v>1169</v>
      </c>
      <c r="K132" s="472"/>
      <c r="L132" s="455" t="s">
        <v>197</v>
      </c>
      <c r="Q132" s="264"/>
      <c r="R132" s="264"/>
      <c r="S132" s="264"/>
      <c r="T132" s="264"/>
      <c r="U132" s="264"/>
    </row>
    <row r="133" spans="1:21" s="259" customFormat="1" ht="15.75" hidden="1" x14ac:dyDescent="0.25">
      <c r="A133" s="455">
        <f t="shared" si="8"/>
        <v>72</v>
      </c>
      <c r="B133" s="455" t="s">
        <v>1095</v>
      </c>
      <c r="C133" s="457" t="s">
        <v>1131</v>
      </c>
      <c r="D133" s="454" t="s">
        <v>0</v>
      </c>
      <c r="E133" s="454">
        <v>0</v>
      </c>
      <c r="F133" s="454">
        <v>0</v>
      </c>
      <c r="G133" s="454">
        <v>0</v>
      </c>
      <c r="H133" s="454">
        <v>32</v>
      </c>
      <c r="I133" s="455"/>
      <c r="J133" s="457" t="s">
        <v>1169</v>
      </c>
      <c r="K133" s="472"/>
      <c r="L133" s="455" t="s">
        <v>197</v>
      </c>
      <c r="Q133" s="264"/>
      <c r="R133" s="264"/>
      <c r="S133" s="264"/>
      <c r="T133" s="264"/>
      <c r="U133" s="264"/>
    </row>
    <row r="134" spans="1:21" s="259" customFormat="1" ht="15.75" hidden="1" x14ac:dyDescent="0.25">
      <c r="A134" s="455">
        <f t="shared" si="8"/>
        <v>73</v>
      </c>
      <c r="B134" s="455" t="s">
        <v>1096</v>
      </c>
      <c r="C134" s="457" t="s">
        <v>1132</v>
      </c>
      <c r="D134" s="454" t="s">
        <v>0</v>
      </c>
      <c r="E134" s="454">
        <v>0</v>
      </c>
      <c r="F134" s="454">
        <v>0</v>
      </c>
      <c r="G134" s="454">
        <v>0</v>
      </c>
      <c r="H134" s="454">
        <v>32</v>
      </c>
      <c r="I134" s="455"/>
      <c r="J134" s="457" t="s">
        <v>1169</v>
      </c>
      <c r="K134" s="472"/>
      <c r="L134" s="455" t="s">
        <v>197</v>
      </c>
      <c r="Q134" s="264"/>
      <c r="R134" s="264"/>
      <c r="S134" s="264"/>
      <c r="T134" s="264"/>
      <c r="U134" s="264"/>
    </row>
    <row r="135" spans="1:21" s="259" customFormat="1" ht="25.5" hidden="1" x14ac:dyDescent="0.25">
      <c r="A135" s="455">
        <f t="shared" si="8"/>
        <v>74</v>
      </c>
      <c r="B135" s="455" t="s">
        <v>1097</v>
      </c>
      <c r="C135" s="457" t="s">
        <v>1133</v>
      </c>
      <c r="D135" s="454" t="s">
        <v>0</v>
      </c>
      <c r="E135" s="454">
        <v>0</v>
      </c>
      <c r="F135" s="454">
        <v>0</v>
      </c>
      <c r="G135" s="454">
        <v>0</v>
      </c>
      <c r="H135" s="454">
        <v>80</v>
      </c>
      <c r="I135" s="455"/>
      <c r="J135" s="457" t="s">
        <v>1169</v>
      </c>
      <c r="K135" s="472"/>
      <c r="L135" s="455" t="s">
        <v>197</v>
      </c>
      <c r="Q135" s="264"/>
      <c r="R135" s="264"/>
      <c r="S135" s="264"/>
      <c r="T135" s="264"/>
      <c r="U135" s="264"/>
    </row>
    <row r="136" spans="1:21" s="259" customFormat="1" ht="26.25" customHeight="1" x14ac:dyDescent="0.25">
      <c r="A136" s="455">
        <v>65</v>
      </c>
      <c r="B136" s="457" t="s">
        <v>1351</v>
      </c>
      <c r="C136" s="457" t="s">
        <v>1200</v>
      </c>
      <c r="D136" s="454" t="s">
        <v>2</v>
      </c>
      <c r="E136" s="454">
        <v>0</v>
      </c>
      <c r="F136" s="454">
        <v>0</v>
      </c>
      <c r="G136" s="454">
        <v>0</v>
      </c>
      <c r="H136" s="454">
        <v>10</v>
      </c>
      <c r="I136" s="455"/>
      <c r="J136" s="457" t="s">
        <v>1169</v>
      </c>
      <c r="K136" s="472"/>
      <c r="L136" s="455" t="s">
        <v>197</v>
      </c>
      <c r="Q136" s="264" t="s">
        <v>827</v>
      </c>
      <c r="R136" s="257" t="s">
        <v>840</v>
      </c>
      <c r="S136" s="264"/>
      <c r="T136" s="264"/>
      <c r="U136" s="264"/>
    </row>
    <row r="137" spans="1:21" s="259" customFormat="1" ht="33" customHeight="1" x14ac:dyDescent="0.25">
      <c r="A137" s="455">
        <v>66</v>
      </c>
      <c r="B137" s="457" t="s">
        <v>1352</v>
      </c>
      <c r="C137" s="457" t="s">
        <v>1353</v>
      </c>
      <c r="D137" s="454" t="s">
        <v>51</v>
      </c>
      <c r="E137" s="454">
        <v>0</v>
      </c>
      <c r="F137" s="454">
        <v>0</v>
      </c>
      <c r="G137" s="454">
        <v>0</v>
      </c>
      <c r="H137" s="454">
        <v>10</v>
      </c>
      <c r="I137" s="455"/>
      <c r="J137" s="457" t="s">
        <v>1169</v>
      </c>
      <c r="K137" s="472"/>
      <c r="L137" s="455" t="s">
        <v>197</v>
      </c>
      <c r="Q137" s="264" t="s">
        <v>827</v>
      </c>
      <c r="R137" s="257" t="s">
        <v>840</v>
      </c>
      <c r="S137" s="264"/>
      <c r="T137" s="264"/>
      <c r="U137" s="264"/>
    </row>
    <row r="138" spans="1:21" s="259" customFormat="1" ht="15.75" hidden="1" x14ac:dyDescent="0.25">
      <c r="A138" s="455">
        <f>A135+1</f>
        <v>75</v>
      </c>
      <c r="B138" s="455" t="s">
        <v>1098</v>
      </c>
      <c r="C138" s="457" t="s">
        <v>1134</v>
      </c>
      <c r="D138" s="454" t="s">
        <v>0</v>
      </c>
      <c r="E138" s="454">
        <v>0</v>
      </c>
      <c r="F138" s="454">
        <v>0</v>
      </c>
      <c r="G138" s="454">
        <v>0</v>
      </c>
      <c r="H138" s="454">
        <v>30</v>
      </c>
      <c r="I138" s="455"/>
      <c r="J138" s="457" t="s">
        <v>1169</v>
      </c>
      <c r="K138" s="472"/>
      <c r="L138" s="455" t="s">
        <v>197</v>
      </c>
      <c r="Q138" s="264" t="s">
        <v>827</v>
      </c>
      <c r="R138" s="257" t="s">
        <v>840</v>
      </c>
      <c r="S138" s="264"/>
      <c r="T138" s="264"/>
      <c r="U138" s="264"/>
    </row>
    <row r="139" spans="1:21" s="259" customFormat="1" ht="15.75" hidden="1" x14ac:dyDescent="0.25">
      <c r="A139" s="455">
        <f t="shared" si="8"/>
        <v>76</v>
      </c>
      <c r="B139" s="455" t="s">
        <v>552</v>
      </c>
      <c r="C139" s="457" t="s">
        <v>553</v>
      </c>
      <c r="D139" s="454" t="s">
        <v>0</v>
      </c>
      <c r="E139" s="454">
        <v>0</v>
      </c>
      <c r="F139" s="454">
        <v>0</v>
      </c>
      <c r="G139" s="454">
        <v>0</v>
      </c>
      <c r="H139" s="454">
        <v>36</v>
      </c>
      <c r="I139" s="455"/>
      <c r="J139" s="457" t="s">
        <v>1169</v>
      </c>
      <c r="K139" s="472"/>
      <c r="L139" s="455" t="s">
        <v>197</v>
      </c>
      <c r="Q139" s="264" t="s">
        <v>827</v>
      </c>
      <c r="R139" s="257" t="s">
        <v>840</v>
      </c>
      <c r="S139" s="264"/>
      <c r="T139" s="264"/>
      <c r="U139" s="264"/>
    </row>
    <row r="140" spans="1:21" s="259" customFormat="1" ht="15.75" hidden="1" x14ac:dyDescent="0.25">
      <c r="A140" s="455">
        <f t="shared" si="8"/>
        <v>77</v>
      </c>
      <c r="B140" s="455" t="s">
        <v>885</v>
      </c>
      <c r="C140" s="457" t="s">
        <v>886</v>
      </c>
      <c r="D140" s="454" t="s">
        <v>0</v>
      </c>
      <c r="E140" s="454">
        <v>0</v>
      </c>
      <c r="F140" s="454">
        <v>0</v>
      </c>
      <c r="G140" s="454">
        <v>0</v>
      </c>
      <c r="H140" s="454">
        <v>200</v>
      </c>
      <c r="I140" s="455"/>
      <c r="J140" s="457" t="s">
        <v>1169</v>
      </c>
      <c r="K140" s="472"/>
      <c r="L140" s="455" t="s">
        <v>197</v>
      </c>
      <c r="P140" s="259" t="s">
        <v>813</v>
      </c>
      <c r="Q140" s="264" t="s">
        <v>827</v>
      </c>
      <c r="R140" s="257" t="s">
        <v>840</v>
      </c>
      <c r="S140" s="264"/>
      <c r="T140" s="264"/>
      <c r="U140" s="264"/>
    </row>
    <row r="141" spans="1:21" s="259" customFormat="1" ht="30.75" customHeight="1" x14ac:dyDescent="0.25">
      <c r="A141" s="455">
        <v>67</v>
      </c>
      <c r="B141" s="455" t="s">
        <v>199</v>
      </c>
      <c r="C141" s="457" t="s">
        <v>799</v>
      </c>
      <c r="D141" s="455" t="s">
        <v>2</v>
      </c>
      <c r="E141" s="454">
        <v>0</v>
      </c>
      <c r="F141" s="454">
        <v>0</v>
      </c>
      <c r="G141" s="454">
        <v>0</v>
      </c>
      <c r="H141" s="454">
        <v>50</v>
      </c>
      <c r="I141" s="454"/>
      <c r="J141" s="457" t="s">
        <v>802</v>
      </c>
      <c r="K141" s="472"/>
      <c r="L141" s="455" t="s">
        <v>385</v>
      </c>
      <c r="M141" s="259" t="s">
        <v>895</v>
      </c>
      <c r="N141" s="462" t="s">
        <v>896</v>
      </c>
      <c r="P141" s="259" t="s">
        <v>813</v>
      </c>
      <c r="Q141" s="264" t="s">
        <v>827</v>
      </c>
      <c r="R141" s="257" t="s">
        <v>840</v>
      </c>
      <c r="S141" s="264"/>
      <c r="T141" s="264"/>
      <c r="U141" s="264"/>
    </row>
    <row r="142" spans="1:21" s="259" customFormat="1" ht="30.75" customHeight="1" x14ac:dyDescent="0.25">
      <c r="A142" s="455">
        <f t="shared" si="8"/>
        <v>68</v>
      </c>
      <c r="B142" s="455" t="s">
        <v>1055</v>
      </c>
      <c r="C142" s="457" t="s">
        <v>1056</v>
      </c>
      <c r="D142" s="455" t="s">
        <v>804</v>
      </c>
      <c r="E142" s="454">
        <v>0</v>
      </c>
      <c r="F142" s="454">
        <v>0</v>
      </c>
      <c r="G142" s="454">
        <v>0</v>
      </c>
      <c r="H142" s="454">
        <v>50</v>
      </c>
      <c r="I142" s="454"/>
      <c r="J142" s="457" t="s">
        <v>803</v>
      </c>
      <c r="K142" s="472"/>
      <c r="L142" s="455" t="s">
        <v>385</v>
      </c>
      <c r="M142" s="259" t="s">
        <v>895</v>
      </c>
      <c r="N142" s="462" t="s">
        <v>896</v>
      </c>
      <c r="Q142" s="264" t="s">
        <v>827</v>
      </c>
      <c r="R142" s="257" t="s">
        <v>840</v>
      </c>
      <c r="S142" s="264"/>
      <c r="T142" s="264"/>
      <c r="U142" s="264"/>
    </row>
    <row r="143" spans="1:21" s="259" customFormat="1" ht="30.75" customHeight="1" x14ac:dyDescent="0.25">
      <c r="A143" s="455">
        <f t="shared" si="8"/>
        <v>69</v>
      </c>
      <c r="B143" s="455" t="s">
        <v>1057</v>
      </c>
      <c r="C143" s="457" t="s">
        <v>1058</v>
      </c>
      <c r="D143" s="455" t="s">
        <v>804</v>
      </c>
      <c r="E143" s="454">
        <v>0</v>
      </c>
      <c r="F143" s="454">
        <v>0</v>
      </c>
      <c r="G143" s="454">
        <v>0</v>
      </c>
      <c r="H143" s="454">
        <v>50</v>
      </c>
      <c r="I143" s="454"/>
      <c r="J143" s="457" t="s">
        <v>803</v>
      </c>
      <c r="K143" s="472"/>
      <c r="L143" s="455" t="s">
        <v>385</v>
      </c>
      <c r="M143" s="259" t="s">
        <v>895</v>
      </c>
      <c r="N143" s="462" t="s">
        <v>896</v>
      </c>
      <c r="Q143" s="264" t="s">
        <v>827</v>
      </c>
      <c r="R143" s="257" t="s">
        <v>840</v>
      </c>
      <c r="S143" s="264"/>
      <c r="T143" s="264"/>
      <c r="U143" s="264"/>
    </row>
    <row r="144" spans="1:21" s="258" customFormat="1" ht="53.25" customHeight="1" x14ac:dyDescent="0.25">
      <c r="A144" s="455">
        <f t="shared" si="8"/>
        <v>70</v>
      </c>
      <c r="B144" s="454" t="s">
        <v>40</v>
      </c>
      <c r="C144" s="457" t="s">
        <v>1</v>
      </c>
      <c r="D144" s="455" t="s">
        <v>2</v>
      </c>
      <c r="E144" s="454">
        <v>16200</v>
      </c>
      <c r="F144" s="454">
        <v>2017</v>
      </c>
      <c r="G144" s="454">
        <v>0</v>
      </c>
      <c r="H144" s="454">
        <v>3000</v>
      </c>
      <c r="I144" s="454"/>
      <c r="J144" s="461" t="s">
        <v>119</v>
      </c>
      <c r="K144" s="472"/>
      <c r="L144" s="455" t="s">
        <v>76</v>
      </c>
      <c r="M144" s="258" t="s">
        <v>895</v>
      </c>
      <c r="N144" s="258" t="s">
        <v>896</v>
      </c>
      <c r="O144" s="258" t="s">
        <v>812</v>
      </c>
      <c r="P144" s="258" t="s">
        <v>813</v>
      </c>
      <c r="Q144" s="257" t="s">
        <v>827</v>
      </c>
      <c r="R144" s="257" t="s">
        <v>840</v>
      </c>
      <c r="S144" s="257"/>
      <c r="T144" s="257"/>
      <c r="U144" s="257"/>
    </row>
    <row r="145" spans="1:21" s="258" customFormat="1" ht="53.25" customHeight="1" x14ac:dyDescent="0.25">
      <c r="A145" s="455">
        <f t="shared" si="8"/>
        <v>71</v>
      </c>
      <c r="B145" s="454" t="s">
        <v>130</v>
      </c>
      <c r="C145" s="457" t="s">
        <v>131</v>
      </c>
      <c r="D145" s="455" t="s">
        <v>66</v>
      </c>
      <c r="E145" s="454">
        <v>206904.96973333333</v>
      </c>
      <c r="F145" s="454">
        <v>206904.96973333333</v>
      </c>
      <c r="G145" s="454">
        <v>0</v>
      </c>
      <c r="H145" s="454">
        <v>20000</v>
      </c>
      <c r="I145" s="454"/>
      <c r="J145" s="461" t="s">
        <v>808</v>
      </c>
      <c r="K145" s="472"/>
      <c r="L145" s="455" t="s">
        <v>76</v>
      </c>
      <c r="M145" s="258" t="s">
        <v>895</v>
      </c>
      <c r="N145" s="445" t="s">
        <v>896</v>
      </c>
      <c r="O145" s="258" t="s">
        <v>812</v>
      </c>
      <c r="P145" s="258" t="s">
        <v>813</v>
      </c>
      <c r="Q145" s="257" t="s">
        <v>827</v>
      </c>
      <c r="R145" s="257" t="s">
        <v>840</v>
      </c>
      <c r="S145" s="257"/>
      <c r="T145" s="257"/>
      <c r="U145" s="257"/>
    </row>
    <row r="146" spans="1:21" s="258" customFormat="1" ht="53.25" customHeight="1" x14ac:dyDescent="0.25">
      <c r="A146" s="455">
        <f t="shared" si="8"/>
        <v>72</v>
      </c>
      <c r="B146" s="454" t="s">
        <v>67</v>
      </c>
      <c r="C146" s="457" t="s">
        <v>68</v>
      </c>
      <c r="D146" s="455" t="s">
        <v>66</v>
      </c>
      <c r="E146" s="454">
        <v>64958.94</v>
      </c>
      <c r="F146" s="454">
        <v>64958.94</v>
      </c>
      <c r="G146" s="454">
        <v>0</v>
      </c>
      <c r="H146" s="454">
        <v>13000</v>
      </c>
      <c r="I146" s="454"/>
      <c r="J146" s="456" t="s">
        <v>134</v>
      </c>
      <c r="K146" s="472"/>
      <c r="L146" s="455" t="s">
        <v>76</v>
      </c>
      <c r="M146" s="258" t="s">
        <v>895</v>
      </c>
      <c r="N146" s="445" t="s">
        <v>896</v>
      </c>
      <c r="O146" s="258" t="s">
        <v>812</v>
      </c>
      <c r="P146" s="258" t="s">
        <v>813</v>
      </c>
      <c r="Q146" s="257" t="s">
        <v>827</v>
      </c>
      <c r="R146" s="257" t="s">
        <v>840</v>
      </c>
      <c r="S146" s="257"/>
      <c r="T146" s="257"/>
      <c r="U146" s="257"/>
    </row>
    <row r="147" spans="1:21" s="258" customFormat="1" ht="53.25" customHeight="1" x14ac:dyDescent="0.25">
      <c r="A147" s="455">
        <f t="shared" si="8"/>
        <v>73</v>
      </c>
      <c r="B147" s="455" t="s">
        <v>69</v>
      </c>
      <c r="C147" s="457" t="s">
        <v>774</v>
      </c>
      <c r="D147" s="455" t="s">
        <v>66</v>
      </c>
      <c r="E147" s="454">
        <v>5922674.0470867204</v>
      </c>
      <c r="F147" s="454">
        <v>0</v>
      </c>
      <c r="G147" s="454">
        <v>0</v>
      </c>
      <c r="H147" s="454">
        <f>VLOOKUP(B147,'[1]Tháng 7.2025'!$B$23:$H$153,7,0)</f>
        <v>900000</v>
      </c>
      <c r="I147" s="454"/>
      <c r="J147" s="461" t="s">
        <v>772</v>
      </c>
      <c r="K147" s="472"/>
      <c r="L147" s="455" t="s">
        <v>76</v>
      </c>
      <c r="M147" s="258" t="s">
        <v>895</v>
      </c>
      <c r="N147" s="445" t="s">
        <v>896</v>
      </c>
      <c r="O147" s="258" t="s">
        <v>812</v>
      </c>
      <c r="P147" s="258" t="s">
        <v>813</v>
      </c>
      <c r="Q147" s="257" t="s">
        <v>827</v>
      </c>
      <c r="R147" s="257" t="s">
        <v>840</v>
      </c>
      <c r="S147" s="257"/>
      <c r="T147" s="257"/>
      <c r="U147" s="257"/>
    </row>
    <row r="148" spans="1:21" s="258" customFormat="1" ht="53.25" customHeight="1" x14ac:dyDescent="0.25">
      <c r="A148" s="455">
        <f t="shared" si="8"/>
        <v>74</v>
      </c>
      <c r="B148" s="454" t="s">
        <v>72</v>
      </c>
      <c r="C148" s="457" t="s">
        <v>73</v>
      </c>
      <c r="D148" s="455" t="s">
        <v>66</v>
      </c>
      <c r="E148" s="454">
        <v>235630.41759999999</v>
      </c>
      <c r="F148" s="454">
        <v>235630.41759999999</v>
      </c>
      <c r="G148" s="454">
        <v>0</v>
      </c>
      <c r="H148" s="454">
        <v>26000</v>
      </c>
      <c r="I148" s="454"/>
      <c r="J148" s="461" t="s">
        <v>809</v>
      </c>
      <c r="K148" s="472"/>
      <c r="L148" s="455" t="s">
        <v>76</v>
      </c>
      <c r="M148" s="258" t="s">
        <v>895</v>
      </c>
      <c r="N148" s="258" t="s">
        <v>896</v>
      </c>
      <c r="O148" s="258" t="s">
        <v>812</v>
      </c>
      <c r="P148" s="258" t="s">
        <v>813</v>
      </c>
      <c r="Q148" s="257" t="s">
        <v>827</v>
      </c>
      <c r="R148" s="257" t="s">
        <v>840</v>
      </c>
      <c r="S148" s="257"/>
      <c r="T148" s="257"/>
      <c r="U148" s="257"/>
    </row>
    <row r="149" spans="1:21" s="258" customFormat="1" ht="53.25" customHeight="1" x14ac:dyDescent="0.25">
      <c r="A149" s="455">
        <f t="shared" si="8"/>
        <v>75</v>
      </c>
      <c r="B149" s="454" t="s">
        <v>137</v>
      </c>
      <c r="C149" s="457" t="s">
        <v>138</v>
      </c>
      <c r="D149" s="455" t="s">
        <v>66</v>
      </c>
      <c r="E149" s="454">
        <v>100920.97651851852</v>
      </c>
      <c r="F149" s="454">
        <v>0</v>
      </c>
      <c r="G149" s="454">
        <v>0</v>
      </c>
      <c r="H149" s="454">
        <v>16000</v>
      </c>
      <c r="I149" s="454"/>
      <c r="J149" s="461" t="s">
        <v>810</v>
      </c>
      <c r="K149" s="472"/>
      <c r="L149" s="455" t="s">
        <v>76</v>
      </c>
      <c r="M149" s="258" t="s">
        <v>895</v>
      </c>
      <c r="N149" s="445" t="s">
        <v>896</v>
      </c>
      <c r="O149" s="258" t="s">
        <v>812</v>
      </c>
      <c r="P149" s="258" t="s">
        <v>813</v>
      </c>
      <c r="Q149" s="257" t="s">
        <v>827</v>
      </c>
      <c r="R149" s="257" t="s">
        <v>840</v>
      </c>
      <c r="S149" s="257"/>
      <c r="T149" s="257"/>
      <c r="U149" s="257"/>
    </row>
    <row r="150" spans="1:21" s="258" customFormat="1" ht="53.25" customHeight="1" x14ac:dyDescent="0.25">
      <c r="A150" s="455">
        <f t="shared" si="8"/>
        <v>76</v>
      </c>
      <c r="B150" s="455" t="s">
        <v>144</v>
      </c>
      <c r="C150" s="457" t="s">
        <v>145</v>
      </c>
      <c r="D150" s="455" t="s">
        <v>66</v>
      </c>
      <c r="E150" s="454">
        <v>218080</v>
      </c>
      <c r="F150" s="454">
        <v>0</v>
      </c>
      <c r="G150" s="454">
        <v>0</v>
      </c>
      <c r="H150" s="454">
        <v>18000</v>
      </c>
      <c r="I150" s="454"/>
      <c r="J150" s="461" t="s">
        <v>811</v>
      </c>
      <c r="K150" s="472"/>
      <c r="L150" s="455" t="s">
        <v>76</v>
      </c>
      <c r="M150" s="258" t="s">
        <v>895</v>
      </c>
      <c r="N150" s="445" t="s">
        <v>896</v>
      </c>
      <c r="O150" s="258" t="s">
        <v>812</v>
      </c>
      <c r="P150" s="258" t="s">
        <v>813</v>
      </c>
      <c r="Q150" s="257" t="s">
        <v>827</v>
      </c>
      <c r="R150" s="257" t="s">
        <v>840</v>
      </c>
      <c r="S150" s="257"/>
      <c r="T150" s="257"/>
      <c r="U150" s="257"/>
    </row>
    <row r="151" spans="1:21" ht="24" customHeight="1" x14ac:dyDescent="0.25">
      <c r="A151" s="455">
        <v>77</v>
      </c>
      <c r="B151" s="467" t="s">
        <v>925</v>
      </c>
      <c r="C151" s="467" t="s">
        <v>926</v>
      </c>
      <c r="D151" s="454" t="s">
        <v>42</v>
      </c>
      <c r="E151" s="454">
        <v>6</v>
      </c>
      <c r="F151" s="454">
        <v>0</v>
      </c>
      <c r="G151" s="454">
        <v>0</v>
      </c>
      <c r="H151" s="454">
        <v>6</v>
      </c>
      <c r="I151" s="455"/>
      <c r="J151" s="475" t="s">
        <v>1377</v>
      </c>
      <c r="K151" s="474"/>
      <c r="L151" s="475"/>
      <c r="R151" s="257"/>
    </row>
    <row r="152" spans="1:21" ht="33.75" customHeight="1" x14ac:dyDescent="0.25">
      <c r="A152" s="455">
        <v>78</v>
      </c>
      <c r="B152" s="467" t="s">
        <v>1229</v>
      </c>
      <c r="C152" s="467" t="s">
        <v>1230</v>
      </c>
      <c r="D152" s="454" t="s">
        <v>1019</v>
      </c>
      <c r="E152" s="454">
        <v>3</v>
      </c>
      <c r="F152" s="454">
        <v>0</v>
      </c>
      <c r="G152" s="454">
        <v>0</v>
      </c>
      <c r="H152" s="454">
        <v>3</v>
      </c>
      <c r="I152" s="455"/>
      <c r="J152" s="475" t="s">
        <v>1377</v>
      </c>
      <c r="K152" s="474"/>
      <c r="L152" s="475"/>
    </row>
    <row r="153" spans="1:21" ht="33.75" customHeight="1" x14ac:dyDescent="0.25">
      <c r="A153" s="455">
        <v>79</v>
      </c>
      <c r="B153" s="467" t="s">
        <v>1267</v>
      </c>
      <c r="C153" s="467" t="s">
        <v>1268</v>
      </c>
      <c r="D153" s="454" t="s">
        <v>1019</v>
      </c>
      <c r="E153" s="454">
        <v>1</v>
      </c>
      <c r="F153" s="454">
        <v>0</v>
      </c>
      <c r="G153" s="454">
        <v>0</v>
      </c>
      <c r="H153" s="454">
        <v>1</v>
      </c>
      <c r="I153" s="455"/>
      <c r="J153" s="475" t="s">
        <v>1377</v>
      </c>
      <c r="K153" s="474"/>
      <c r="L153" s="475"/>
    </row>
    <row r="154" spans="1:21" ht="33.75" customHeight="1" x14ac:dyDescent="0.25">
      <c r="A154" s="455">
        <v>80</v>
      </c>
      <c r="B154" s="467" t="s">
        <v>1271</v>
      </c>
      <c r="C154" s="467" t="s">
        <v>1272</v>
      </c>
      <c r="D154" s="454" t="s">
        <v>1019</v>
      </c>
      <c r="E154" s="454">
        <v>7</v>
      </c>
      <c r="F154" s="454">
        <v>0</v>
      </c>
      <c r="G154" s="454">
        <v>0</v>
      </c>
      <c r="H154" s="454">
        <v>7</v>
      </c>
      <c r="I154" s="455"/>
      <c r="J154" s="475" t="s">
        <v>1377</v>
      </c>
      <c r="K154" s="474"/>
      <c r="L154" s="475"/>
    </row>
    <row r="155" spans="1:21" ht="24" customHeight="1" x14ac:dyDescent="0.25">
      <c r="A155" s="455">
        <v>81</v>
      </c>
      <c r="B155" s="467" t="s">
        <v>1369</v>
      </c>
      <c r="C155" s="467" t="s">
        <v>1370</v>
      </c>
      <c r="D155" s="454" t="s">
        <v>0</v>
      </c>
      <c r="E155" s="454">
        <v>10</v>
      </c>
      <c r="F155" s="454">
        <v>0</v>
      </c>
      <c r="G155" s="454">
        <v>0</v>
      </c>
      <c r="H155" s="454">
        <v>10</v>
      </c>
      <c r="I155" s="455"/>
      <c r="J155" s="475" t="s">
        <v>1377</v>
      </c>
      <c r="K155" s="474"/>
      <c r="L155" s="475"/>
    </row>
    <row r="156" spans="1:21" ht="24" customHeight="1" x14ac:dyDescent="0.25">
      <c r="A156" s="455">
        <v>82</v>
      </c>
      <c r="B156" s="467" t="s">
        <v>1371</v>
      </c>
      <c r="C156" s="467" t="s">
        <v>1372</v>
      </c>
      <c r="D156" s="454" t="s">
        <v>0</v>
      </c>
      <c r="E156" s="454">
        <v>17</v>
      </c>
      <c r="F156" s="454">
        <v>0</v>
      </c>
      <c r="G156" s="454">
        <v>0</v>
      </c>
      <c r="H156" s="454">
        <v>17</v>
      </c>
      <c r="I156" s="455"/>
      <c r="J156" s="475" t="s">
        <v>1377</v>
      </c>
      <c r="K156" s="474"/>
      <c r="L156" s="475"/>
    </row>
    <row r="157" spans="1:21" ht="59.25" customHeight="1" x14ac:dyDescent="0.25">
      <c r="A157" s="455">
        <v>83</v>
      </c>
      <c r="B157" s="467" t="s">
        <v>1373</v>
      </c>
      <c r="C157" s="467" t="s">
        <v>1374</v>
      </c>
      <c r="D157" s="454" t="s">
        <v>0</v>
      </c>
      <c r="E157" s="454">
        <v>3</v>
      </c>
      <c r="F157" s="454">
        <v>0</v>
      </c>
      <c r="G157" s="454">
        <v>0</v>
      </c>
      <c r="H157" s="454">
        <v>3</v>
      </c>
      <c r="I157" s="455"/>
      <c r="J157" s="475" t="s">
        <v>1377</v>
      </c>
      <c r="K157" s="474"/>
      <c r="L157" s="475"/>
    </row>
    <row r="158" spans="1:21" ht="59.25" customHeight="1" x14ac:dyDescent="0.25">
      <c r="A158" s="455">
        <v>84</v>
      </c>
      <c r="B158" s="454" t="s">
        <v>1375</v>
      </c>
      <c r="C158" s="457" t="s">
        <v>1376</v>
      </c>
      <c r="D158" s="454" t="s">
        <v>0</v>
      </c>
      <c r="E158" s="454">
        <v>2</v>
      </c>
      <c r="F158" s="454">
        <v>0</v>
      </c>
      <c r="G158" s="454">
        <v>0</v>
      </c>
      <c r="H158" s="454">
        <v>2</v>
      </c>
      <c r="I158" s="455"/>
      <c r="J158" s="475" t="s">
        <v>1377</v>
      </c>
      <c r="K158" s="474"/>
      <c r="L158" s="475"/>
    </row>
    <row r="159" spans="1:21" ht="42.75" customHeight="1" x14ac:dyDescent="0.25">
      <c r="A159" s="455">
        <v>85</v>
      </c>
      <c r="B159" s="467" t="s">
        <v>1378</v>
      </c>
      <c r="C159" s="467" t="s">
        <v>1379</v>
      </c>
      <c r="D159" s="454" t="s">
        <v>0</v>
      </c>
      <c r="E159" s="454">
        <v>2</v>
      </c>
      <c r="F159" s="454">
        <v>0</v>
      </c>
      <c r="G159" s="454">
        <v>0</v>
      </c>
      <c r="H159" s="454">
        <v>2</v>
      </c>
      <c r="I159" s="455"/>
      <c r="J159" s="475" t="s">
        <v>1377</v>
      </c>
      <c r="K159" s="474"/>
      <c r="L159" s="475"/>
    </row>
    <row r="160" spans="1:21" ht="30" customHeight="1" x14ac:dyDescent="0.25">
      <c r="A160" s="455">
        <v>86</v>
      </c>
      <c r="B160" s="467" t="s">
        <v>1380</v>
      </c>
      <c r="C160" s="467" t="s">
        <v>1381</v>
      </c>
      <c r="D160" s="454" t="s">
        <v>0</v>
      </c>
      <c r="E160" s="454">
        <v>1</v>
      </c>
      <c r="F160" s="454">
        <v>0</v>
      </c>
      <c r="G160" s="454">
        <v>0</v>
      </c>
      <c r="H160" s="454">
        <v>1</v>
      </c>
      <c r="I160" s="455"/>
      <c r="J160" s="475" t="s">
        <v>1377</v>
      </c>
      <c r="K160" s="474"/>
      <c r="L160" s="475"/>
    </row>
    <row r="161" spans="1:12" ht="35.25" customHeight="1" x14ac:dyDescent="0.25">
      <c r="A161" s="455">
        <v>87</v>
      </c>
      <c r="B161" s="467" t="s">
        <v>1382</v>
      </c>
      <c r="C161" s="467" t="s">
        <v>1383</v>
      </c>
      <c r="D161" s="454" t="s">
        <v>0</v>
      </c>
      <c r="E161" s="454">
        <v>5</v>
      </c>
      <c r="F161" s="454">
        <v>0</v>
      </c>
      <c r="G161" s="454">
        <v>0</v>
      </c>
      <c r="H161" s="454">
        <v>5</v>
      </c>
      <c r="I161" s="455"/>
      <c r="J161" s="475" t="s">
        <v>1377</v>
      </c>
      <c r="K161" s="474"/>
      <c r="L161" s="475"/>
    </row>
    <row r="162" spans="1:12" ht="32.25" customHeight="1" x14ac:dyDescent="0.25">
      <c r="A162" s="455">
        <v>88</v>
      </c>
      <c r="B162" s="467" t="s">
        <v>1384</v>
      </c>
      <c r="C162" s="467" t="s">
        <v>1385</v>
      </c>
      <c r="D162" s="454" t="s">
        <v>0</v>
      </c>
      <c r="E162" s="454">
        <v>2</v>
      </c>
      <c r="F162" s="454">
        <v>0</v>
      </c>
      <c r="G162" s="454">
        <v>0</v>
      </c>
      <c r="H162" s="454">
        <v>2</v>
      </c>
      <c r="I162" s="455"/>
      <c r="J162" s="475" t="s">
        <v>1377</v>
      </c>
      <c r="K162" s="474"/>
      <c r="L162" s="475"/>
    </row>
    <row r="163" spans="1:12" ht="48.75" customHeight="1" x14ac:dyDescent="0.25">
      <c r="A163" s="455">
        <v>89</v>
      </c>
      <c r="B163" s="467" t="s">
        <v>1386</v>
      </c>
      <c r="C163" s="467" t="s">
        <v>1387</v>
      </c>
      <c r="D163" s="454" t="s">
        <v>0</v>
      </c>
      <c r="E163" s="454">
        <v>2</v>
      </c>
      <c r="F163" s="454">
        <v>0</v>
      </c>
      <c r="G163" s="454">
        <v>0</v>
      </c>
      <c r="H163" s="454">
        <v>2</v>
      </c>
      <c r="I163" s="455"/>
      <c r="J163" s="475" t="s">
        <v>1377</v>
      </c>
      <c r="K163" s="474"/>
      <c r="L163" s="475"/>
    </row>
    <row r="164" spans="1:12" ht="56.25" customHeight="1" x14ac:dyDescent="0.25">
      <c r="A164" s="455">
        <v>90</v>
      </c>
      <c r="B164" s="467" t="s">
        <v>1388</v>
      </c>
      <c r="C164" s="467" t="s">
        <v>1389</v>
      </c>
      <c r="D164" s="454" t="s">
        <v>0</v>
      </c>
      <c r="E164" s="454">
        <v>3</v>
      </c>
      <c r="F164" s="454">
        <v>0</v>
      </c>
      <c r="G164" s="454">
        <v>0</v>
      </c>
      <c r="H164" s="454">
        <v>3</v>
      </c>
      <c r="I164" s="455"/>
      <c r="J164" s="475" t="s">
        <v>1377</v>
      </c>
      <c r="K164" s="474"/>
      <c r="L164" s="475"/>
    </row>
    <row r="165" spans="1:12" ht="72.75" customHeight="1" x14ac:dyDescent="0.25">
      <c r="A165" s="455">
        <v>91</v>
      </c>
      <c r="B165" s="467" t="s">
        <v>1390</v>
      </c>
      <c r="C165" s="467" t="s">
        <v>1391</v>
      </c>
      <c r="D165" s="454" t="s">
        <v>0</v>
      </c>
      <c r="E165" s="454">
        <v>4</v>
      </c>
      <c r="F165" s="454">
        <v>0</v>
      </c>
      <c r="G165" s="454">
        <v>0</v>
      </c>
      <c r="H165" s="454">
        <v>4</v>
      </c>
      <c r="I165" s="455"/>
      <c r="J165" s="475" t="s">
        <v>1377</v>
      </c>
      <c r="K165" s="474"/>
      <c r="L165" s="475"/>
    </row>
    <row r="166" spans="1:12" ht="26.25" customHeight="1" x14ac:dyDescent="0.25">
      <c r="A166" s="455">
        <v>92</v>
      </c>
      <c r="B166" s="455"/>
      <c r="C166" s="467" t="s">
        <v>1392</v>
      </c>
      <c r="D166" s="454" t="s">
        <v>428</v>
      </c>
      <c r="E166" s="455">
        <v>25</v>
      </c>
      <c r="F166" s="454">
        <v>0</v>
      </c>
      <c r="G166" s="454">
        <v>0</v>
      </c>
      <c r="H166" s="455">
        <v>25</v>
      </c>
      <c r="I166" s="455"/>
      <c r="J166" s="457" t="s">
        <v>1415</v>
      </c>
      <c r="K166" s="474"/>
      <c r="L166" s="475"/>
    </row>
    <row r="167" spans="1:12" ht="26.25" customHeight="1" x14ac:dyDescent="0.25">
      <c r="A167" s="455">
        <v>93</v>
      </c>
      <c r="B167" s="455"/>
      <c r="C167" s="467" t="s">
        <v>1393</v>
      </c>
      <c r="D167" s="454" t="s">
        <v>0</v>
      </c>
      <c r="E167" s="455">
        <v>1</v>
      </c>
      <c r="F167" s="454">
        <v>0</v>
      </c>
      <c r="G167" s="454">
        <v>0</v>
      </c>
      <c r="H167" s="455">
        <v>1</v>
      </c>
      <c r="I167" s="455"/>
      <c r="J167" s="457" t="s">
        <v>1415</v>
      </c>
      <c r="K167" s="474"/>
      <c r="L167" s="475"/>
    </row>
    <row r="168" spans="1:12" ht="26.25" customHeight="1" x14ac:dyDescent="0.25">
      <c r="A168" s="455">
        <v>94</v>
      </c>
      <c r="B168" s="455"/>
      <c r="C168" s="467" t="s">
        <v>1394</v>
      </c>
      <c r="D168" s="454" t="s">
        <v>0</v>
      </c>
      <c r="E168" s="455">
        <v>10</v>
      </c>
      <c r="F168" s="454">
        <v>0</v>
      </c>
      <c r="G168" s="454">
        <v>0</v>
      </c>
      <c r="H168" s="455">
        <v>10</v>
      </c>
      <c r="I168" s="455"/>
      <c r="J168" s="457" t="s">
        <v>1415</v>
      </c>
      <c r="K168" s="474"/>
      <c r="L168" s="475"/>
    </row>
    <row r="169" spans="1:12" ht="26.25" customHeight="1" x14ac:dyDescent="0.25">
      <c r="A169" s="455">
        <v>95</v>
      </c>
      <c r="B169" s="455"/>
      <c r="C169" s="467" t="s">
        <v>1395</v>
      </c>
      <c r="D169" s="454" t="s">
        <v>428</v>
      </c>
      <c r="E169" s="455">
        <v>1</v>
      </c>
      <c r="F169" s="454">
        <v>0</v>
      </c>
      <c r="G169" s="454">
        <v>0</v>
      </c>
      <c r="H169" s="455">
        <v>1</v>
      </c>
      <c r="I169" s="455"/>
      <c r="J169" s="457" t="s">
        <v>1415</v>
      </c>
      <c r="K169" s="474"/>
      <c r="L169" s="475"/>
    </row>
    <row r="170" spans="1:12" ht="26.25" customHeight="1" x14ac:dyDescent="0.25">
      <c r="A170" s="455">
        <v>96</v>
      </c>
      <c r="B170" s="455"/>
      <c r="C170" s="467" t="s">
        <v>1396</v>
      </c>
      <c r="D170" s="454" t="s">
        <v>0</v>
      </c>
      <c r="E170" s="455">
        <v>1</v>
      </c>
      <c r="F170" s="454">
        <v>0</v>
      </c>
      <c r="G170" s="454">
        <v>0</v>
      </c>
      <c r="H170" s="455">
        <v>1</v>
      </c>
      <c r="I170" s="455"/>
      <c r="J170" s="457" t="s">
        <v>1415</v>
      </c>
      <c r="K170" s="474"/>
      <c r="L170" s="475"/>
    </row>
    <row r="171" spans="1:12" ht="26.25" customHeight="1" x14ac:dyDescent="0.25">
      <c r="A171" s="455">
        <v>97</v>
      </c>
      <c r="B171" s="455"/>
      <c r="C171" s="467" t="s">
        <v>1397</v>
      </c>
      <c r="D171" s="454" t="s">
        <v>0</v>
      </c>
      <c r="E171" s="455">
        <v>1</v>
      </c>
      <c r="F171" s="454">
        <v>0</v>
      </c>
      <c r="G171" s="454">
        <v>0</v>
      </c>
      <c r="H171" s="455">
        <v>1</v>
      </c>
      <c r="I171" s="455"/>
      <c r="J171" s="457" t="s">
        <v>1415</v>
      </c>
      <c r="K171" s="474"/>
      <c r="L171" s="475"/>
    </row>
    <row r="172" spans="1:12" ht="26.25" customHeight="1" x14ac:dyDescent="0.25">
      <c r="A172" s="455">
        <v>98</v>
      </c>
      <c r="B172" s="455"/>
      <c r="C172" s="467" t="s">
        <v>1398</v>
      </c>
      <c r="D172" s="454" t="s">
        <v>0</v>
      </c>
      <c r="E172" s="455">
        <v>2</v>
      </c>
      <c r="F172" s="454">
        <v>0</v>
      </c>
      <c r="G172" s="454">
        <v>0</v>
      </c>
      <c r="H172" s="455">
        <v>2</v>
      </c>
      <c r="I172" s="455"/>
      <c r="J172" s="457" t="s">
        <v>1415</v>
      </c>
      <c r="K172" s="474"/>
      <c r="L172" s="475"/>
    </row>
    <row r="173" spans="1:12" ht="26.25" customHeight="1" x14ac:dyDescent="0.25">
      <c r="A173" s="455">
        <v>99</v>
      </c>
      <c r="B173" s="455"/>
      <c r="C173" s="467" t="s">
        <v>1399</v>
      </c>
      <c r="D173" s="454" t="s">
        <v>0</v>
      </c>
      <c r="E173" s="455">
        <v>1</v>
      </c>
      <c r="F173" s="454">
        <v>0</v>
      </c>
      <c r="G173" s="454">
        <v>0</v>
      </c>
      <c r="H173" s="455">
        <v>1</v>
      </c>
      <c r="I173" s="455"/>
      <c r="J173" s="457" t="s">
        <v>1415</v>
      </c>
      <c r="K173" s="474"/>
      <c r="L173" s="475"/>
    </row>
    <row r="174" spans="1:12" ht="26.25" customHeight="1" x14ac:dyDescent="0.25">
      <c r="A174" s="455">
        <v>100</v>
      </c>
      <c r="B174" s="455"/>
      <c r="C174" s="467" t="s">
        <v>1400</v>
      </c>
      <c r="D174" s="454" t="s">
        <v>428</v>
      </c>
      <c r="E174" s="455">
        <v>1</v>
      </c>
      <c r="F174" s="454">
        <v>0</v>
      </c>
      <c r="G174" s="454">
        <v>0</v>
      </c>
      <c r="H174" s="455">
        <v>1</v>
      </c>
      <c r="I174" s="455"/>
      <c r="J174" s="457" t="s">
        <v>1415</v>
      </c>
      <c r="K174" s="474"/>
      <c r="L174" s="475"/>
    </row>
    <row r="175" spans="1:12" ht="26.25" customHeight="1" x14ac:dyDescent="0.25">
      <c r="A175" s="455">
        <v>101</v>
      </c>
      <c r="B175" s="455"/>
      <c r="C175" s="467" t="s">
        <v>1401</v>
      </c>
      <c r="D175" s="454" t="s">
        <v>0</v>
      </c>
      <c r="E175" s="455">
        <v>1</v>
      </c>
      <c r="F175" s="454">
        <v>0</v>
      </c>
      <c r="G175" s="454">
        <v>0</v>
      </c>
      <c r="H175" s="455">
        <v>1</v>
      </c>
      <c r="I175" s="455"/>
      <c r="J175" s="457" t="s">
        <v>1415</v>
      </c>
      <c r="K175" s="474"/>
      <c r="L175" s="475"/>
    </row>
    <row r="176" spans="1:12" ht="26.25" customHeight="1" x14ac:dyDescent="0.25">
      <c r="A176" s="455">
        <v>102</v>
      </c>
      <c r="B176" s="455"/>
      <c r="C176" s="467" t="s">
        <v>1402</v>
      </c>
      <c r="D176" s="454" t="s">
        <v>0</v>
      </c>
      <c r="E176" s="455">
        <v>1</v>
      </c>
      <c r="F176" s="454">
        <v>0</v>
      </c>
      <c r="G176" s="454">
        <v>0</v>
      </c>
      <c r="H176" s="455">
        <v>1</v>
      </c>
      <c r="I176" s="455"/>
      <c r="J176" s="457" t="s">
        <v>1415</v>
      </c>
      <c r="K176" s="474"/>
      <c r="L176" s="475"/>
    </row>
    <row r="177" spans="1:12" ht="26.25" customHeight="1" x14ac:dyDescent="0.25">
      <c r="A177" s="455">
        <v>103</v>
      </c>
      <c r="B177" s="455"/>
      <c r="C177" s="467" t="s">
        <v>1403</v>
      </c>
      <c r="D177" s="454" t="s">
        <v>428</v>
      </c>
      <c r="E177" s="455">
        <v>2</v>
      </c>
      <c r="F177" s="454">
        <v>0</v>
      </c>
      <c r="G177" s="454">
        <v>0</v>
      </c>
      <c r="H177" s="455">
        <v>2</v>
      </c>
      <c r="I177" s="455"/>
      <c r="J177" s="457" t="s">
        <v>1415</v>
      </c>
      <c r="K177" s="474"/>
      <c r="L177" s="475"/>
    </row>
    <row r="178" spans="1:12" ht="26.25" customHeight="1" x14ac:dyDescent="0.25">
      <c r="A178" s="455">
        <v>104</v>
      </c>
      <c r="B178" s="455"/>
      <c r="C178" s="467" t="s">
        <v>1404</v>
      </c>
      <c r="D178" s="454" t="s">
        <v>428</v>
      </c>
      <c r="E178" s="455">
        <v>1</v>
      </c>
      <c r="F178" s="454">
        <v>0</v>
      </c>
      <c r="G178" s="454">
        <v>0</v>
      </c>
      <c r="H178" s="455">
        <v>1</v>
      </c>
      <c r="I178" s="455"/>
      <c r="J178" s="457" t="s">
        <v>1415</v>
      </c>
      <c r="K178" s="474"/>
      <c r="L178" s="475"/>
    </row>
    <row r="179" spans="1:12" ht="26.25" customHeight="1" x14ac:dyDescent="0.25">
      <c r="A179" s="455">
        <v>105</v>
      </c>
      <c r="B179" s="455"/>
      <c r="C179" s="467" t="s">
        <v>1405</v>
      </c>
      <c r="D179" s="454" t="s">
        <v>0</v>
      </c>
      <c r="E179" s="455">
        <v>2</v>
      </c>
      <c r="F179" s="454">
        <v>0</v>
      </c>
      <c r="G179" s="454">
        <v>0</v>
      </c>
      <c r="H179" s="455">
        <v>2</v>
      </c>
      <c r="I179" s="455"/>
      <c r="J179" s="457" t="s">
        <v>1415</v>
      </c>
      <c r="K179" s="474"/>
      <c r="L179" s="475"/>
    </row>
    <row r="180" spans="1:12" ht="26.25" customHeight="1" x14ac:dyDescent="0.25">
      <c r="A180" s="455">
        <v>106</v>
      </c>
      <c r="B180" s="455"/>
      <c r="C180" s="467" t="s">
        <v>1406</v>
      </c>
      <c r="D180" s="454" t="s">
        <v>428</v>
      </c>
      <c r="E180" s="455">
        <v>1</v>
      </c>
      <c r="F180" s="454">
        <v>0</v>
      </c>
      <c r="G180" s="454">
        <v>0</v>
      </c>
      <c r="H180" s="455">
        <v>1</v>
      </c>
      <c r="I180" s="455"/>
      <c r="J180" s="457" t="s">
        <v>1415</v>
      </c>
      <c r="K180" s="474"/>
      <c r="L180" s="475"/>
    </row>
    <row r="181" spans="1:12" ht="26.25" customHeight="1" x14ac:dyDescent="0.25">
      <c r="A181" s="455">
        <v>107</v>
      </c>
      <c r="B181" s="455"/>
      <c r="C181" s="467" t="s">
        <v>1407</v>
      </c>
      <c r="D181" s="454" t="s">
        <v>0</v>
      </c>
      <c r="E181" s="455">
        <v>150</v>
      </c>
      <c r="F181" s="454">
        <v>0</v>
      </c>
      <c r="G181" s="454">
        <v>0</v>
      </c>
      <c r="H181" s="455">
        <v>150</v>
      </c>
      <c r="I181" s="455"/>
      <c r="J181" s="457" t="s">
        <v>1415</v>
      </c>
      <c r="K181" s="474"/>
      <c r="L181" s="475"/>
    </row>
    <row r="182" spans="1:12" ht="26.25" customHeight="1" x14ac:dyDescent="0.25">
      <c r="A182" s="455">
        <v>108</v>
      </c>
      <c r="B182" s="455"/>
      <c r="C182" s="467" t="s">
        <v>1408</v>
      </c>
      <c r="D182" s="454" t="s">
        <v>0</v>
      </c>
      <c r="E182" s="455">
        <v>10</v>
      </c>
      <c r="F182" s="454">
        <v>0</v>
      </c>
      <c r="G182" s="454">
        <v>0</v>
      </c>
      <c r="H182" s="455">
        <v>10</v>
      </c>
      <c r="I182" s="455"/>
      <c r="J182" s="457" t="s">
        <v>1415</v>
      </c>
      <c r="K182" s="474"/>
      <c r="L182" s="475"/>
    </row>
    <row r="183" spans="1:12" ht="26.25" customHeight="1" x14ac:dyDescent="0.25">
      <c r="A183" s="455">
        <v>109</v>
      </c>
      <c r="B183" s="455"/>
      <c r="C183" s="467" t="s">
        <v>1409</v>
      </c>
      <c r="D183" s="454" t="s">
        <v>0</v>
      </c>
      <c r="E183" s="455">
        <v>11</v>
      </c>
      <c r="F183" s="454">
        <v>0</v>
      </c>
      <c r="G183" s="454">
        <v>0</v>
      </c>
      <c r="H183" s="455">
        <v>11</v>
      </c>
      <c r="I183" s="455"/>
      <c r="J183" s="457" t="s">
        <v>1415</v>
      </c>
      <c r="K183" s="474"/>
      <c r="L183" s="475"/>
    </row>
    <row r="184" spans="1:12" ht="26.25" customHeight="1" x14ac:dyDescent="0.25">
      <c r="A184" s="455">
        <v>110</v>
      </c>
      <c r="B184" s="455"/>
      <c r="C184" s="467" t="s">
        <v>1410</v>
      </c>
      <c r="D184" s="454" t="s">
        <v>59</v>
      </c>
      <c r="E184" s="455">
        <v>6</v>
      </c>
      <c r="F184" s="454">
        <v>0</v>
      </c>
      <c r="G184" s="454">
        <v>0</v>
      </c>
      <c r="H184" s="455">
        <v>6</v>
      </c>
      <c r="I184" s="455"/>
      <c r="J184" s="457" t="s">
        <v>1415</v>
      </c>
      <c r="K184" s="474"/>
      <c r="L184" s="475"/>
    </row>
    <row r="185" spans="1:12" ht="26.25" customHeight="1" x14ac:dyDescent="0.25">
      <c r="A185" s="455">
        <v>111</v>
      </c>
      <c r="B185" s="455"/>
      <c r="C185" s="467" t="s">
        <v>1411</v>
      </c>
      <c r="D185" s="454" t="s">
        <v>0</v>
      </c>
      <c r="E185" s="455">
        <v>1</v>
      </c>
      <c r="F185" s="454">
        <v>0</v>
      </c>
      <c r="G185" s="454">
        <v>0</v>
      </c>
      <c r="H185" s="455">
        <v>1</v>
      </c>
      <c r="I185" s="455"/>
      <c r="J185" s="457" t="s">
        <v>1415</v>
      </c>
      <c r="K185" s="474"/>
      <c r="L185" s="475"/>
    </row>
    <row r="186" spans="1:12" ht="26.25" customHeight="1" x14ac:dyDescent="0.25">
      <c r="A186" s="455">
        <v>112</v>
      </c>
      <c r="B186" s="455"/>
      <c r="C186" s="467" t="s">
        <v>1412</v>
      </c>
      <c r="D186" s="454" t="s">
        <v>0</v>
      </c>
      <c r="E186" s="455">
        <v>1</v>
      </c>
      <c r="F186" s="454">
        <v>0</v>
      </c>
      <c r="G186" s="454">
        <v>0</v>
      </c>
      <c r="H186" s="455">
        <v>1</v>
      </c>
      <c r="I186" s="455"/>
      <c r="J186" s="457" t="s">
        <v>1415</v>
      </c>
      <c r="K186" s="474"/>
      <c r="L186" s="475"/>
    </row>
    <row r="187" spans="1:12" ht="26.25" customHeight="1" x14ac:dyDescent="0.25">
      <c r="A187" s="455">
        <v>113</v>
      </c>
      <c r="B187" s="455"/>
      <c r="C187" s="467" t="s">
        <v>1413</v>
      </c>
      <c r="D187" s="454" t="s">
        <v>0</v>
      </c>
      <c r="E187" s="455">
        <v>1</v>
      </c>
      <c r="F187" s="454">
        <v>0</v>
      </c>
      <c r="G187" s="454">
        <v>0</v>
      </c>
      <c r="H187" s="455">
        <v>1</v>
      </c>
      <c r="I187" s="455"/>
      <c r="J187" s="457" t="s">
        <v>1415</v>
      </c>
      <c r="K187" s="474"/>
      <c r="L187" s="475"/>
    </row>
    <row r="188" spans="1:12" ht="26.25" customHeight="1" x14ac:dyDescent="0.25">
      <c r="A188" s="455">
        <v>114</v>
      </c>
      <c r="B188" s="455"/>
      <c r="C188" s="467" t="s">
        <v>1414</v>
      </c>
      <c r="D188" s="454" t="s">
        <v>0</v>
      </c>
      <c r="E188" s="455">
        <v>1</v>
      </c>
      <c r="F188" s="454">
        <v>0</v>
      </c>
      <c r="G188" s="454">
        <v>0</v>
      </c>
      <c r="H188" s="455">
        <v>1</v>
      </c>
      <c r="I188" s="455"/>
      <c r="J188" s="457" t="s">
        <v>1415</v>
      </c>
      <c r="K188" s="474"/>
      <c r="L188" s="475"/>
    </row>
    <row r="1046053" spans="3:11" s="5" customFormat="1" ht="26.25" customHeight="1" x14ac:dyDescent="0.25">
      <c r="C1046053" s="23"/>
      <c r="H1046053" s="237"/>
      <c r="J1046053" s="49"/>
      <c r="K1046053" s="94"/>
    </row>
  </sheetData>
  <autoFilter ref="A21:AF150" xr:uid="{00000000-0009-0000-0000-000002000000}"/>
  <mergeCells count="6">
    <mergeCell ref="B15:J15"/>
    <mergeCell ref="A10:B10"/>
    <mergeCell ref="A11:B11"/>
    <mergeCell ref="A12:B12"/>
    <mergeCell ref="H12:I12"/>
    <mergeCell ref="B14:J14"/>
  </mergeCells>
  <printOptions horizontalCentered="1"/>
  <pageMargins left="0" right="0" top="0.25" bottom="0.25" header="0.3" footer="0.3"/>
  <pageSetup scale="5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1046055"/>
  <sheetViews>
    <sheetView topLeftCell="A10" zoomScale="80" zoomScaleNormal="80" workbookViewId="0">
      <selection activeCell="U28" sqref="U28"/>
    </sheetView>
  </sheetViews>
  <sheetFormatPr defaultColWidth="9.140625" defaultRowHeight="16.5" x14ac:dyDescent="0.25"/>
  <cols>
    <col min="1" max="1" width="8.85546875" style="232" customWidth="1"/>
    <col min="2" max="2" width="29.85546875" style="232" customWidth="1"/>
    <col min="3" max="3" width="29.85546875" style="347" customWidth="1"/>
    <col min="4" max="4" width="10.42578125" style="232" customWidth="1"/>
    <col min="5" max="5" width="11" style="232" customWidth="1"/>
    <col min="6" max="7" width="11.7109375" style="232" customWidth="1"/>
    <col min="8" max="8" width="9.85546875" style="346" customWidth="1"/>
    <col min="9" max="9" width="9.5703125" style="232" customWidth="1"/>
    <col min="10" max="10" width="61.28515625" style="347" customWidth="1"/>
    <col min="11" max="11" width="19.5703125" style="311" customWidth="1"/>
    <col min="12" max="12" width="26.42578125" style="308" customWidth="1"/>
    <col min="13" max="17" width="5.5703125" style="308" hidden="1" customWidth="1"/>
    <col min="18" max="24" width="5.5703125" style="308" customWidth="1"/>
    <col min="25" max="16384" width="9.140625" style="308"/>
  </cols>
  <sheetData>
    <row r="1" spans="1:20" ht="28.5" hidden="1" customHeight="1" x14ac:dyDescent="0.25">
      <c r="A1" s="232" t="s">
        <v>8</v>
      </c>
      <c r="C1" s="304"/>
      <c r="D1" s="305"/>
      <c r="E1" s="305"/>
      <c r="F1" s="305"/>
      <c r="G1" s="305"/>
      <c r="H1" s="305"/>
      <c r="I1" s="305"/>
      <c r="J1" s="304"/>
      <c r="K1" s="306"/>
      <c r="L1" s="307"/>
      <c r="M1" s="307"/>
      <c r="N1" s="307"/>
      <c r="O1" s="307"/>
      <c r="P1" s="307"/>
      <c r="Q1" s="307"/>
      <c r="R1" s="307"/>
      <c r="S1" s="307"/>
      <c r="T1" s="307"/>
    </row>
    <row r="2" spans="1:20" ht="28.5" hidden="1" customHeight="1" x14ac:dyDescent="0.25">
      <c r="A2" s="309" t="s">
        <v>9</v>
      </c>
      <c r="B2" s="309"/>
      <c r="C2" s="304"/>
      <c r="D2" s="305"/>
      <c r="E2" s="305"/>
      <c r="F2" s="305"/>
      <c r="G2" s="305"/>
      <c r="H2" s="305"/>
      <c r="I2" s="305"/>
      <c r="J2" s="304"/>
      <c r="K2" s="306"/>
      <c r="L2" s="307"/>
      <c r="M2" s="307"/>
      <c r="N2" s="307"/>
      <c r="O2" s="307"/>
      <c r="P2" s="307"/>
      <c r="Q2" s="307"/>
      <c r="R2" s="307"/>
      <c r="S2" s="307"/>
      <c r="T2" s="307"/>
    </row>
    <row r="3" spans="1:20" ht="19.5" hidden="1" customHeight="1" x14ac:dyDescent="0.25">
      <c r="C3" s="304"/>
      <c r="D3" s="305"/>
      <c r="E3" s="305"/>
      <c r="F3" s="305"/>
      <c r="G3" s="305"/>
      <c r="H3" s="305"/>
      <c r="I3" s="305"/>
      <c r="J3" s="304"/>
      <c r="K3" s="306"/>
      <c r="L3" s="307"/>
      <c r="M3" s="307"/>
      <c r="N3" s="307"/>
      <c r="O3" s="307"/>
      <c r="P3" s="307"/>
      <c r="Q3" s="307"/>
      <c r="R3" s="307"/>
      <c r="S3" s="307"/>
      <c r="T3" s="307"/>
    </row>
    <row r="4" spans="1:20" ht="14.25" hidden="1" customHeight="1" x14ac:dyDescent="0.25">
      <c r="C4" s="304"/>
      <c r="D4" s="305"/>
      <c r="E4" s="305"/>
      <c r="F4" s="305"/>
      <c r="G4" s="305"/>
      <c r="H4" s="305"/>
      <c r="I4" s="305"/>
      <c r="J4" s="304"/>
      <c r="K4" s="306"/>
      <c r="L4" s="307"/>
      <c r="M4" s="307"/>
      <c r="N4" s="307"/>
      <c r="O4" s="307"/>
      <c r="P4" s="307"/>
      <c r="Q4" s="307"/>
      <c r="R4" s="307"/>
      <c r="S4" s="307"/>
      <c r="T4" s="307"/>
    </row>
    <row r="5" spans="1:20" ht="14.25" hidden="1" customHeight="1" x14ac:dyDescent="0.25">
      <c r="B5" s="232" t="s">
        <v>14</v>
      </c>
      <c r="C5" s="304"/>
      <c r="D5" s="305"/>
      <c r="E5" s="305"/>
      <c r="F5" s="305"/>
      <c r="G5" s="305"/>
      <c r="H5" s="305"/>
      <c r="I5" s="305"/>
      <c r="J5" s="304"/>
      <c r="K5" s="306"/>
      <c r="L5" s="307"/>
      <c r="M5" s="307"/>
      <c r="N5" s="307"/>
      <c r="O5" s="307"/>
      <c r="P5" s="307"/>
      <c r="Q5" s="307"/>
      <c r="R5" s="307"/>
      <c r="S5" s="307"/>
      <c r="T5" s="307"/>
    </row>
    <row r="6" spans="1:20" ht="14.25" hidden="1" customHeight="1" x14ac:dyDescent="0.25">
      <c r="B6" s="232" t="s">
        <v>12</v>
      </c>
      <c r="C6" s="304"/>
      <c r="D6" s="305"/>
      <c r="E6" s="305"/>
      <c r="F6" s="305"/>
      <c r="G6" s="305"/>
      <c r="H6" s="305"/>
      <c r="I6" s="305"/>
      <c r="J6" s="304"/>
      <c r="K6" s="306"/>
      <c r="L6" s="307"/>
      <c r="M6" s="307"/>
      <c r="N6" s="307"/>
      <c r="O6" s="307"/>
      <c r="P6" s="307"/>
      <c r="Q6" s="307"/>
      <c r="R6" s="307"/>
      <c r="S6" s="307"/>
      <c r="T6" s="307"/>
    </row>
    <row r="7" spans="1:20" ht="14.25" hidden="1" customHeight="1" x14ac:dyDescent="0.25">
      <c r="B7" s="232" t="s">
        <v>15</v>
      </c>
      <c r="C7" s="304"/>
      <c r="D7" s="305"/>
      <c r="E7" s="305"/>
      <c r="F7" s="305"/>
      <c r="G7" s="305"/>
      <c r="H7" s="305"/>
      <c r="I7" s="305"/>
      <c r="J7" s="304"/>
      <c r="K7" s="306"/>
      <c r="L7" s="307"/>
      <c r="M7" s="307"/>
      <c r="N7" s="307"/>
      <c r="O7" s="307"/>
      <c r="P7" s="307"/>
      <c r="Q7" s="307"/>
      <c r="R7" s="307"/>
      <c r="S7" s="307"/>
      <c r="T7" s="307"/>
    </row>
    <row r="8" spans="1:20" ht="14.25" hidden="1" customHeight="1" x14ac:dyDescent="0.25">
      <c r="B8" s="232" t="s">
        <v>13</v>
      </c>
      <c r="C8" s="304"/>
      <c r="D8" s="305"/>
      <c r="E8" s="305"/>
      <c r="F8" s="305"/>
      <c r="G8" s="305"/>
      <c r="H8" s="305"/>
      <c r="I8" s="305"/>
      <c r="J8" s="304"/>
      <c r="K8" s="306"/>
      <c r="L8" s="307"/>
      <c r="M8" s="307"/>
      <c r="N8" s="307"/>
      <c r="O8" s="307"/>
      <c r="P8" s="307"/>
      <c r="Q8" s="307"/>
      <c r="R8" s="307"/>
      <c r="S8" s="307"/>
      <c r="T8" s="307"/>
    </row>
    <row r="9" spans="1:20" ht="14.25" hidden="1" customHeight="1" x14ac:dyDescent="0.25">
      <c r="C9" s="304"/>
      <c r="D9" s="305"/>
      <c r="E9" s="305"/>
      <c r="F9" s="305"/>
      <c r="G9" s="305"/>
      <c r="H9" s="305"/>
      <c r="I9" s="305"/>
      <c r="J9" s="304"/>
      <c r="K9" s="306"/>
      <c r="L9" s="307"/>
      <c r="M9" s="307"/>
      <c r="N9" s="307"/>
      <c r="O9" s="307"/>
      <c r="P9" s="307"/>
      <c r="Q9" s="307"/>
      <c r="R9" s="307"/>
      <c r="S9" s="307"/>
      <c r="T9" s="307"/>
    </row>
    <row r="10" spans="1:20" ht="45" customHeight="1" x14ac:dyDescent="0.25">
      <c r="A10" s="492" t="s">
        <v>109</v>
      </c>
      <c r="B10" s="492"/>
      <c r="C10" s="304"/>
      <c r="D10" s="305"/>
      <c r="E10" s="305"/>
      <c r="F10" s="305"/>
      <c r="G10" s="305"/>
      <c r="H10" s="305"/>
      <c r="I10" s="305"/>
      <c r="J10" s="310" t="s">
        <v>371</v>
      </c>
      <c r="L10" s="307"/>
      <c r="M10" s="307"/>
      <c r="N10" s="307"/>
      <c r="O10" s="307"/>
      <c r="P10" s="307"/>
      <c r="Q10" s="307"/>
      <c r="R10" s="307"/>
      <c r="S10" s="307"/>
      <c r="T10" s="307"/>
    </row>
    <row r="11" spans="1:20" ht="18.75" x14ac:dyDescent="0.25">
      <c r="A11" s="493" t="s">
        <v>9</v>
      </c>
      <c r="B11" s="493"/>
      <c r="C11" s="312"/>
      <c r="D11" s="313"/>
      <c r="E11" s="313"/>
      <c r="F11" s="313"/>
      <c r="G11" s="313"/>
      <c r="H11" s="313"/>
      <c r="I11" s="313"/>
      <c r="J11" s="312"/>
      <c r="K11" s="314"/>
      <c r="L11" s="315"/>
      <c r="M11" s="315"/>
      <c r="N11" s="315"/>
      <c r="O11" s="315"/>
      <c r="P11" s="315"/>
      <c r="Q11" s="315"/>
      <c r="R11" s="315"/>
      <c r="S11" s="315"/>
      <c r="T11" s="315"/>
    </row>
    <row r="12" spans="1:20" x14ac:dyDescent="0.25">
      <c r="A12" s="491" t="s">
        <v>893</v>
      </c>
      <c r="B12" s="491"/>
      <c r="C12" s="226"/>
      <c r="H12" s="494"/>
      <c r="I12" s="494"/>
      <c r="J12" s="226"/>
    </row>
    <row r="13" spans="1:20" x14ac:dyDescent="0.25">
      <c r="C13" s="226"/>
      <c r="H13" s="232"/>
      <c r="J13" s="226"/>
    </row>
    <row r="14" spans="1:20" s="317" customFormat="1" ht="25.5" x14ac:dyDescent="0.25">
      <c r="A14" s="316"/>
      <c r="B14" s="495" t="s">
        <v>368</v>
      </c>
      <c r="C14" s="495"/>
      <c r="D14" s="495"/>
      <c r="E14" s="495"/>
      <c r="F14" s="495"/>
      <c r="G14" s="495"/>
      <c r="H14" s="495"/>
      <c r="I14" s="495"/>
      <c r="J14" s="495"/>
      <c r="K14" s="306"/>
    </row>
    <row r="15" spans="1:20" x14ac:dyDescent="0.25">
      <c r="B15" s="491" t="s">
        <v>1347</v>
      </c>
      <c r="C15" s="491"/>
      <c r="D15" s="491"/>
      <c r="E15" s="491"/>
      <c r="F15" s="491"/>
      <c r="G15" s="491"/>
      <c r="H15" s="491"/>
      <c r="I15" s="491"/>
      <c r="J15" s="491"/>
      <c r="K15" s="318"/>
    </row>
    <row r="16" spans="1:20" x14ac:dyDescent="0.25">
      <c r="C16" s="226"/>
      <c r="H16" s="232"/>
      <c r="J16" s="226"/>
      <c r="K16" s="318"/>
    </row>
    <row r="17" spans="1:24" x14ac:dyDescent="0.25">
      <c r="B17" s="232" t="s">
        <v>220</v>
      </c>
      <c r="C17" s="226"/>
      <c r="H17" s="232"/>
      <c r="J17" s="226" t="s">
        <v>797</v>
      </c>
      <c r="K17" s="318"/>
    </row>
    <row r="18" spans="1:24" x14ac:dyDescent="0.25">
      <c r="B18" s="232" t="s">
        <v>1348</v>
      </c>
      <c r="C18" s="226"/>
      <c r="H18" s="232"/>
      <c r="J18" s="226" t="s">
        <v>513</v>
      </c>
      <c r="K18" s="318"/>
    </row>
    <row r="19" spans="1:24" x14ac:dyDescent="0.25">
      <c r="C19" s="226"/>
      <c r="H19" s="232"/>
      <c r="J19" s="226" t="s">
        <v>514</v>
      </c>
      <c r="K19" s="318"/>
    </row>
    <row r="20" spans="1:24" x14ac:dyDescent="0.25">
      <c r="A20" s="319"/>
      <c r="B20" s="319"/>
      <c r="C20" s="320"/>
      <c r="D20" s="319"/>
      <c r="E20" s="319"/>
      <c r="F20" s="319"/>
      <c r="G20" s="319"/>
      <c r="H20" s="319"/>
      <c r="I20" s="319"/>
      <c r="J20" s="320"/>
      <c r="K20" s="321"/>
      <c r="L20" s="322"/>
    </row>
    <row r="21" spans="1:24" s="261" customFormat="1" ht="101.25" customHeight="1" x14ac:dyDescent="0.25">
      <c r="A21" s="348" t="s">
        <v>5</v>
      </c>
      <c r="B21" s="348" t="s">
        <v>10</v>
      </c>
      <c r="C21" s="349" t="s">
        <v>11</v>
      </c>
      <c r="D21" s="348" t="s">
        <v>6</v>
      </c>
      <c r="E21" s="348" t="s">
        <v>373</v>
      </c>
      <c r="F21" s="348" t="s">
        <v>404</v>
      </c>
      <c r="G21" s="348" t="s">
        <v>946</v>
      </c>
      <c r="H21" s="350" t="s">
        <v>406</v>
      </c>
      <c r="I21" s="351" t="s">
        <v>407</v>
      </c>
      <c r="J21" s="348" t="s">
        <v>408</v>
      </c>
      <c r="K21" s="324" t="s">
        <v>35</v>
      </c>
      <c r="L21" s="325" t="s">
        <v>108</v>
      </c>
      <c r="M21" s="326"/>
      <c r="N21" s="326"/>
      <c r="O21" s="326"/>
      <c r="P21" s="326"/>
      <c r="Q21" s="326"/>
      <c r="R21" s="262"/>
      <c r="S21" s="326"/>
      <c r="T21" s="326"/>
      <c r="U21" s="262"/>
    </row>
    <row r="22" spans="1:24" s="326" customFormat="1" ht="33" customHeight="1" x14ac:dyDescent="0.25">
      <c r="A22" s="352" t="s">
        <v>18</v>
      </c>
      <c r="B22" s="353"/>
      <c r="C22" s="354"/>
      <c r="D22" s="355"/>
      <c r="E22" s="355"/>
      <c r="F22" s="355"/>
      <c r="G22" s="355"/>
      <c r="H22" s="355"/>
      <c r="I22" s="355"/>
      <c r="J22" s="355"/>
      <c r="K22" s="328"/>
      <c r="L22" s="325"/>
      <c r="M22" s="326" t="s">
        <v>895</v>
      </c>
      <c r="N22" s="326" t="s">
        <v>896</v>
      </c>
      <c r="O22" s="326" t="s">
        <v>812</v>
      </c>
      <c r="P22" s="326" t="s">
        <v>813</v>
      </c>
      <c r="Q22" s="326" t="s">
        <v>827</v>
      </c>
      <c r="R22" s="326" t="s">
        <v>840</v>
      </c>
      <c r="S22" s="326" t="s">
        <v>897</v>
      </c>
      <c r="T22" s="326" t="s">
        <v>849</v>
      </c>
      <c r="U22" s="326" t="s">
        <v>852</v>
      </c>
      <c r="V22" s="326" t="s">
        <v>854</v>
      </c>
      <c r="W22" s="326" t="s">
        <v>858</v>
      </c>
      <c r="X22" s="326" t="s">
        <v>870</v>
      </c>
    </row>
    <row r="23" spans="1:24" s="258" customFormat="1" ht="21.75" customHeight="1" x14ac:dyDescent="0.25">
      <c r="A23" s="378">
        <v>1</v>
      </c>
      <c r="B23" s="378" t="s">
        <v>153</v>
      </c>
      <c r="C23" s="439" t="s">
        <v>54</v>
      </c>
      <c r="D23" s="378" t="s">
        <v>2</v>
      </c>
      <c r="E23" s="380">
        <v>2288</v>
      </c>
      <c r="F23" s="380">
        <v>1369</v>
      </c>
      <c r="G23" s="380">
        <f t="shared" ref="G23:G32" si="0">E23-F23</f>
        <v>919</v>
      </c>
      <c r="H23" s="380">
        <v>200</v>
      </c>
      <c r="I23" s="378" t="s">
        <v>905</v>
      </c>
      <c r="J23" s="379" t="s">
        <v>814</v>
      </c>
      <c r="K23" s="434">
        <v>0</v>
      </c>
      <c r="L23" s="435" t="s">
        <v>88</v>
      </c>
      <c r="M23" s="261" t="s">
        <v>895</v>
      </c>
      <c r="N23" s="261" t="s">
        <v>896</v>
      </c>
      <c r="O23" s="261"/>
      <c r="P23" s="326" t="s">
        <v>813</v>
      </c>
      <c r="Q23" s="257" t="s">
        <v>827</v>
      </c>
      <c r="R23" s="257"/>
      <c r="S23" s="257"/>
      <c r="T23" s="257"/>
      <c r="U23" s="257"/>
    </row>
    <row r="24" spans="1:24" s="257" customFormat="1" ht="21.75" customHeight="1" x14ac:dyDescent="0.25">
      <c r="A24" s="378">
        <v>2</v>
      </c>
      <c r="B24" s="378" t="s">
        <v>153</v>
      </c>
      <c r="C24" s="439" t="s">
        <v>54</v>
      </c>
      <c r="D24" s="378" t="s">
        <v>2</v>
      </c>
      <c r="E24" s="380">
        <v>2288</v>
      </c>
      <c r="F24" s="380">
        <v>0</v>
      </c>
      <c r="G24" s="380">
        <f t="shared" si="0"/>
        <v>2288</v>
      </c>
      <c r="H24" s="380">
        <v>60</v>
      </c>
      <c r="I24" s="378"/>
      <c r="J24" s="379" t="s">
        <v>161</v>
      </c>
      <c r="K24" s="434">
        <v>0</v>
      </c>
      <c r="L24" s="387" t="s">
        <v>140</v>
      </c>
      <c r="M24" s="262" t="s">
        <v>895</v>
      </c>
      <c r="N24" s="261" t="s">
        <v>896</v>
      </c>
      <c r="O24" s="262" t="s">
        <v>812</v>
      </c>
      <c r="P24" s="326" t="s">
        <v>813</v>
      </c>
      <c r="Q24" s="257" t="s">
        <v>827</v>
      </c>
    </row>
    <row r="25" spans="1:24" s="257" customFormat="1" ht="21.75" customHeight="1" x14ac:dyDescent="0.25">
      <c r="A25" s="378">
        <f>A24+1</f>
        <v>3</v>
      </c>
      <c r="B25" s="380" t="s">
        <v>141</v>
      </c>
      <c r="C25" s="379" t="s">
        <v>142</v>
      </c>
      <c r="D25" s="378" t="s">
        <v>2</v>
      </c>
      <c r="E25" s="380">
        <v>6240</v>
      </c>
      <c r="F25" s="380">
        <v>0</v>
      </c>
      <c r="G25" s="380">
        <f t="shared" si="0"/>
        <v>6240</v>
      </c>
      <c r="H25" s="380">
        <v>832</v>
      </c>
      <c r="I25" s="378"/>
      <c r="J25" s="379" t="s">
        <v>143</v>
      </c>
      <c r="K25" s="384"/>
      <c r="L25" s="387" t="s">
        <v>140</v>
      </c>
      <c r="M25" s="262" t="s">
        <v>895</v>
      </c>
      <c r="N25" s="261" t="s">
        <v>896</v>
      </c>
      <c r="O25" s="262" t="s">
        <v>812</v>
      </c>
      <c r="P25" s="326" t="s">
        <v>813</v>
      </c>
      <c r="Q25" s="257" t="s">
        <v>827</v>
      </c>
    </row>
    <row r="26" spans="1:24" s="257" customFormat="1" ht="21.75" customHeight="1" x14ac:dyDescent="0.25">
      <c r="A26" s="378">
        <f t="shared" ref="A26:A50" si="1">A25+1</f>
        <v>4</v>
      </c>
      <c r="B26" s="380" t="s">
        <v>158</v>
      </c>
      <c r="C26" s="379" t="s">
        <v>159</v>
      </c>
      <c r="D26" s="378" t="s">
        <v>2</v>
      </c>
      <c r="E26" s="380">
        <v>624</v>
      </c>
      <c r="F26" s="380">
        <v>0</v>
      </c>
      <c r="G26" s="380">
        <f t="shared" si="0"/>
        <v>624</v>
      </c>
      <c r="H26" s="380">
        <f>VLOOKUP(B26,'[1]Tháng 7.2025'!$B$23:$H$153,7,0)</f>
        <v>60</v>
      </c>
      <c r="I26" s="378"/>
      <c r="J26" s="257" t="s">
        <v>160</v>
      </c>
      <c r="K26" s="384"/>
      <c r="L26" s="387" t="s">
        <v>140</v>
      </c>
      <c r="M26" s="262" t="s">
        <v>895</v>
      </c>
      <c r="N26" s="261" t="s">
        <v>896</v>
      </c>
      <c r="O26" s="262" t="s">
        <v>812</v>
      </c>
      <c r="P26" s="326" t="s">
        <v>813</v>
      </c>
      <c r="Q26" s="257" t="s">
        <v>827</v>
      </c>
    </row>
    <row r="27" spans="1:24" s="258" customFormat="1" ht="21.75" customHeight="1" x14ac:dyDescent="0.25">
      <c r="A27" s="378">
        <f t="shared" si="1"/>
        <v>5</v>
      </c>
      <c r="B27" s="380" t="s">
        <v>515</v>
      </c>
      <c r="C27" s="379" t="s">
        <v>516</v>
      </c>
      <c r="D27" s="378" t="s">
        <v>2</v>
      </c>
      <c r="E27" s="380">
        <v>1944</v>
      </c>
      <c r="F27" s="380">
        <v>0</v>
      </c>
      <c r="G27" s="380">
        <f t="shared" si="0"/>
        <v>1944</v>
      </c>
      <c r="H27" s="380">
        <v>60</v>
      </c>
      <c r="I27" s="378"/>
      <c r="J27" s="379" t="s">
        <v>160</v>
      </c>
      <c r="K27" s="434"/>
      <c r="L27" s="441" t="s">
        <v>88</v>
      </c>
      <c r="M27" s="333" t="s">
        <v>895</v>
      </c>
      <c r="N27" s="333"/>
      <c r="O27" s="333"/>
      <c r="P27" s="326"/>
      <c r="Q27" s="386" t="s">
        <v>827</v>
      </c>
      <c r="R27" s="386"/>
      <c r="S27" s="386"/>
      <c r="T27" s="257"/>
      <c r="U27" s="257"/>
    </row>
    <row r="28" spans="1:24" s="258" customFormat="1" ht="21.75" customHeight="1" x14ac:dyDescent="0.25">
      <c r="A28" s="378">
        <f t="shared" si="1"/>
        <v>6</v>
      </c>
      <c r="B28" s="380" t="s">
        <v>850</v>
      </c>
      <c r="C28" s="379" t="s">
        <v>633</v>
      </c>
      <c r="D28" s="378" t="s">
        <v>2</v>
      </c>
      <c r="E28" s="380">
        <v>927</v>
      </c>
      <c r="F28" s="380">
        <v>0</v>
      </c>
      <c r="G28" s="380">
        <f t="shared" si="0"/>
        <v>927</v>
      </c>
      <c r="H28" s="440">
        <v>50</v>
      </c>
      <c r="I28" s="378"/>
      <c r="J28" s="439" t="s">
        <v>851</v>
      </c>
      <c r="K28" s="434"/>
      <c r="L28" s="441" t="s">
        <v>88</v>
      </c>
      <c r="M28" s="333" t="s">
        <v>895</v>
      </c>
      <c r="N28" s="333" t="s">
        <v>896</v>
      </c>
      <c r="O28" s="333"/>
      <c r="P28" s="326" t="s">
        <v>813</v>
      </c>
      <c r="Q28" s="386" t="s">
        <v>827</v>
      </c>
      <c r="R28" s="386"/>
      <c r="S28" s="386"/>
      <c r="T28" s="257"/>
      <c r="U28" s="257"/>
    </row>
    <row r="29" spans="1:24" s="261" customFormat="1" ht="21.75" customHeight="1" x14ac:dyDescent="0.25">
      <c r="A29" s="355">
        <f t="shared" si="1"/>
        <v>7</v>
      </c>
      <c r="B29" s="351" t="s">
        <v>850</v>
      </c>
      <c r="C29" s="357" t="s">
        <v>633</v>
      </c>
      <c r="D29" s="355" t="s">
        <v>2</v>
      </c>
      <c r="E29" s="351">
        <v>927</v>
      </c>
      <c r="F29" s="351">
        <v>0</v>
      </c>
      <c r="G29" s="351">
        <f t="shared" si="0"/>
        <v>927</v>
      </c>
      <c r="H29" s="358">
        <v>250</v>
      </c>
      <c r="I29" s="355"/>
      <c r="J29" s="356" t="s">
        <v>1177</v>
      </c>
      <c r="K29" s="331"/>
      <c r="L29" s="323" t="s">
        <v>140</v>
      </c>
      <c r="M29" s="333" t="s">
        <v>895</v>
      </c>
      <c r="N29" s="333" t="s">
        <v>896</v>
      </c>
      <c r="O29" s="333" t="s">
        <v>812</v>
      </c>
      <c r="P29" s="326" t="s">
        <v>813</v>
      </c>
      <c r="Q29" s="334"/>
      <c r="R29" s="334"/>
      <c r="S29" s="334"/>
      <c r="T29" s="262"/>
      <c r="U29" s="262"/>
    </row>
    <row r="30" spans="1:24" s="258" customFormat="1" ht="45.75" customHeight="1" x14ac:dyDescent="0.25">
      <c r="A30" s="378">
        <f t="shared" si="1"/>
        <v>8</v>
      </c>
      <c r="B30" s="380" t="s">
        <v>806</v>
      </c>
      <c r="C30" s="379" t="s">
        <v>807</v>
      </c>
      <c r="D30" s="380" t="s">
        <v>2</v>
      </c>
      <c r="E30" s="380">
        <v>2562</v>
      </c>
      <c r="F30" s="380">
        <v>0</v>
      </c>
      <c r="G30" s="380">
        <f t="shared" si="0"/>
        <v>2562</v>
      </c>
      <c r="H30" s="380">
        <f>VLOOKUP(B30,'[1]Tháng 7.2025'!$B$23:$H$153,7,0)</f>
        <v>208</v>
      </c>
      <c r="I30" s="378"/>
      <c r="J30" s="379" t="s">
        <v>833</v>
      </c>
      <c r="K30" s="384">
        <v>1076</v>
      </c>
      <c r="L30" s="435" t="s">
        <v>88</v>
      </c>
      <c r="M30" s="261" t="s">
        <v>895</v>
      </c>
      <c r="N30" s="261" t="s">
        <v>896</v>
      </c>
      <c r="O30" s="261"/>
      <c r="P30" s="326" t="s">
        <v>813</v>
      </c>
      <c r="Q30" s="257" t="s">
        <v>827</v>
      </c>
      <c r="R30" s="257"/>
      <c r="S30" s="257"/>
      <c r="T30" s="257"/>
      <c r="U30" s="257"/>
    </row>
    <row r="31" spans="1:24" s="258" customFormat="1" ht="56.25" customHeight="1" x14ac:dyDescent="0.25">
      <c r="A31" s="378">
        <f t="shared" si="1"/>
        <v>9</v>
      </c>
      <c r="B31" s="380" t="s">
        <v>3</v>
      </c>
      <c r="C31" s="379" t="s">
        <v>4</v>
      </c>
      <c r="D31" s="378" t="s">
        <v>2</v>
      </c>
      <c r="E31" s="380">
        <v>1725</v>
      </c>
      <c r="F31" s="380">
        <v>0</v>
      </c>
      <c r="G31" s="380">
        <f t="shared" si="0"/>
        <v>1725</v>
      </c>
      <c r="H31" s="380">
        <v>400</v>
      </c>
      <c r="I31" s="378"/>
      <c r="J31" s="379" t="s">
        <v>823</v>
      </c>
      <c r="K31" s="384" t="s">
        <v>843</v>
      </c>
      <c r="L31" s="435" t="s">
        <v>88</v>
      </c>
      <c r="M31" s="261" t="s">
        <v>895</v>
      </c>
      <c r="N31" s="261" t="s">
        <v>896</v>
      </c>
      <c r="O31" s="261"/>
      <c r="P31" s="326" t="s">
        <v>813</v>
      </c>
      <c r="Q31" s="257" t="s">
        <v>827</v>
      </c>
      <c r="R31" s="257"/>
      <c r="S31" s="257"/>
      <c r="T31" s="257"/>
      <c r="U31" s="257"/>
    </row>
    <row r="32" spans="1:24" s="261" customFormat="1" ht="21.75" customHeight="1" x14ac:dyDescent="0.25">
      <c r="A32" s="355">
        <f t="shared" si="1"/>
        <v>10</v>
      </c>
      <c r="B32" s="351" t="s">
        <v>1064</v>
      </c>
      <c r="C32" s="357" t="s">
        <v>1065</v>
      </c>
      <c r="D32" s="355" t="s">
        <v>2</v>
      </c>
      <c r="E32" s="351">
        <v>585</v>
      </c>
      <c r="F32" s="351">
        <v>0</v>
      </c>
      <c r="G32" s="351">
        <f t="shared" si="0"/>
        <v>585</v>
      </c>
      <c r="H32" s="351"/>
      <c r="I32" s="355"/>
      <c r="J32" s="357" t="s">
        <v>824</v>
      </c>
      <c r="K32" s="332"/>
      <c r="L32" s="327" t="s">
        <v>88</v>
      </c>
      <c r="M32" s="261" t="s">
        <v>895</v>
      </c>
      <c r="N32" s="261" t="s">
        <v>896</v>
      </c>
      <c r="P32" s="326" t="s">
        <v>813</v>
      </c>
      <c r="Q32" s="262"/>
      <c r="R32" s="262"/>
      <c r="S32" s="262"/>
      <c r="T32" s="262"/>
      <c r="U32" s="262"/>
    </row>
    <row r="33" spans="1:21" s="261" customFormat="1" ht="21.75" customHeight="1" x14ac:dyDescent="0.25">
      <c r="A33" s="355">
        <f>A34+1</f>
        <v>12</v>
      </c>
      <c r="B33" s="351" t="s">
        <v>566</v>
      </c>
      <c r="C33" s="357" t="s">
        <v>1181</v>
      </c>
      <c r="D33" s="355" t="s">
        <v>2</v>
      </c>
      <c r="E33" s="351"/>
      <c r="F33" s="351"/>
      <c r="G33" s="351"/>
      <c r="H33" s="351">
        <v>1253</v>
      </c>
      <c r="I33" s="355"/>
      <c r="J33" s="357" t="s">
        <v>1182</v>
      </c>
      <c r="K33" s="332"/>
      <c r="L33" s="327" t="s">
        <v>140</v>
      </c>
      <c r="M33" s="261" t="s">
        <v>895</v>
      </c>
      <c r="N33" s="261" t="s">
        <v>896</v>
      </c>
      <c r="O33" s="261" t="s">
        <v>812</v>
      </c>
      <c r="P33" s="326" t="s">
        <v>813</v>
      </c>
      <c r="Q33" s="262"/>
      <c r="R33" s="262"/>
      <c r="S33" s="262"/>
      <c r="T33" s="262"/>
      <c r="U33" s="262"/>
    </row>
    <row r="34" spans="1:21" s="258" customFormat="1" ht="34.5" customHeight="1" x14ac:dyDescent="0.25">
      <c r="A34" s="378">
        <f>A32+1</f>
        <v>11</v>
      </c>
      <c r="B34" s="380" t="s">
        <v>46</v>
      </c>
      <c r="C34" s="379" t="s">
        <v>1179</v>
      </c>
      <c r="D34" s="378" t="s">
        <v>2</v>
      </c>
      <c r="E34" s="380">
        <v>1717</v>
      </c>
      <c r="F34" s="380">
        <v>0</v>
      </c>
      <c r="G34" s="380">
        <v>0</v>
      </c>
      <c r="H34" s="380">
        <v>50</v>
      </c>
      <c r="I34" s="378"/>
      <c r="J34" s="379" t="s">
        <v>1180</v>
      </c>
      <c r="K34" s="384"/>
      <c r="L34" s="435" t="s">
        <v>140</v>
      </c>
      <c r="M34" s="261" t="s">
        <v>895</v>
      </c>
      <c r="N34" s="261" t="s">
        <v>896</v>
      </c>
      <c r="O34" s="261" t="s">
        <v>812</v>
      </c>
      <c r="P34" s="326" t="s">
        <v>813</v>
      </c>
      <c r="Q34" s="257" t="s">
        <v>827</v>
      </c>
      <c r="R34" s="257"/>
      <c r="S34" s="257"/>
      <c r="T34" s="257"/>
      <c r="U34" s="257"/>
    </row>
    <row r="35" spans="1:21" s="261" customFormat="1" ht="21.75" customHeight="1" x14ac:dyDescent="0.25">
      <c r="A35" s="355">
        <f>A33+1</f>
        <v>13</v>
      </c>
      <c r="B35" s="351" t="s">
        <v>56</v>
      </c>
      <c r="C35" s="357" t="s">
        <v>57</v>
      </c>
      <c r="D35" s="355" t="s">
        <v>2</v>
      </c>
      <c r="E35" s="351">
        <v>4389</v>
      </c>
      <c r="F35" s="351">
        <v>0</v>
      </c>
      <c r="G35" s="351">
        <f t="shared" ref="G35:G47" si="2">E35-F35</f>
        <v>4389</v>
      </c>
      <c r="H35" s="351">
        <v>600</v>
      </c>
      <c r="I35" s="355"/>
      <c r="J35" s="357" t="s">
        <v>1178</v>
      </c>
      <c r="K35" s="332"/>
      <c r="L35" s="327" t="s">
        <v>140</v>
      </c>
      <c r="M35" s="261" t="s">
        <v>895</v>
      </c>
      <c r="N35" s="261" t="s">
        <v>896</v>
      </c>
      <c r="O35" s="261" t="s">
        <v>812</v>
      </c>
      <c r="P35" s="326" t="s">
        <v>813</v>
      </c>
      <c r="Q35" s="262"/>
      <c r="R35" s="262"/>
      <c r="S35" s="262"/>
      <c r="T35" s="262"/>
      <c r="U35" s="262"/>
    </row>
    <row r="36" spans="1:21" s="261" customFormat="1" ht="36.75" customHeight="1" x14ac:dyDescent="0.25">
      <c r="A36" s="355">
        <f t="shared" si="1"/>
        <v>14</v>
      </c>
      <c r="B36" s="351" t="s">
        <v>56</v>
      </c>
      <c r="C36" s="357" t="s">
        <v>57</v>
      </c>
      <c r="D36" s="355" t="s">
        <v>2</v>
      </c>
      <c r="E36" s="351">
        <v>4389</v>
      </c>
      <c r="F36" s="351">
        <v>0</v>
      </c>
      <c r="G36" s="351">
        <f t="shared" si="2"/>
        <v>4389</v>
      </c>
      <c r="H36" s="351">
        <v>20</v>
      </c>
      <c r="I36" s="355"/>
      <c r="J36" s="357" t="s">
        <v>1313</v>
      </c>
      <c r="K36" s="332"/>
      <c r="L36" s="327" t="s">
        <v>76</v>
      </c>
      <c r="P36" s="326" t="s">
        <v>813</v>
      </c>
      <c r="Q36" s="262"/>
      <c r="R36" s="262"/>
      <c r="S36" s="262"/>
      <c r="T36" s="262"/>
      <c r="U36" s="262"/>
    </row>
    <row r="37" spans="1:21" s="258" customFormat="1" ht="21.75" customHeight="1" x14ac:dyDescent="0.25">
      <c r="A37" s="378"/>
      <c r="B37" s="380" t="s">
        <v>56</v>
      </c>
      <c r="C37" s="379" t="s">
        <v>57</v>
      </c>
      <c r="D37" s="378" t="s">
        <v>2</v>
      </c>
      <c r="E37" s="380">
        <v>4389</v>
      </c>
      <c r="F37" s="380">
        <v>654</v>
      </c>
      <c r="G37" s="380">
        <f t="shared" si="2"/>
        <v>3735</v>
      </c>
      <c r="H37" s="380">
        <v>209</v>
      </c>
      <c r="I37" s="378"/>
      <c r="J37" s="379" t="s">
        <v>217</v>
      </c>
      <c r="K37" s="384"/>
      <c r="L37" s="435" t="s">
        <v>88</v>
      </c>
      <c r="M37" s="261"/>
      <c r="N37" s="261"/>
      <c r="O37" s="261"/>
      <c r="P37" s="326" t="s">
        <v>813</v>
      </c>
      <c r="Q37" s="257" t="s">
        <v>827</v>
      </c>
      <c r="R37" s="257"/>
      <c r="S37" s="257"/>
      <c r="T37" s="257"/>
      <c r="U37" s="257"/>
    </row>
    <row r="38" spans="1:21" s="258" customFormat="1" ht="21.75" customHeight="1" x14ac:dyDescent="0.25">
      <c r="A38" s="378">
        <f>A36+1</f>
        <v>15</v>
      </c>
      <c r="B38" s="380" t="s">
        <v>79</v>
      </c>
      <c r="C38" s="379" t="s">
        <v>80</v>
      </c>
      <c r="D38" s="378" t="s">
        <v>2</v>
      </c>
      <c r="E38" s="380">
        <v>4389</v>
      </c>
      <c r="F38" s="380">
        <v>0</v>
      </c>
      <c r="G38" s="380">
        <f t="shared" si="2"/>
        <v>4389</v>
      </c>
      <c r="H38" s="380">
        <v>200</v>
      </c>
      <c r="I38" s="378"/>
      <c r="J38" s="379" t="s">
        <v>1314</v>
      </c>
      <c r="K38" s="384" t="s">
        <v>88</v>
      </c>
      <c r="L38" s="435" t="s">
        <v>88</v>
      </c>
      <c r="M38" s="261"/>
      <c r="N38" s="261" t="s">
        <v>896</v>
      </c>
      <c r="O38" s="261"/>
      <c r="P38" s="326" t="s">
        <v>813</v>
      </c>
      <c r="Q38" s="257" t="s">
        <v>827</v>
      </c>
      <c r="R38" s="257"/>
      <c r="S38" s="257"/>
      <c r="T38" s="257"/>
      <c r="U38" s="257"/>
    </row>
    <row r="39" spans="1:21" s="258" customFormat="1" ht="21.75" customHeight="1" x14ac:dyDescent="0.25">
      <c r="A39" s="378">
        <f t="shared" si="1"/>
        <v>16</v>
      </c>
      <c r="B39" s="380" t="s">
        <v>447</v>
      </c>
      <c r="C39" s="379" t="s">
        <v>701</v>
      </c>
      <c r="D39" s="378" t="s">
        <v>2</v>
      </c>
      <c r="E39" s="380">
        <v>2374</v>
      </c>
      <c r="F39" s="380">
        <v>0</v>
      </c>
      <c r="G39" s="380">
        <f t="shared" si="2"/>
        <v>2374</v>
      </c>
      <c r="H39" s="380">
        <v>300</v>
      </c>
      <c r="I39" s="378"/>
      <c r="J39" s="439" t="s">
        <v>778</v>
      </c>
      <c r="K39" s="384"/>
      <c r="L39" s="435" t="s">
        <v>88</v>
      </c>
      <c r="M39" s="261" t="s">
        <v>895</v>
      </c>
      <c r="N39" s="261" t="s">
        <v>896</v>
      </c>
      <c r="O39" s="261"/>
      <c r="P39" s="326" t="s">
        <v>813</v>
      </c>
      <c r="Q39" s="257" t="s">
        <v>827</v>
      </c>
      <c r="R39" s="257"/>
      <c r="S39" s="257"/>
      <c r="T39" s="257"/>
      <c r="U39" s="257"/>
    </row>
    <row r="40" spans="1:21" s="261" customFormat="1" ht="46.5" customHeight="1" x14ac:dyDescent="0.25">
      <c r="A40" s="355">
        <f t="shared" si="1"/>
        <v>17</v>
      </c>
      <c r="B40" s="351" t="s">
        <v>447</v>
      </c>
      <c r="C40" s="357" t="s">
        <v>448</v>
      </c>
      <c r="D40" s="355" t="s">
        <v>2</v>
      </c>
      <c r="E40" s="351">
        <v>2374</v>
      </c>
      <c r="F40" s="351">
        <v>0</v>
      </c>
      <c r="G40" s="351">
        <f t="shared" si="2"/>
        <v>2374</v>
      </c>
      <c r="H40" s="351">
        <v>0</v>
      </c>
      <c r="I40" s="355"/>
      <c r="J40" s="357" t="s">
        <v>869</v>
      </c>
      <c r="K40" s="332"/>
      <c r="L40" s="327" t="s">
        <v>88</v>
      </c>
      <c r="Q40" s="262"/>
      <c r="R40" s="262"/>
      <c r="S40" s="262"/>
      <c r="T40" s="262"/>
      <c r="U40" s="262"/>
    </row>
    <row r="41" spans="1:21" s="261" customFormat="1" ht="57.75" customHeight="1" x14ac:dyDescent="0.25">
      <c r="A41" s="355">
        <f t="shared" si="1"/>
        <v>18</v>
      </c>
      <c r="B41" s="351" t="s">
        <v>85</v>
      </c>
      <c r="C41" s="357" t="s">
        <v>86</v>
      </c>
      <c r="D41" s="355" t="s">
        <v>2</v>
      </c>
      <c r="E41" s="351">
        <v>4082</v>
      </c>
      <c r="F41" s="351">
        <v>0</v>
      </c>
      <c r="G41" s="351">
        <f t="shared" si="2"/>
        <v>4082</v>
      </c>
      <c r="H41" s="351">
        <v>600</v>
      </c>
      <c r="I41" s="355"/>
      <c r="J41" s="357" t="s">
        <v>219</v>
      </c>
      <c r="K41" s="332">
        <v>6843</v>
      </c>
      <c r="L41" s="327" t="s">
        <v>140</v>
      </c>
      <c r="M41" s="261" t="s">
        <v>895</v>
      </c>
      <c r="N41" s="261" t="s">
        <v>896</v>
      </c>
      <c r="O41" s="261" t="s">
        <v>812</v>
      </c>
      <c r="P41" s="326" t="s">
        <v>813</v>
      </c>
      <c r="Q41" s="262"/>
      <c r="R41" s="262"/>
      <c r="S41" s="262"/>
      <c r="T41" s="262"/>
      <c r="U41" s="262"/>
    </row>
    <row r="42" spans="1:21" s="257" customFormat="1" ht="21.75" customHeight="1" x14ac:dyDescent="0.25">
      <c r="A42" s="378">
        <f t="shared" si="1"/>
        <v>19</v>
      </c>
      <c r="B42" s="380" t="s">
        <v>83</v>
      </c>
      <c r="C42" s="379" t="s">
        <v>1022</v>
      </c>
      <c r="D42" s="378" t="s">
        <v>2</v>
      </c>
      <c r="E42" s="380">
        <v>4158</v>
      </c>
      <c r="F42" s="380">
        <v>0</v>
      </c>
      <c r="G42" s="380">
        <f t="shared" si="2"/>
        <v>4158</v>
      </c>
      <c r="H42" s="440">
        <v>200</v>
      </c>
      <c r="I42" s="378"/>
      <c r="J42" s="439" t="s">
        <v>778</v>
      </c>
      <c r="K42" s="384"/>
      <c r="L42" s="435" t="s">
        <v>88</v>
      </c>
      <c r="M42" s="262"/>
      <c r="N42" s="335" t="s">
        <v>896</v>
      </c>
      <c r="O42" s="262"/>
      <c r="P42" s="326" t="s">
        <v>813</v>
      </c>
      <c r="Q42" s="257" t="s">
        <v>827</v>
      </c>
    </row>
    <row r="43" spans="1:21" s="262" customFormat="1" ht="21.75" customHeight="1" x14ac:dyDescent="0.25">
      <c r="A43" s="355">
        <f t="shared" si="1"/>
        <v>20</v>
      </c>
      <c r="B43" s="351" t="s">
        <v>816</v>
      </c>
      <c r="C43" s="357" t="s">
        <v>817</v>
      </c>
      <c r="D43" s="355" t="s">
        <v>2</v>
      </c>
      <c r="E43" s="351">
        <v>0</v>
      </c>
      <c r="F43" s="351">
        <v>0</v>
      </c>
      <c r="G43" s="351">
        <f t="shared" si="2"/>
        <v>0</v>
      </c>
      <c r="H43" s="351">
        <v>300</v>
      </c>
      <c r="I43" s="355"/>
      <c r="J43" s="357" t="s">
        <v>957</v>
      </c>
      <c r="K43" s="332"/>
      <c r="L43" s="329" t="s">
        <v>140</v>
      </c>
      <c r="N43" s="335" t="s">
        <v>896</v>
      </c>
      <c r="P43" s="326" t="s">
        <v>813</v>
      </c>
    </row>
    <row r="44" spans="1:21" s="257" customFormat="1" ht="21.75" customHeight="1" x14ac:dyDescent="0.25">
      <c r="A44" s="378">
        <f t="shared" si="1"/>
        <v>21</v>
      </c>
      <c r="B44" s="380" t="s">
        <v>25</v>
      </c>
      <c r="C44" s="379" t="s">
        <v>703</v>
      </c>
      <c r="D44" s="378" t="s">
        <v>2</v>
      </c>
      <c r="E44" s="380">
        <v>50</v>
      </c>
      <c r="F44" s="380">
        <v>0</v>
      </c>
      <c r="G44" s="380">
        <f t="shared" si="2"/>
        <v>50</v>
      </c>
      <c r="H44" s="380">
        <f>VLOOKUP(B44,'[1]Tháng 7.2025'!$B$23:$H$153,7,0)</f>
        <v>200</v>
      </c>
      <c r="I44" s="378"/>
      <c r="J44" s="379" t="s">
        <v>815</v>
      </c>
      <c r="K44" s="384"/>
      <c r="L44" s="387" t="s">
        <v>88</v>
      </c>
      <c r="M44" s="262" t="s">
        <v>895</v>
      </c>
      <c r="N44" s="262" t="s">
        <v>896</v>
      </c>
      <c r="O44" s="262"/>
      <c r="P44" s="326" t="s">
        <v>813</v>
      </c>
      <c r="Q44" s="257" t="s">
        <v>827</v>
      </c>
    </row>
    <row r="45" spans="1:21" s="261" customFormat="1" ht="45" customHeight="1" x14ac:dyDescent="0.25">
      <c r="A45" s="355">
        <f t="shared" si="1"/>
        <v>22</v>
      </c>
      <c r="B45" s="351" t="s">
        <v>24</v>
      </c>
      <c r="C45" s="357" t="s">
        <v>43</v>
      </c>
      <c r="D45" s="355" t="s">
        <v>2</v>
      </c>
      <c r="E45" s="351">
        <v>50</v>
      </c>
      <c r="F45" s="351">
        <v>0</v>
      </c>
      <c r="G45" s="351">
        <f t="shared" si="2"/>
        <v>50</v>
      </c>
      <c r="H45" s="351">
        <v>0</v>
      </c>
      <c r="I45" s="355"/>
      <c r="J45" s="357" t="s">
        <v>815</v>
      </c>
      <c r="K45" s="332"/>
      <c r="L45" s="329" t="s">
        <v>88</v>
      </c>
      <c r="M45" s="262" t="s">
        <v>895</v>
      </c>
      <c r="Q45" s="262"/>
      <c r="R45" s="262"/>
      <c r="S45" s="262"/>
      <c r="T45" s="262"/>
      <c r="U45" s="262"/>
    </row>
    <row r="46" spans="1:21" s="261" customFormat="1" ht="57.75" customHeight="1" x14ac:dyDescent="0.25">
      <c r="A46" s="355">
        <f t="shared" si="1"/>
        <v>23</v>
      </c>
      <c r="B46" s="355" t="s">
        <v>841</v>
      </c>
      <c r="C46" s="357" t="s">
        <v>842</v>
      </c>
      <c r="D46" s="351" t="s">
        <v>2</v>
      </c>
      <c r="E46" s="351">
        <v>2740</v>
      </c>
      <c r="F46" s="351">
        <v>0</v>
      </c>
      <c r="G46" s="351">
        <f t="shared" si="2"/>
        <v>2740</v>
      </c>
      <c r="H46" s="351">
        <v>40</v>
      </c>
      <c r="I46" s="355"/>
      <c r="J46" s="359" t="s">
        <v>949</v>
      </c>
      <c r="K46" s="336" t="s">
        <v>110</v>
      </c>
      <c r="L46" s="327" t="s">
        <v>76</v>
      </c>
      <c r="M46" s="261" t="s">
        <v>895</v>
      </c>
      <c r="N46" s="261" t="s">
        <v>896</v>
      </c>
      <c r="O46" s="261" t="s">
        <v>812</v>
      </c>
      <c r="P46" s="261" t="s">
        <v>813</v>
      </c>
      <c r="Q46" s="262"/>
      <c r="R46" s="262"/>
      <c r="S46" s="262"/>
      <c r="T46" s="262"/>
      <c r="U46" s="262"/>
    </row>
    <row r="47" spans="1:21" s="261" customFormat="1" ht="82.5" customHeight="1" x14ac:dyDescent="0.25">
      <c r="A47" s="355">
        <f t="shared" si="1"/>
        <v>24</v>
      </c>
      <c r="B47" s="351" t="s">
        <v>81</v>
      </c>
      <c r="C47" s="357" t="s">
        <v>82</v>
      </c>
      <c r="D47" s="355" t="s">
        <v>66</v>
      </c>
      <c r="E47" s="351">
        <v>0</v>
      </c>
      <c r="F47" s="351">
        <v>0</v>
      </c>
      <c r="G47" s="351">
        <f t="shared" si="2"/>
        <v>0</v>
      </c>
      <c r="H47" s="351">
        <v>540</v>
      </c>
      <c r="I47" s="355"/>
      <c r="J47" s="357" t="s">
        <v>1059</v>
      </c>
      <c r="K47" s="337">
        <v>9385</v>
      </c>
      <c r="L47" s="327" t="s">
        <v>88</v>
      </c>
      <c r="P47" s="326"/>
      <c r="Q47" s="262"/>
      <c r="R47" s="262"/>
      <c r="S47" s="262"/>
      <c r="T47" s="262"/>
      <c r="U47" s="262"/>
    </row>
    <row r="48" spans="1:21" s="258" customFormat="1" ht="38.25" customHeight="1" x14ac:dyDescent="0.25">
      <c r="A48" s="378">
        <f t="shared" si="1"/>
        <v>25</v>
      </c>
      <c r="B48" s="380" t="s">
        <v>945</v>
      </c>
      <c r="C48" s="379" t="s">
        <v>878</v>
      </c>
      <c r="D48" s="378" t="s">
        <v>66</v>
      </c>
      <c r="E48" s="380">
        <v>0</v>
      </c>
      <c r="F48" s="380">
        <v>880</v>
      </c>
      <c r="G48" s="380"/>
      <c r="H48" s="380">
        <v>2400</v>
      </c>
      <c r="I48" s="378"/>
      <c r="J48" s="379" t="s">
        <v>853</v>
      </c>
      <c r="K48" s="444">
        <v>9385</v>
      </c>
      <c r="L48" s="441" t="s">
        <v>1171</v>
      </c>
      <c r="M48" s="261" t="s">
        <v>895</v>
      </c>
      <c r="N48" s="261" t="s">
        <v>896</v>
      </c>
      <c r="O48" s="261" t="s">
        <v>812</v>
      </c>
      <c r="P48" s="261" t="s">
        <v>813</v>
      </c>
      <c r="Q48" s="257" t="s">
        <v>827</v>
      </c>
      <c r="R48" s="257"/>
      <c r="S48" s="257"/>
      <c r="T48" s="257"/>
      <c r="U48" s="257"/>
    </row>
    <row r="49" spans="1:21" s="261" customFormat="1" ht="41.25" customHeight="1" x14ac:dyDescent="0.25">
      <c r="A49" s="355">
        <f t="shared" si="1"/>
        <v>26</v>
      </c>
      <c r="B49" s="351" t="s">
        <v>415</v>
      </c>
      <c r="C49" s="357" t="s">
        <v>950</v>
      </c>
      <c r="D49" s="355" t="s">
        <v>66</v>
      </c>
      <c r="E49" s="351">
        <v>3553.5790576240001</v>
      </c>
      <c r="F49" s="351">
        <v>0</v>
      </c>
      <c r="G49" s="351">
        <f>E49-F49</f>
        <v>3553.5790576240001</v>
      </c>
      <c r="H49" s="351">
        <v>510</v>
      </c>
      <c r="I49" s="355"/>
      <c r="J49" s="357" t="s">
        <v>951</v>
      </c>
      <c r="K49" s="337"/>
      <c r="L49" s="327" t="s">
        <v>76</v>
      </c>
      <c r="N49" s="261" t="s">
        <v>896</v>
      </c>
      <c r="O49" s="261" t="s">
        <v>812</v>
      </c>
      <c r="P49" s="261" t="s">
        <v>813</v>
      </c>
      <c r="Q49" s="262"/>
      <c r="R49" s="262"/>
      <c r="S49" s="262"/>
      <c r="T49" s="262"/>
      <c r="U49" s="262"/>
    </row>
    <row r="50" spans="1:21" s="261" customFormat="1" ht="39" customHeight="1" x14ac:dyDescent="0.25">
      <c r="A50" s="355">
        <f t="shared" si="1"/>
        <v>27</v>
      </c>
      <c r="B50" s="351" t="s">
        <v>705</v>
      </c>
      <c r="C50" s="357" t="s">
        <v>706</v>
      </c>
      <c r="D50" s="355" t="s">
        <v>2</v>
      </c>
      <c r="E50" s="351">
        <f>VLOOKUP(B50,'[1]Tháng 7.2025'!$B$23:$H$153,4,0)</f>
        <v>0</v>
      </c>
      <c r="F50" s="351">
        <f>VLOOKUP(B50,'[1]Tháng 7.2025'!$B$23:$H$153,5,0)</f>
        <v>0</v>
      </c>
      <c r="G50" s="351">
        <f>E50-F50</f>
        <v>0</v>
      </c>
      <c r="H50" s="351">
        <v>0</v>
      </c>
      <c r="I50" s="355"/>
      <c r="J50" s="357" t="s">
        <v>707</v>
      </c>
      <c r="K50" s="332"/>
      <c r="L50" s="327" t="s">
        <v>88</v>
      </c>
      <c r="Q50" s="262"/>
      <c r="R50" s="262"/>
      <c r="S50" s="262"/>
      <c r="T50" s="262"/>
      <c r="U50" s="262"/>
    </row>
    <row r="51" spans="1:21" s="258" customFormat="1" ht="39" customHeight="1" x14ac:dyDescent="0.25">
      <c r="A51" s="378"/>
      <c r="B51" s="380" t="s">
        <v>495</v>
      </c>
      <c r="C51" s="379" t="s">
        <v>1311</v>
      </c>
      <c r="D51" s="378" t="s">
        <v>2</v>
      </c>
      <c r="E51" s="380">
        <v>482.6</v>
      </c>
      <c r="F51" s="380"/>
      <c r="G51" s="380"/>
      <c r="H51" s="380">
        <v>200</v>
      </c>
      <c r="I51" s="378"/>
      <c r="J51" s="438" t="s">
        <v>1312</v>
      </c>
      <c r="K51" s="384"/>
      <c r="L51" s="435" t="s">
        <v>88</v>
      </c>
      <c r="M51" s="261"/>
      <c r="N51" s="261"/>
      <c r="O51" s="261"/>
      <c r="P51" s="261" t="s">
        <v>813</v>
      </c>
      <c r="Q51" s="257" t="s">
        <v>827</v>
      </c>
      <c r="R51" s="257"/>
      <c r="S51" s="257"/>
      <c r="T51" s="257"/>
      <c r="U51" s="257"/>
    </row>
    <row r="52" spans="1:21" s="258" customFormat="1" ht="39" customHeight="1" x14ac:dyDescent="0.25">
      <c r="A52" s="378"/>
      <c r="B52" s="380" t="s">
        <v>203</v>
      </c>
      <c r="C52" s="379" t="s">
        <v>204</v>
      </c>
      <c r="D52" s="378" t="s">
        <v>2</v>
      </c>
      <c r="E52" s="380">
        <v>1256</v>
      </c>
      <c r="F52" s="380"/>
      <c r="G52" s="380"/>
      <c r="H52" s="380">
        <v>0</v>
      </c>
      <c r="I52" s="378"/>
      <c r="J52" s="438" t="s">
        <v>510</v>
      </c>
      <c r="K52" s="384"/>
      <c r="L52" s="435" t="s">
        <v>88</v>
      </c>
      <c r="M52" s="261"/>
      <c r="N52" s="261"/>
      <c r="O52" s="261"/>
      <c r="P52" s="261"/>
      <c r="Q52" s="257" t="s">
        <v>827</v>
      </c>
      <c r="R52" s="257"/>
      <c r="S52" s="257"/>
      <c r="T52" s="257"/>
      <c r="U52" s="257"/>
    </row>
    <row r="53" spans="1:21" s="261" customFormat="1" ht="46.5" customHeight="1" x14ac:dyDescent="0.25">
      <c r="A53" s="355">
        <f>A50+1</f>
        <v>28</v>
      </c>
      <c r="B53" s="351" t="s">
        <v>866</v>
      </c>
      <c r="C53" s="357" t="s">
        <v>867</v>
      </c>
      <c r="D53" s="355" t="s">
        <v>2</v>
      </c>
      <c r="E53" s="351">
        <v>0</v>
      </c>
      <c r="F53" s="351">
        <v>0</v>
      </c>
      <c r="G53" s="351">
        <f>E53-F53</f>
        <v>0</v>
      </c>
      <c r="H53" s="351">
        <v>150</v>
      </c>
      <c r="I53" s="355"/>
      <c r="J53" s="357" t="s">
        <v>958</v>
      </c>
      <c r="K53" s="332"/>
      <c r="L53" s="327" t="s">
        <v>76</v>
      </c>
      <c r="N53" s="261" t="s">
        <v>896</v>
      </c>
      <c r="Q53" s="262"/>
      <c r="R53" s="262"/>
      <c r="S53" s="262"/>
      <c r="T53" s="262"/>
      <c r="U53" s="262"/>
    </row>
    <row r="54" spans="1:21" s="326" customFormat="1" ht="48.75" customHeight="1" x14ac:dyDescent="0.25">
      <c r="A54" s="360" t="s">
        <v>19</v>
      </c>
      <c r="B54" s="356"/>
      <c r="C54" s="356"/>
      <c r="D54" s="355"/>
      <c r="E54" s="351"/>
      <c r="F54" s="351"/>
      <c r="G54" s="351"/>
      <c r="H54" s="351"/>
      <c r="I54" s="355"/>
      <c r="J54" s="355"/>
      <c r="K54" s="328"/>
      <c r="L54" s="325"/>
      <c r="O54" s="261"/>
      <c r="Q54" s="338"/>
      <c r="R54" s="338"/>
      <c r="S54" s="338"/>
      <c r="T54" s="338"/>
      <c r="U54" s="338"/>
    </row>
    <row r="55" spans="1:21" s="258" customFormat="1" ht="48.75" customHeight="1" x14ac:dyDescent="0.25">
      <c r="A55" s="378">
        <f>A53+1</f>
        <v>29</v>
      </c>
      <c r="B55" s="380" t="s">
        <v>819</v>
      </c>
      <c r="C55" s="379" t="s">
        <v>820</v>
      </c>
      <c r="D55" s="378" t="s">
        <v>0</v>
      </c>
      <c r="E55" s="380">
        <v>28</v>
      </c>
      <c r="F55" s="380">
        <v>12</v>
      </c>
      <c r="G55" s="380">
        <f t="shared" ref="G55:G65" si="3">E55-F55</f>
        <v>16</v>
      </c>
      <c r="H55" s="380">
        <v>6</v>
      </c>
      <c r="I55" s="378"/>
      <c r="J55" s="379" t="s">
        <v>1309</v>
      </c>
      <c r="K55" s="434">
        <v>50</v>
      </c>
      <c r="L55" s="435" t="s">
        <v>76</v>
      </c>
      <c r="M55" s="261"/>
      <c r="N55" s="261"/>
      <c r="O55" s="261" t="s">
        <v>812</v>
      </c>
      <c r="P55" s="261" t="s">
        <v>813</v>
      </c>
      <c r="Q55" s="257" t="s">
        <v>827</v>
      </c>
      <c r="R55" s="257"/>
      <c r="S55" s="257"/>
      <c r="T55" s="257"/>
      <c r="U55" s="257"/>
    </row>
    <row r="56" spans="1:21" s="261" customFormat="1" ht="37.5" customHeight="1" x14ac:dyDescent="0.25">
      <c r="A56" s="355" t="e">
        <f>A58+1</f>
        <v>#REF!</v>
      </c>
      <c r="B56" s="355" t="s">
        <v>1080</v>
      </c>
      <c r="C56" s="357" t="s">
        <v>1116</v>
      </c>
      <c r="D56" s="351" t="s">
        <v>0</v>
      </c>
      <c r="E56" s="351">
        <v>0</v>
      </c>
      <c r="F56" s="351">
        <v>0</v>
      </c>
      <c r="G56" s="351">
        <f t="shared" si="3"/>
        <v>0</v>
      </c>
      <c r="H56" s="351">
        <v>7</v>
      </c>
      <c r="I56" s="355"/>
      <c r="J56" s="357" t="s">
        <v>1157</v>
      </c>
      <c r="K56" s="332"/>
      <c r="L56" s="327" t="s">
        <v>197</v>
      </c>
      <c r="Q56" s="262"/>
      <c r="R56" s="262"/>
      <c r="S56" s="262"/>
      <c r="T56" s="262"/>
      <c r="U56" s="262"/>
    </row>
    <row r="57" spans="1:21" s="261" customFormat="1" ht="40.5" customHeight="1" x14ac:dyDescent="0.25">
      <c r="A57" s="355">
        <f>A55+1</f>
        <v>30</v>
      </c>
      <c r="B57" s="351" t="s">
        <v>821</v>
      </c>
      <c r="C57" s="357" t="s">
        <v>822</v>
      </c>
      <c r="D57" s="355" t="s">
        <v>0</v>
      </c>
      <c r="E57" s="351">
        <v>10</v>
      </c>
      <c r="F57" s="351">
        <v>0</v>
      </c>
      <c r="G57" s="351">
        <f t="shared" si="3"/>
        <v>10</v>
      </c>
      <c r="H57" s="351">
        <v>2</v>
      </c>
      <c r="I57" s="355"/>
      <c r="J57" s="357" t="s">
        <v>956</v>
      </c>
      <c r="K57" s="332">
        <v>18</v>
      </c>
      <c r="L57" s="327" t="s">
        <v>76</v>
      </c>
      <c r="M57" s="261" t="s">
        <v>895</v>
      </c>
      <c r="N57" s="261" t="s">
        <v>896</v>
      </c>
      <c r="P57" s="261" t="s">
        <v>813</v>
      </c>
      <c r="Q57" s="262"/>
      <c r="R57" s="262"/>
      <c r="S57" s="262"/>
      <c r="T57" s="262"/>
      <c r="U57" s="262"/>
    </row>
    <row r="58" spans="1:21" s="261" customFormat="1" ht="37.5" customHeight="1" x14ac:dyDescent="0.25">
      <c r="A58" s="355" t="e">
        <f>A108+1</f>
        <v>#REF!</v>
      </c>
      <c r="B58" s="355" t="s">
        <v>821</v>
      </c>
      <c r="C58" s="357" t="s">
        <v>1115</v>
      </c>
      <c r="D58" s="351" t="s">
        <v>0</v>
      </c>
      <c r="E58" s="351">
        <v>0</v>
      </c>
      <c r="F58" s="351">
        <v>0</v>
      </c>
      <c r="G58" s="351">
        <f t="shared" si="3"/>
        <v>0</v>
      </c>
      <c r="H58" s="351">
        <v>10</v>
      </c>
      <c r="I58" s="355"/>
      <c r="J58" s="357" t="s">
        <v>1156</v>
      </c>
      <c r="K58" s="332"/>
      <c r="L58" s="327" t="s">
        <v>197</v>
      </c>
      <c r="Q58" s="262"/>
      <c r="R58" s="262"/>
      <c r="S58" s="262"/>
      <c r="T58" s="262"/>
      <c r="U58" s="262"/>
    </row>
    <row r="59" spans="1:21" s="261" customFormat="1" ht="40.5" customHeight="1" x14ac:dyDescent="0.25">
      <c r="A59" s="355">
        <f>A57+1</f>
        <v>31</v>
      </c>
      <c r="B59" s="351" t="s">
        <v>954</v>
      </c>
      <c r="C59" s="357" t="s">
        <v>860</v>
      </c>
      <c r="D59" s="355" t="s">
        <v>0</v>
      </c>
      <c r="E59" s="351">
        <v>8</v>
      </c>
      <c r="F59" s="351">
        <v>0</v>
      </c>
      <c r="G59" s="351">
        <f t="shared" si="3"/>
        <v>8</v>
      </c>
      <c r="H59" s="351">
        <v>1</v>
      </c>
      <c r="I59" s="355"/>
      <c r="J59" s="357" t="s">
        <v>1310</v>
      </c>
      <c r="K59" s="332"/>
      <c r="L59" s="327" t="s">
        <v>76</v>
      </c>
      <c r="N59" s="261" t="s">
        <v>896</v>
      </c>
      <c r="P59" s="261" t="s">
        <v>813</v>
      </c>
      <c r="Q59" s="262"/>
      <c r="R59" s="262"/>
      <c r="S59" s="262"/>
      <c r="T59" s="262"/>
      <c r="U59" s="262"/>
    </row>
    <row r="60" spans="1:21" s="261" customFormat="1" ht="40.5" customHeight="1" x14ac:dyDescent="0.25">
      <c r="A60" s="355">
        <f t="shared" ref="A60:A107" si="4">A59+1</f>
        <v>32</v>
      </c>
      <c r="B60" s="351" t="s">
        <v>828</v>
      </c>
      <c r="C60" s="357" t="s">
        <v>832</v>
      </c>
      <c r="D60" s="355" t="s">
        <v>0</v>
      </c>
      <c r="E60" s="351">
        <v>20</v>
      </c>
      <c r="F60" s="351">
        <v>0</v>
      </c>
      <c r="G60" s="351">
        <f t="shared" si="3"/>
        <v>20</v>
      </c>
      <c r="H60" s="351">
        <v>0</v>
      </c>
      <c r="I60" s="355"/>
      <c r="J60" s="357" t="s">
        <v>953</v>
      </c>
      <c r="K60" s="332"/>
      <c r="L60" s="327" t="s">
        <v>76</v>
      </c>
      <c r="M60" s="261" t="s">
        <v>895</v>
      </c>
      <c r="N60" s="261" t="s">
        <v>896</v>
      </c>
      <c r="Q60" s="262"/>
      <c r="R60" s="262"/>
      <c r="S60" s="262"/>
      <c r="T60" s="262"/>
      <c r="U60" s="262"/>
    </row>
    <row r="61" spans="1:21" s="261" customFormat="1" ht="44.25" customHeight="1" x14ac:dyDescent="0.25">
      <c r="A61" s="355" t="e">
        <f>A68+1</f>
        <v>#REF!</v>
      </c>
      <c r="B61" s="355" t="s">
        <v>828</v>
      </c>
      <c r="C61" s="357" t="s">
        <v>1124</v>
      </c>
      <c r="D61" s="351" t="s">
        <v>0</v>
      </c>
      <c r="E61" s="351">
        <v>0</v>
      </c>
      <c r="F61" s="351">
        <v>0</v>
      </c>
      <c r="G61" s="351">
        <f t="shared" si="3"/>
        <v>0</v>
      </c>
      <c r="H61" s="351">
        <v>9</v>
      </c>
      <c r="I61" s="355"/>
      <c r="J61" s="357" t="s">
        <v>1162</v>
      </c>
      <c r="K61" s="332"/>
      <c r="L61" s="327" t="s">
        <v>197</v>
      </c>
      <c r="Q61" s="262"/>
      <c r="R61" s="262"/>
      <c r="S61" s="262"/>
      <c r="T61" s="262"/>
      <c r="U61" s="262"/>
    </row>
    <row r="62" spans="1:21" s="262" customFormat="1" ht="40.5" customHeight="1" x14ac:dyDescent="0.25">
      <c r="A62" s="355">
        <f>A60+1</f>
        <v>33</v>
      </c>
      <c r="B62" s="351" t="s">
        <v>829</v>
      </c>
      <c r="C62" s="357" t="s">
        <v>830</v>
      </c>
      <c r="D62" s="355" t="s">
        <v>0</v>
      </c>
      <c r="E62" s="351">
        <v>28</v>
      </c>
      <c r="F62" s="351">
        <v>0</v>
      </c>
      <c r="G62" s="351">
        <f t="shared" si="3"/>
        <v>28</v>
      </c>
      <c r="H62" s="351">
        <v>8</v>
      </c>
      <c r="I62" s="355"/>
      <c r="J62" s="357" t="s">
        <v>952</v>
      </c>
      <c r="K62" s="332"/>
      <c r="L62" s="327" t="s">
        <v>76</v>
      </c>
      <c r="M62" s="262" t="s">
        <v>895</v>
      </c>
      <c r="N62" s="262" t="s">
        <v>896</v>
      </c>
      <c r="P62" s="261" t="s">
        <v>813</v>
      </c>
    </row>
    <row r="63" spans="1:21" s="261" customFormat="1" ht="39" customHeight="1" x14ac:dyDescent="0.25">
      <c r="A63" s="355" t="e">
        <f>A87+1</f>
        <v>#REF!</v>
      </c>
      <c r="B63" s="351" t="s">
        <v>829</v>
      </c>
      <c r="C63" s="357" t="s">
        <v>831</v>
      </c>
      <c r="D63" s="355" t="s">
        <v>172</v>
      </c>
      <c r="E63" s="351">
        <v>28</v>
      </c>
      <c r="F63" s="351">
        <v>0</v>
      </c>
      <c r="G63" s="351">
        <f t="shared" si="3"/>
        <v>28</v>
      </c>
      <c r="H63" s="351">
        <v>5</v>
      </c>
      <c r="I63" s="355"/>
      <c r="J63" s="357" t="s">
        <v>859</v>
      </c>
      <c r="K63" s="332"/>
      <c r="L63" s="327" t="s">
        <v>76</v>
      </c>
      <c r="Q63" s="262"/>
      <c r="R63" s="262"/>
      <c r="S63" s="262"/>
      <c r="T63" s="262"/>
      <c r="U63" s="262"/>
    </row>
    <row r="64" spans="1:21" s="261" customFormat="1" ht="44.25" customHeight="1" x14ac:dyDescent="0.25">
      <c r="A64" s="355" t="e">
        <f>A61+1</f>
        <v>#REF!</v>
      </c>
      <c r="B64" s="355" t="s">
        <v>829</v>
      </c>
      <c r="C64" s="357" t="s">
        <v>830</v>
      </c>
      <c r="D64" s="351" t="s">
        <v>0</v>
      </c>
      <c r="E64" s="351">
        <v>0</v>
      </c>
      <c r="F64" s="351">
        <v>0</v>
      </c>
      <c r="G64" s="351">
        <f t="shared" si="3"/>
        <v>0</v>
      </c>
      <c r="H64" s="351">
        <v>8</v>
      </c>
      <c r="I64" s="355"/>
      <c r="J64" s="357" t="s">
        <v>1163</v>
      </c>
      <c r="K64" s="332"/>
      <c r="L64" s="327" t="s">
        <v>197</v>
      </c>
      <c r="Q64" s="262"/>
      <c r="R64" s="262"/>
      <c r="S64" s="262"/>
      <c r="T64" s="262"/>
      <c r="U64" s="262"/>
    </row>
    <row r="65" spans="1:21" s="262" customFormat="1" ht="88.5" customHeight="1" x14ac:dyDescent="0.25">
      <c r="A65" s="355">
        <f>A62+1</f>
        <v>34</v>
      </c>
      <c r="B65" s="351" t="s">
        <v>116</v>
      </c>
      <c r="C65" s="357" t="s">
        <v>64</v>
      </c>
      <c r="D65" s="355" t="s">
        <v>0</v>
      </c>
      <c r="E65" s="351">
        <v>48</v>
      </c>
      <c r="F65" s="351">
        <v>0</v>
      </c>
      <c r="G65" s="351">
        <f t="shared" si="3"/>
        <v>48</v>
      </c>
      <c r="H65" s="351">
        <v>32</v>
      </c>
      <c r="I65" s="355"/>
      <c r="J65" s="357" t="s">
        <v>904</v>
      </c>
      <c r="K65" s="332"/>
      <c r="L65" s="327" t="s">
        <v>76</v>
      </c>
      <c r="M65" s="262" t="s">
        <v>895</v>
      </c>
      <c r="N65" s="262" t="s">
        <v>896</v>
      </c>
      <c r="P65" s="262" t="s">
        <v>813</v>
      </c>
    </row>
    <row r="66" spans="1:21" s="257" customFormat="1" ht="88.5" customHeight="1" x14ac:dyDescent="0.25">
      <c r="A66" s="378"/>
      <c r="B66" s="442" t="s">
        <v>1243</v>
      </c>
      <c r="C66" s="443" t="s">
        <v>1244</v>
      </c>
      <c r="D66" s="378" t="s">
        <v>390</v>
      </c>
      <c r="E66" s="380">
        <v>20000</v>
      </c>
      <c r="F66" s="380">
        <v>0</v>
      </c>
      <c r="G66" s="380">
        <v>15000</v>
      </c>
      <c r="H66" s="380">
        <v>5000</v>
      </c>
      <c r="I66" s="378"/>
      <c r="J66" s="443" t="s">
        <v>1245</v>
      </c>
      <c r="K66" s="384"/>
      <c r="L66" s="435" t="s">
        <v>140</v>
      </c>
      <c r="M66" s="262"/>
      <c r="N66" s="262"/>
      <c r="O66" s="262"/>
      <c r="P66" s="262" t="s">
        <v>813</v>
      </c>
      <c r="Q66" s="257" t="s">
        <v>827</v>
      </c>
    </row>
    <row r="67" spans="1:21" s="262" customFormat="1" ht="57" customHeight="1" x14ac:dyDescent="0.25">
      <c r="A67" s="355">
        <f>A65+1</f>
        <v>35</v>
      </c>
      <c r="B67" s="361" t="s">
        <v>112</v>
      </c>
      <c r="C67" s="359" t="s">
        <v>60</v>
      </c>
      <c r="D67" s="355" t="s">
        <v>0</v>
      </c>
      <c r="E67" s="351">
        <v>18</v>
      </c>
      <c r="F67" s="351">
        <v>0</v>
      </c>
      <c r="G67" s="351">
        <f t="shared" ref="G67:G117" si="5">E67-F67</f>
        <v>18</v>
      </c>
      <c r="H67" s="351">
        <v>0</v>
      </c>
      <c r="I67" s="355"/>
      <c r="J67" s="362" t="s">
        <v>900</v>
      </c>
      <c r="K67" s="332"/>
      <c r="L67" s="327" t="s">
        <v>76</v>
      </c>
      <c r="M67" s="262" t="s">
        <v>895</v>
      </c>
      <c r="N67" s="262" t="s">
        <v>896</v>
      </c>
    </row>
    <row r="68" spans="1:21" s="261" customFormat="1" ht="75" customHeight="1" x14ac:dyDescent="0.25">
      <c r="A68" s="355" t="e">
        <f>A111+1</f>
        <v>#REF!</v>
      </c>
      <c r="B68" s="355" t="s">
        <v>1087</v>
      </c>
      <c r="C68" s="357" t="s">
        <v>1123</v>
      </c>
      <c r="D68" s="351" t="s">
        <v>0</v>
      </c>
      <c r="E68" s="351">
        <v>0</v>
      </c>
      <c r="F68" s="351">
        <v>0</v>
      </c>
      <c r="G68" s="351">
        <f t="shared" si="5"/>
        <v>0</v>
      </c>
      <c r="H68" s="351">
        <v>12</v>
      </c>
      <c r="I68" s="355"/>
      <c r="J68" s="357" t="s">
        <v>1161</v>
      </c>
      <c r="K68" s="332"/>
      <c r="L68" s="327" t="s">
        <v>197</v>
      </c>
      <c r="Q68" s="262"/>
      <c r="R68" s="262"/>
      <c r="S68" s="262"/>
      <c r="T68" s="262"/>
      <c r="U68" s="262"/>
    </row>
    <row r="69" spans="1:21" s="261" customFormat="1" ht="57.75" customHeight="1" x14ac:dyDescent="0.25">
      <c r="A69" s="355" t="e">
        <f>A64+1</f>
        <v>#REF!</v>
      </c>
      <c r="B69" s="355" t="s">
        <v>1088</v>
      </c>
      <c r="C69" s="357" t="s">
        <v>1125</v>
      </c>
      <c r="D69" s="351" t="s">
        <v>0</v>
      </c>
      <c r="E69" s="351">
        <v>0</v>
      </c>
      <c r="F69" s="351">
        <v>0</v>
      </c>
      <c r="G69" s="351">
        <f t="shared" si="5"/>
        <v>0</v>
      </c>
      <c r="H69" s="351">
        <v>18</v>
      </c>
      <c r="I69" s="355"/>
      <c r="J69" s="357" t="s">
        <v>1161</v>
      </c>
      <c r="K69" s="332"/>
      <c r="L69" s="327" t="s">
        <v>197</v>
      </c>
      <c r="Q69" s="262"/>
      <c r="R69" s="262"/>
      <c r="S69" s="262"/>
      <c r="T69" s="262"/>
      <c r="U69" s="262"/>
    </row>
    <row r="70" spans="1:21" s="258" customFormat="1" ht="81" customHeight="1" x14ac:dyDescent="0.25">
      <c r="A70" s="378">
        <f>A67+1</f>
        <v>36</v>
      </c>
      <c r="B70" s="380" t="s">
        <v>295</v>
      </c>
      <c r="C70" s="379" t="s">
        <v>296</v>
      </c>
      <c r="D70" s="378" t="s">
        <v>0</v>
      </c>
      <c r="E70" s="380">
        <v>0</v>
      </c>
      <c r="F70" s="380">
        <v>0</v>
      </c>
      <c r="G70" s="380">
        <f t="shared" si="5"/>
        <v>0</v>
      </c>
      <c r="H70" s="380">
        <v>6</v>
      </c>
      <c r="I70" s="436"/>
      <c r="J70" s="379" t="s">
        <v>798</v>
      </c>
      <c r="K70" s="384">
        <v>0</v>
      </c>
      <c r="L70" s="435" t="s">
        <v>88</v>
      </c>
      <c r="M70" s="261" t="s">
        <v>895</v>
      </c>
      <c r="N70" s="261"/>
      <c r="O70" s="261"/>
      <c r="P70" s="261"/>
      <c r="Q70" s="257" t="s">
        <v>827</v>
      </c>
      <c r="R70" s="257"/>
      <c r="S70" s="257"/>
      <c r="T70" s="257"/>
      <c r="U70" s="257"/>
    </row>
    <row r="71" spans="1:21" s="261" customFormat="1" ht="45" customHeight="1" x14ac:dyDescent="0.25">
      <c r="A71" s="355">
        <f t="shared" si="4"/>
        <v>37</v>
      </c>
      <c r="B71" s="355" t="s">
        <v>89</v>
      </c>
      <c r="C71" s="357" t="s">
        <v>90</v>
      </c>
      <c r="D71" s="355" t="s">
        <v>0</v>
      </c>
      <c r="E71" s="351">
        <v>0</v>
      </c>
      <c r="F71" s="351">
        <v>0</v>
      </c>
      <c r="G71" s="351">
        <f t="shared" si="5"/>
        <v>0</v>
      </c>
      <c r="H71" s="351">
        <f>VLOOKUP(B71,'[1]Tháng 7.2025'!$B$23:$H$153,7,0)</f>
        <v>6</v>
      </c>
      <c r="I71" s="363"/>
      <c r="J71" s="357" t="s">
        <v>97</v>
      </c>
      <c r="K71" s="332">
        <v>0</v>
      </c>
      <c r="L71" s="327" t="s">
        <v>88</v>
      </c>
      <c r="Q71" s="262"/>
      <c r="R71" s="262"/>
      <c r="S71" s="262"/>
      <c r="T71" s="262"/>
      <c r="U71" s="262"/>
    </row>
    <row r="72" spans="1:21" s="258" customFormat="1" ht="75.75" customHeight="1" x14ac:dyDescent="0.25">
      <c r="A72" s="378">
        <f t="shared" si="4"/>
        <v>38</v>
      </c>
      <c r="B72" s="380" t="s">
        <v>855</v>
      </c>
      <c r="C72" s="379" t="s">
        <v>627</v>
      </c>
      <c r="D72" s="378" t="s">
        <v>0</v>
      </c>
      <c r="E72" s="380">
        <v>0</v>
      </c>
      <c r="F72" s="380">
        <v>0</v>
      </c>
      <c r="G72" s="380">
        <f t="shared" si="5"/>
        <v>0</v>
      </c>
      <c r="H72" s="380">
        <v>2</v>
      </c>
      <c r="I72" s="436"/>
      <c r="J72" s="379" t="s">
        <v>628</v>
      </c>
      <c r="K72" s="384"/>
      <c r="L72" s="435" t="s">
        <v>88</v>
      </c>
      <c r="M72" s="261" t="s">
        <v>895</v>
      </c>
      <c r="N72" s="261" t="s">
        <v>896</v>
      </c>
      <c r="O72" s="261"/>
      <c r="P72" s="261"/>
      <c r="Q72" s="257" t="s">
        <v>827</v>
      </c>
      <c r="R72" s="257"/>
      <c r="S72" s="257"/>
      <c r="T72" s="257"/>
      <c r="U72" s="257"/>
    </row>
    <row r="73" spans="1:21" s="258" customFormat="1" ht="153.75" customHeight="1" x14ac:dyDescent="0.25">
      <c r="A73" s="378">
        <f t="shared" si="4"/>
        <v>39</v>
      </c>
      <c r="B73" s="380" t="s">
        <v>91</v>
      </c>
      <c r="C73" s="379" t="s">
        <v>92</v>
      </c>
      <c r="D73" s="378" t="s">
        <v>0</v>
      </c>
      <c r="E73" s="380">
        <v>0</v>
      </c>
      <c r="F73" s="380">
        <v>0</v>
      </c>
      <c r="G73" s="380">
        <f t="shared" si="5"/>
        <v>0</v>
      </c>
      <c r="H73" s="380">
        <v>6</v>
      </c>
      <c r="I73" s="436"/>
      <c r="J73" s="379" t="s">
        <v>98</v>
      </c>
      <c r="K73" s="384"/>
      <c r="L73" s="435" t="s">
        <v>88</v>
      </c>
      <c r="M73" s="261" t="s">
        <v>895</v>
      </c>
      <c r="N73" s="261" t="s">
        <v>896</v>
      </c>
      <c r="O73" s="261"/>
      <c r="P73" s="261"/>
      <c r="Q73" s="257" t="s">
        <v>827</v>
      </c>
      <c r="R73" s="257"/>
      <c r="S73" s="257"/>
      <c r="T73" s="257"/>
      <c r="U73" s="257"/>
    </row>
    <row r="74" spans="1:21" s="258" customFormat="1" ht="39.75" customHeight="1" x14ac:dyDescent="0.25">
      <c r="A74" s="378" t="e">
        <f>#REF!+1</f>
        <v>#REF!</v>
      </c>
      <c r="B74" s="380" t="s">
        <v>93</v>
      </c>
      <c r="C74" s="379" t="s">
        <v>94</v>
      </c>
      <c r="D74" s="378" t="s">
        <v>0</v>
      </c>
      <c r="E74" s="380">
        <v>12</v>
      </c>
      <c r="F74" s="380">
        <v>0</v>
      </c>
      <c r="G74" s="380">
        <f t="shared" si="5"/>
        <v>12</v>
      </c>
      <c r="H74" s="380">
        <v>6</v>
      </c>
      <c r="I74" s="436"/>
      <c r="J74" s="379" t="s">
        <v>99</v>
      </c>
      <c r="K74" s="384">
        <v>0</v>
      </c>
      <c r="L74" s="435" t="s">
        <v>88</v>
      </c>
      <c r="M74" s="261" t="s">
        <v>895</v>
      </c>
      <c r="N74" s="261" t="s">
        <v>896</v>
      </c>
      <c r="O74" s="261"/>
      <c r="P74" s="262" t="s">
        <v>813</v>
      </c>
      <c r="Q74" s="257" t="s">
        <v>827</v>
      </c>
      <c r="R74" s="257"/>
      <c r="S74" s="257"/>
      <c r="T74" s="257"/>
      <c r="U74" s="257"/>
    </row>
    <row r="75" spans="1:21" s="258" customFormat="1" ht="42.75" customHeight="1" x14ac:dyDescent="0.25">
      <c r="A75" s="378" t="e">
        <f t="shared" si="4"/>
        <v>#REF!</v>
      </c>
      <c r="B75" s="380" t="s">
        <v>95</v>
      </c>
      <c r="C75" s="379" t="s">
        <v>96</v>
      </c>
      <c r="D75" s="378" t="s">
        <v>0</v>
      </c>
      <c r="E75" s="380">
        <v>24</v>
      </c>
      <c r="F75" s="380">
        <v>0</v>
      </c>
      <c r="G75" s="380">
        <f t="shared" si="5"/>
        <v>24</v>
      </c>
      <c r="H75" s="380">
        <v>6</v>
      </c>
      <c r="I75" s="436"/>
      <c r="J75" s="379" t="s">
        <v>100</v>
      </c>
      <c r="K75" s="384"/>
      <c r="L75" s="441" t="s">
        <v>88</v>
      </c>
      <c r="M75" s="333" t="s">
        <v>895</v>
      </c>
      <c r="N75" s="261" t="s">
        <v>896</v>
      </c>
      <c r="O75" s="261"/>
      <c r="P75" s="262" t="s">
        <v>813</v>
      </c>
      <c r="Q75" s="257" t="s">
        <v>827</v>
      </c>
      <c r="R75" s="386"/>
      <c r="S75" s="386"/>
      <c r="T75" s="257"/>
      <c r="U75" s="257"/>
    </row>
    <row r="76" spans="1:21" s="261" customFormat="1" ht="35.25" customHeight="1" x14ac:dyDescent="0.25">
      <c r="A76" s="355" t="e">
        <f>A78+1</f>
        <v>#REF!</v>
      </c>
      <c r="B76" s="355" t="s">
        <v>519</v>
      </c>
      <c r="C76" s="357" t="s">
        <v>518</v>
      </c>
      <c r="D76" s="351" t="s">
        <v>0</v>
      </c>
      <c r="E76" s="351">
        <v>24</v>
      </c>
      <c r="F76" s="351">
        <v>0</v>
      </c>
      <c r="G76" s="351">
        <f t="shared" si="5"/>
        <v>24</v>
      </c>
      <c r="H76" s="351">
        <v>4</v>
      </c>
      <c r="I76" s="355"/>
      <c r="J76" s="357" t="s">
        <v>1140</v>
      </c>
      <c r="K76" s="332"/>
      <c r="L76" s="327" t="s">
        <v>197</v>
      </c>
      <c r="P76" s="262" t="s">
        <v>813</v>
      </c>
      <c r="Q76" s="262"/>
      <c r="R76" s="262"/>
      <c r="S76" s="262"/>
      <c r="T76" s="262"/>
      <c r="U76" s="262"/>
    </row>
    <row r="77" spans="1:21" s="261" customFormat="1" ht="44.25" customHeight="1" x14ac:dyDescent="0.25">
      <c r="A77" s="355" t="e">
        <f>#REF!+1</f>
        <v>#REF!</v>
      </c>
      <c r="B77" s="355" t="s">
        <v>1082</v>
      </c>
      <c r="C77" s="357" t="s">
        <v>1118</v>
      </c>
      <c r="D77" s="351" t="s">
        <v>0</v>
      </c>
      <c r="E77" s="351">
        <v>24</v>
      </c>
      <c r="F77" s="351">
        <v>0</v>
      </c>
      <c r="G77" s="351">
        <f t="shared" si="5"/>
        <v>24</v>
      </c>
      <c r="H77" s="351">
        <v>24</v>
      </c>
      <c r="I77" s="355"/>
      <c r="J77" s="357" t="s">
        <v>1140</v>
      </c>
      <c r="K77" s="332"/>
      <c r="L77" s="327" t="s">
        <v>197</v>
      </c>
      <c r="P77" s="262" t="s">
        <v>813</v>
      </c>
      <c r="Q77" s="262"/>
      <c r="R77" s="262"/>
      <c r="S77" s="262"/>
      <c r="T77" s="262"/>
      <c r="U77" s="262"/>
    </row>
    <row r="78" spans="1:21" s="261" customFormat="1" ht="35.25" customHeight="1" x14ac:dyDescent="0.25">
      <c r="A78" s="355" t="e">
        <f>A96+1</f>
        <v>#REF!</v>
      </c>
      <c r="B78" s="355" t="s">
        <v>1070</v>
      </c>
      <c r="C78" s="357" t="s">
        <v>1103</v>
      </c>
      <c r="D78" s="351" t="s">
        <v>0</v>
      </c>
      <c r="E78" s="351">
        <v>44</v>
      </c>
      <c r="F78" s="351">
        <v>0</v>
      </c>
      <c r="G78" s="351">
        <f t="shared" si="5"/>
        <v>44</v>
      </c>
      <c r="H78" s="351">
        <v>12</v>
      </c>
      <c r="I78" s="355"/>
      <c r="J78" s="357" t="s">
        <v>1139</v>
      </c>
      <c r="K78" s="332"/>
      <c r="L78" s="327" t="s">
        <v>197</v>
      </c>
      <c r="P78" s="262" t="s">
        <v>813</v>
      </c>
      <c r="Q78" s="262"/>
      <c r="R78" s="262"/>
      <c r="S78" s="262"/>
      <c r="T78" s="262"/>
      <c r="U78" s="262"/>
    </row>
    <row r="79" spans="1:21" s="258" customFormat="1" ht="42.75" customHeight="1" x14ac:dyDescent="0.25">
      <c r="A79" s="378" t="e">
        <f>A75+1</f>
        <v>#REF!</v>
      </c>
      <c r="B79" s="378" t="s">
        <v>630</v>
      </c>
      <c r="C79" s="379" t="s">
        <v>631</v>
      </c>
      <c r="D79" s="378" t="s">
        <v>0</v>
      </c>
      <c r="E79" s="380">
        <v>44</v>
      </c>
      <c r="F79" s="380">
        <v>6</v>
      </c>
      <c r="G79" s="380">
        <f t="shared" si="5"/>
        <v>38</v>
      </c>
      <c r="H79" s="380">
        <v>6</v>
      </c>
      <c r="I79" s="436"/>
      <c r="J79" s="379" t="s">
        <v>101</v>
      </c>
      <c r="K79" s="384"/>
      <c r="L79" s="441" t="s">
        <v>88</v>
      </c>
      <c r="M79" s="333" t="s">
        <v>895</v>
      </c>
      <c r="N79" s="261" t="s">
        <v>896</v>
      </c>
      <c r="O79" s="333"/>
      <c r="P79" s="262" t="s">
        <v>813</v>
      </c>
      <c r="Q79" s="257" t="s">
        <v>827</v>
      </c>
      <c r="R79" s="386"/>
      <c r="S79" s="386"/>
      <c r="T79" s="257"/>
      <c r="U79" s="257"/>
    </row>
    <row r="80" spans="1:21" s="258" customFormat="1" ht="56.25" customHeight="1" x14ac:dyDescent="0.25">
      <c r="A80" s="378" t="e">
        <f t="shared" si="4"/>
        <v>#REF!</v>
      </c>
      <c r="B80" s="380" t="s">
        <v>856</v>
      </c>
      <c r="C80" s="379" t="s">
        <v>39</v>
      </c>
      <c r="D80" s="378" t="s">
        <v>0</v>
      </c>
      <c r="E80" s="380">
        <v>6</v>
      </c>
      <c r="F80" s="380">
        <v>0</v>
      </c>
      <c r="G80" s="380">
        <f t="shared" si="5"/>
        <v>6</v>
      </c>
      <c r="H80" s="380">
        <v>5</v>
      </c>
      <c r="I80" s="436"/>
      <c r="J80" s="379" t="s">
        <v>623</v>
      </c>
      <c r="K80" s="384"/>
      <c r="L80" s="435" t="s">
        <v>88</v>
      </c>
      <c r="M80" s="261" t="s">
        <v>895</v>
      </c>
      <c r="N80" s="261" t="s">
        <v>896</v>
      </c>
      <c r="O80" s="333"/>
      <c r="P80" s="262" t="s">
        <v>813</v>
      </c>
      <c r="Q80" s="257" t="s">
        <v>827</v>
      </c>
      <c r="R80" s="257"/>
      <c r="S80" s="257"/>
      <c r="T80" s="257"/>
      <c r="U80" s="257"/>
    </row>
    <row r="81" spans="1:21" s="261" customFormat="1" ht="63" customHeight="1" x14ac:dyDescent="0.25">
      <c r="A81" s="355" t="e">
        <f>A83+1</f>
        <v>#REF!</v>
      </c>
      <c r="B81" s="355" t="s">
        <v>1091</v>
      </c>
      <c r="C81" s="357" t="s">
        <v>39</v>
      </c>
      <c r="D81" s="351" t="s">
        <v>0</v>
      </c>
      <c r="E81" s="351">
        <v>6</v>
      </c>
      <c r="F81" s="351">
        <v>0</v>
      </c>
      <c r="G81" s="351">
        <f t="shared" si="5"/>
        <v>6</v>
      </c>
      <c r="H81" s="351">
        <v>4</v>
      </c>
      <c r="I81" s="355"/>
      <c r="J81" s="357" t="s">
        <v>1166</v>
      </c>
      <c r="K81" s="332"/>
      <c r="L81" s="327" t="s">
        <v>197</v>
      </c>
      <c r="P81" s="262" t="s">
        <v>813</v>
      </c>
      <c r="Q81" s="262"/>
      <c r="R81" s="262"/>
      <c r="S81" s="262"/>
      <c r="T81" s="262"/>
      <c r="U81" s="262"/>
    </row>
    <row r="82" spans="1:21" s="258" customFormat="1" ht="56.25" customHeight="1" x14ac:dyDescent="0.25">
      <c r="A82" s="378" t="e">
        <f>A80+1</f>
        <v>#REF!</v>
      </c>
      <c r="B82" s="380" t="s">
        <v>857</v>
      </c>
      <c r="C82" s="379" t="s">
        <v>37</v>
      </c>
      <c r="D82" s="378" t="s">
        <v>17</v>
      </c>
      <c r="E82" s="380">
        <v>12</v>
      </c>
      <c r="F82" s="380">
        <v>0</v>
      </c>
      <c r="G82" s="380">
        <f t="shared" si="5"/>
        <v>12</v>
      </c>
      <c r="H82" s="380">
        <v>4</v>
      </c>
      <c r="I82" s="436"/>
      <c r="J82" s="379" t="s">
        <v>846</v>
      </c>
      <c r="K82" s="384" t="s">
        <v>121</v>
      </c>
      <c r="L82" s="435" t="s">
        <v>88</v>
      </c>
      <c r="M82" s="261" t="s">
        <v>895</v>
      </c>
      <c r="N82" s="261" t="s">
        <v>896</v>
      </c>
      <c r="O82" s="333"/>
      <c r="P82" s="262" t="s">
        <v>813</v>
      </c>
      <c r="Q82" s="257" t="s">
        <v>827</v>
      </c>
      <c r="R82" s="257"/>
      <c r="S82" s="257"/>
      <c r="T82" s="257"/>
      <c r="U82" s="257"/>
    </row>
    <row r="83" spans="1:21" s="261" customFormat="1" ht="44.25" customHeight="1" x14ac:dyDescent="0.25">
      <c r="A83" s="355" t="e">
        <f>A113+1</f>
        <v>#REF!</v>
      </c>
      <c r="B83" s="355" t="s">
        <v>1090</v>
      </c>
      <c r="C83" s="357" t="s">
        <v>1127</v>
      </c>
      <c r="D83" s="351" t="s">
        <v>0</v>
      </c>
      <c r="E83" s="351">
        <v>12</v>
      </c>
      <c r="F83" s="351">
        <v>0</v>
      </c>
      <c r="G83" s="351">
        <f t="shared" si="5"/>
        <v>12</v>
      </c>
      <c r="H83" s="351">
        <v>4</v>
      </c>
      <c r="I83" s="355"/>
      <c r="J83" s="357" t="s">
        <v>1166</v>
      </c>
      <c r="K83" s="332"/>
      <c r="L83" s="327" t="s">
        <v>197</v>
      </c>
      <c r="P83" s="262" t="s">
        <v>813</v>
      </c>
      <c r="Q83" s="262"/>
      <c r="R83" s="262"/>
      <c r="S83" s="262"/>
      <c r="T83" s="262"/>
      <c r="U83" s="262"/>
    </row>
    <row r="84" spans="1:21" s="258" customFormat="1" ht="69.75" customHeight="1" x14ac:dyDescent="0.25">
      <c r="A84" s="378" t="e">
        <f>A82+1</f>
        <v>#REF!</v>
      </c>
      <c r="B84" s="380" t="s">
        <v>825</v>
      </c>
      <c r="C84" s="379" t="s">
        <v>26</v>
      </c>
      <c r="D84" s="378" t="s">
        <v>17</v>
      </c>
      <c r="E84" s="380">
        <v>8</v>
      </c>
      <c r="F84" s="380">
        <v>0</v>
      </c>
      <c r="G84" s="380">
        <f t="shared" si="5"/>
        <v>8</v>
      </c>
      <c r="H84" s="380">
        <f>VLOOKUP(B84,'[1]Tháng 7.2025'!$B$23:$H$153,7,0)</f>
        <v>2</v>
      </c>
      <c r="I84" s="436"/>
      <c r="J84" s="379" t="s">
        <v>847</v>
      </c>
      <c r="K84" s="434">
        <v>0</v>
      </c>
      <c r="L84" s="435" t="s">
        <v>88</v>
      </c>
      <c r="M84" s="261" t="s">
        <v>895</v>
      </c>
      <c r="N84" s="261" t="s">
        <v>896</v>
      </c>
      <c r="O84" s="333"/>
      <c r="P84" s="262" t="s">
        <v>813</v>
      </c>
      <c r="Q84" s="257" t="s">
        <v>827</v>
      </c>
      <c r="R84" s="257"/>
      <c r="S84" s="257"/>
      <c r="T84" s="257"/>
      <c r="U84" s="257"/>
    </row>
    <row r="85" spans="1:21" s="261" customFormat="1" ht="37.5" customHeight="1" x14ac:dyDescent="0.25">
      <c r="A85" s="355" t="e">
        <f>A107+1</f>
        <v>#REF!</v>
      </c>
      <c r="B85" s="355" t="s">
        <v>1078</v>
      </c>
      <c r="C85" s="357" t="s">
        <v>1113</v>
      </c>
      <c r="D85" s="351" t="s">
        <v>0</v>
      </c>
      <c r="E85" s="351">
        <v>0</v>
      </c>
      <c r="F85" s="351">
        <v>0</v>
      </c>
      <c r="G85" s="351">
        <f t="shared" si="5"/>
        <v>0</v>
      </c>
      <c r="H85" s="351">
        <v>4</v>
      </c>
      <c r="I85" s="355"/>
      <c r="J85" s="357" t="s">
        <v>1154</v>
      </c>
      <c r="K85" s="332"/>
      <c r="L85" s="327" t="s">
        <v>197</v>
      </c>
      <c r="Q85" s="262"/>
      <c r="R85" s="262"/>
      <c r="S85" s="262"/>
      <c r="T85" s="262"/>
      <c r="U85" s="262"/>
    </row>
    <row r="86" spans="1:21" s="262" customFormat="1" ht="33" customHeight="1" x14ac:dyDescent="0.25">
      <c r="A86" s="355" t="e">
        <f>A84+1</f>
        <v>#REF!</v>
      </c>
      <c r="B86" s="351" t="s">
        <v>459</v>
      </c>
      <c r="C86" s="357" t="s">
        <v>460</v>
      </c>
      <c r="D86" s="355" t="s">
        <v>59</v>
      </c>
      <c r="E86" s="351">
        <v>0</v>
      </c>
      <c r="F86" s="351">
        <v>0</v>
      </c>
      <c r="G86" s="351">
        <f t="shared" si="5"/>
        <v>0</v>
      </c>
      <c r="H86" s="351">
        <f>VLOOKUP(B86,'[1]Tháng 7.2025'!$B$23:$H$153,7,0)</f>
        <v>2</v>
      </c>
      <c r="I86" s="363"/>
      <c r="J86" s="357" t="s">
        <v>461</v>
      </c>
      <c r="K86" s="331"/>
      <c r="L86" s="329" t="s">
        <v>140</v>
      </c>
    </row>
    <row r="87" spans="1:21" s="258" customFormat="1" ht="71.25" customHeight="1" x14ac:dyDescent="0.25">
      <c r="A87" s="378" t="e">
        <f t="shared" si="4"/>
        <v>#REF!</v>
      </c>
      <c r="B87" s="380" t="s">
        <v>361</v>
      </c>
      <c r="C87" s="379" t="s">
        <v>362</v>
      </c>
      <c r="D87" s="380" t="s">
        <v>0</v>
      </c>
      <c r="E87" s="380">
        <v>24</v>
      </c>
      <c r="F87" s="380">
        <v>0</v>
      </c>
      <c r="G87" s="380">
        <f t="shared" si="5"/>
        <v>24</v>
      </c>
      <c r="H87" s="380">
        <f>VLOOKUP(B87,'[1]Tháng 7.2025'!$B$23:$H$153,7,0)</f>
        <v>6</v>
      </c>
      <c r="I87" s="380"/>
      <c r="J87" s="379" t="s">
        <v>879</v>
      </c>
      <c r="K87" s="434"/>
      <c r="L87" s="435" t="s">
        <v>88</v>
      </c>
      <c r="M87" s="261" t="s">
        <v>895</v>
      </c>
      <c r="N87" s="261" t="s">
        <v>896</v>
      </c>
      <c r="O87" s="261"/>
      <c r="P87" s="262" t="s">
        <v>813</v>
      </c>
      <c r="Q87" s="257" t="s">
        <v>827</v>
      </c>
      <c r="R87" s="257"/>
      <c r="S87" s="257"/>
      <c r="T87" s="257"/>
      <c r="U87" s="257"/>
    </row>
    <row r="88" spans="1:21" s="261" customFormat="1" ht="41.25" customHeight="1" x14ac:dyDescent="0.25">
      <c r="A88" s="355" t="e">
        <f>A63+1</f>
        <v>#REF!</v>
      </c>
      <c r="B88" s="351" t="s">
        <v>335</v>
      </c>
      <c r="C88" s="357" t="s">
        <v>336</v>
      </c>
      <c r="D88" s="355" t="s">
        <v>0</v>
      </c>
      <c r="E88" s="351">
        <v>0</v>
      </c>
      <c r="F88" s="351">
        <v>0</v>
      </c>
      <c r="G88" s="351">
        <f t="shared" si="5"/>
        <v>0</v>
      </c>
      <c r="H88" s="351">
        <v>2</v>
      </c>
      <c r="I88" s="355"/>
      <c r="J88" s="357" t="s">
        <v>1023</v>
      </c>
      <c r="K88" s="332"/>
      <c r="L88" s="327" t="s">
        <v>140</v>
      </c>
      <c r="N88" s="261" t="s">
        <v>896</v>
      </c>
      <c r="Q88" s="262"/>
      <c r="R88" s="262"/>
      <c r="S88" s="262"/>
      <c r="T88" s="262"/>
      <c r="U88" s="262"/>
    </row>
    <row r="89" spans="1:21" s="261" customFormat="1" ht="46.5" customHeight="1" x14ac:dyDescent="0.25">
      <c r="A89" s="355" t="e">
        <f>#REF!+1</f>
        <v>#REF!</v>
      </c>
      <c r="B89" s="355" t="s">
        <v>335</v>
      </c>
      <c r="C89" s="357" t="s">
        <v>336</v>
      </c>
      <c r="D89" s="351" t="s">
        <v>0</v>
      </c>
      <c r="E89" s="351">
        <v>0</v>
      </c>
      <c r="F89" s="351">
        <v>0</v>
      </c>
      <c r="G89" s="351">
        <f t="shared" si="5"/>
        <v>0</v>
      </c>
      <c r="H89" s="351">
        <v>2</v>
      </c>
      <c r="I89" s="355"/>
      <c r="J89" s="357" t="s">
        <v>1146</v>
      </c>
      <c r="K89" s="332"/>
      <c r="L89" s="327" t="s">
        <v>197</v>
      </c>
      <c r="Q89" s="262"/>
      <c r="R89" s="262"/>
      <c r="S89" s="262"/>
      <c r="T89" s="262"/>
      <c r="U89" s="262"/>
    </row>
    <row r="90" spans="1:21" s="261" customFormat="1" ht="58.5" customHeight="1" x14ac:dyDescent="0.25">
      <c r="A90" s="355" t="e">
        <f>A88+1</f>
        <v>#REF!</v>
      </c>
      <c r="B90" s="351" t="s">
        <v>340</v>
      </c>
      <c r="C90" s="357" t="s">
        <v>341</v>
      </c>
      <c r="D90" s="355" t="s">
        <v>0</v>
      </c>
      <c r="E90" s="351">
        <v>0</v>
      </c>
      <c r="F90" s="351">
        <v>0</v>
      </c>
      <c r="G90" s="351">
        <f t="shared" si="5"/>
        <v>0</v>
      </c>
      <c r="H90" s="351">
        <v>2</v>
      </c>
      <c r="I90" s="355"/>
      <c r="J90" s="357" t="s">
        <v>1024</v>
      </c>
      <c r="K90" s="332"/>
      <c r="L90" s="327" t="s">
        <v>140</v>
      </c>
      <c r="N90" s="261" t="s">
        <v>896</v>
      </c>
      <c r="Q90" s="262"/>
      <c r="R90" s="262"/>
      <c r="S90" s="262"/>
      <c r="T90" s="262"/>
      <c r="U90" s="262"/>
    </row>
    <row r="91" spans="1:21" s="261" customFormat="1" ht="57.75" customHeight="1" x14ac:dyDescent="0.25">
      <c r="A91" s="355" t="e">
        <f>#REF!+1</f>
        <v>#REF!</v>
      </c>
      <c r="B91" s="355" t="s">
        <v>340</v>
      </c>
      <c r="C91" s="357" t="s">
        <v>341</v>
      </c>
      <c r="D91" s="351" t="s">
        <v>0</v>
      </c>
      <c r="E91" s="351">
        <v>0</v>
      </c>
      <c r="F91" s="351">
        <v>0</v>
      </c>
      <c r="G91" s="351">
        <f t="shared" si="5"/>
        <v>0</v>
      </c>
      <c r="H91" s="351">
        <v>4</v>
      </c>
      <c r="I91" s="355"/>
      <c r="J91" s="357" t="s">
        <v>1149</v>
      </c>
      <c r="K91" s="332"/>
      <c r="L91" s="327" t="s">
        <v>197</v>
      </c>
      <c r="Q91" s="262"/>
      <c r="R91" s="262"/>
      <c r="S91" s="262"/>
      <c r="T91" s="262"/>
      <c r="U91" s="262"/>
    </row>
    <row r="92" spans="1:21" s="261" customFormat="1" ht="30" customHeight="1" x14ac:dyDescent="0.25">
      <c r="A92" s="355" t="e">
        <f>#REF!+1</f>
        <v>#REF!</v>
      </c>
      <c r="B92" s="355"/>
      <c r="C92" s="357" t="s">
        <v>1062</v>
      </c>
      <c r="D92" s="351" t="s">
        <v>0</v>
      </c>
      <c r="E92" s="351">
        <v>0</v>
      </c>
      <c r="F92" s="351">
        <v>0</v>
      </c>
      <c r="G92" s="351">
        <f t="shared" si="5"/>
        <v>0</v>
      </c>
      <c r="H92" s="351">
        <v>1</v>
      </c>
      <c r="I92" s="355"/>
      <c r="J92" s="357" t="s">
        <v>1063</v>
      </c>
      <c r="K92" s="332"/>
      <c r="L92" s="327" t="s">
        <v>76</v>
      </c>
      <c r="Q92" s="262"/>
      <c r="R92" s="262"/>
      <c r="S92" s="262"/>
      <c r="T92" s="262"/>
      <c r="U92" s="262"/>
    </row>
    <row r="93" spans="1:21" s="261" customFormat="1" ht="58.5" customHeight="1" x14ac:dyDescent="0.25">
      <c r="A93" s="355" t="e">
        <f t="shared" si="4"/>
        <v>#REF!</v>
      </c>
      <c r="B93" s="355" t="s">
        <v>1066</v>
      </c>
      <c r="C93" s="357" t="s">
        <v>1099</v>
      </c>
      <c r="D93" s="351" t="s">
        <v>0</v>
      </c>
      <c r="E93" s="351">
        <v>0</v>
      </c>
      <c r="F93" s="351">
        <v>0</v>
      </c>
      <c r="G93" s="351">
        <f t="shared" si="5"/>
        <v>0</v>
      </c>
      <c r="H93" s="351">
        <v>1014</v>
      </c>
      <c r="I93" s="355"/>
      <c r="J93" s="357" t="s">
        <v>1135</v>
      </c>
      <c r="K93" s="332"/>
      <c r="L93" s="327" t="s">
        <v>197</v>
      </c>
      <c r="Q93" s="262"/>
      <c r="R93" s="262"/>
      <c r="S93" s="262"/>
      <c r="T93" s="262"/>
      <c r="U93" s="262"/>
    </row>
    <row r="94" spans="1:21" s="261" customFormat="1" ht="35.25" customHeight="1" x14ac:dyDescent="0.25">
      <c r="A94" s="355" t="e">
        <f t="shared" si="4"/>
        <v>#REF!</v>
      </c>
      <c r="B94" s="355" t="s">
        <v>1067</v>
      </c>
      <c r="C94" s="357" t="s">
        <v>1100</v>
      </c>
      <c r="D94" s="351" t="s">
        <v>0</v>
      </c>
      <c r="E94" s="351">
        <v>0</v>
      </c>
      <c r="F94" s="351">
        <v>0</v>
      </c>
      <c r="G94" s="351">
        <f t="shared" si="5"/>
        <v>0</v>
      </c>
      <c r="H94" s="351">
        <v>60</v>
      </c>
      <c r="I94" s="355"/>
      <c r="J94" s="357" t="s">
        <v>1136</v>
      </c>
      <c r="K94" s="332"/>
      <c r="L94" s="327" t="s">
        <v>197</v>
      </c>
      <c r="Q94" s="262"/>
      <c r="R94" s="262"/>
      <c r="S94" s="262"/>
      <c r="T94" s="262"/>
      <c r="U94" s="262"/>
    </row>
    <row r="95" spans="1:21" s="261" customFormat="1" ht="35.25" customHeight="1" x14ac:dyDescent="0.25">
      <c r="A95" s="355" t="e">
        <f t="shared" si="4"/>
        <v>#REF!</v>
      </c>
      <c r="B95" s="355" t="s">
        <v>1068</v>
      </c>
      <c r="C95" s="357" t="s">
        <v>1101</v>
      </c>
      <c r="D95" s="351" t="s">
        <v>0</v>
      </c>
      <c r="E95" s="351">
        <v>0</v>
      </c>
      <c r="F95" s="351">
        <v>0</v>
      </c>
      <c r="G95" s="351">
        <f t="shared" si="5"/>
        <v>0</v>
      </c>
      <c r="H95" s="351">
        <v>30</v>
      </c>
      <c r="I95" s="355"/>
      <c r="J95" s="357" t="s">
        <v>1137</v>
      </c>
      <c r="K95" s="332"/>
      <c r="L95" s="327" t="s">
        <v>197</v>
      </c>
      <c r="Q95" s="262"/>
      <c r="R95" s="262"/>
      <c r="S95" s="262"/>
      <c r="T95" s="262"/>
      <c r="U95" s="262"/>
    </row>
    <row r="96" spans="1:21" s="261" customFormat="1" ht="35.25" customHeight="1" x14ac:dyDescent="0.25">
      <c r="A96" s="355" t="e">
        <f t="shared" si="4"/>
        <v>#REF!</v>
      </c>
      <c r="B96" s="355" t="s">
        <v>1069</v>
      </c>
      <c r="C96" s="357" t="s">
        <v>1102</v>
      </c>
      <c r="D96" s="351" t="s">
        <v>0</v>
      </c>
      <c r="E96" s="351">
        <v>0</v>
      </c>
      <c r="F96" s="351">
        <v>0</v>
      </c>
      <c r="G96" s="351">
        <f t="shared" si="5"/>
        <v>0</v>
      </c>
      <c r="H96" s="351">
        <v>500</v>
      </c>
      <c r="I96" s="355"/>
      <c r="J96" s="357" t="s">
        <v>1138</v>
      </c>
      <c r="K96" s="332"/>
      <c r="L96" s="327" t="s">
        <v>197</v>
      </c>
      <c r="Q96" s="262"/>
      <c r="R96" s="262"/>
      <c r="S96" s="262"/>
      <c r="T96" s="262"/>
      <c r="U96" s="262"/>
    </row>
    <row r="97" spans="1:21" s="261" customFormat="1" ht="35.25" customHeight="1" x14ac:dyDescent="0.25">
      <c r="A97" s="355" t="e">
        <f>A76+1</f>
        <v>#REF!</v>
      </c>
      <c r="B97" s="355" t="s">
        <v>871</v>
      </c>
      <c r="C97" s="357" t="s">
        <v>872</v>
      </c>
      <c r="D97" s="351" t="s">
        <v>0</v>
      </c>
      <c r="E97" s="351">
        <v>0</v>
      </c>
      <c r="F97" s="351">
        <v>0</v>
      </c>
      <c r="G97" s="351">
        <f t="shared" si="5"/>
        <v>0</v>
      </c>
      <c r="H97" s="351">
        <v>8</v>
      </c>
      <c r="I97" s="355"/>
      <c r="J97" s="357" t="s">
        <v>1141</v>
      </c>
      <c r="K97" s="332"/>
      <c r="L97" s="327" t="s">
        <v>197</v>
      </c>
      <c r="Q97" s="262"/>
      <c r="R97" s="262"/>
      <c r="S97" s="262"/>
      <c r="T97" s="262"/>
      <c r="U97" s="262"/>
    </row>
    <row r="98" spans="1:21" s="261" customFormat="1" ht="35.25" customHeight="1" x14ac:dyDescent="0.25">
      <c r="A98" s="355" t="e">
        <f t="shared" si="4"/>
        <v>#REF!</v>
      </c>
      <c r="B98" s="355" t="s">
        <v>711</v>
      </c>
      <c r="C98" s="357" t="s">
        <v>712</v>
      </c>
      <c r="D98" s="351" t="s">
        <v>0</v>
      </c>
      <c r="E98" s="351">
        <v>0</v>
      </c>
      <c r="F98" s="351">
        <v>0</v>
      </c>
      <c r="G98" s="351">
        <f t="shared" si="5"/>
        <v>0</v>
      </c>
      <c r="H98" s="351">
        <v>3</v>
      </c>
      <c r="I98" s="355"/>
      <c r="J98" s="357" t="s">
        <v>1141</v>
      </c>
      <c r="K98" s="332"/>
      <c r="L98" s="327" t="s">
        <v>197</v>
      </c>
      <c r="Q98" s="262"/>
      <c r="R98" s="262"/>
      <c r="S98" s="262"/>
      <c r="T98" s="262"/>
      <c r="U98" s="262"/>
    </row>
    <row r="99" spans="1:21" s="257" customFormat="1" ht="25.5" customHeight="1" x14ac:dyDescent="0.25">
      <c r="A99" s="378" t="e">
        <f>#REF!+1</f>
        <v>#REF!</v>
      </c>
      <c r="B99" s="380" t="s">
        <v>871</v>
      </c>
      <c r="C99" s="379" t="s">
        <v>872</v>
      </c>
      <c r="D99" s="380" t="s">
        <v>59</v>
      </c>
      <c r="E99" s="380">
        <v>0</v>
      </c>
      <c r="F99" s="380">
        <v>0</v>
      </c>
      <c r="G99" s="380">
        <f t="shared" si="5"/>
        <v>0</v>
      </c>
      <c r="H99" s="380">
        <v>2</v>
      </c>
      <c r="I99" s="380"/>
      <c r="J99" s="379" t="s">
        <v>874</v>
      </c>
      <c r="K99" s="434"/>
      <c r="L99" s="387" t="s">
        <v>140</v>
      </c>
      <c r="M99" s="262" t="s">
        <v>895</v>
      </c>
      <c r="N99" s="262"/>
      <c r="O99" s="262"/>
      <c r="P99" s="262"/>
    </row>
    <row r="100" spans="1:21" s="257" customFormat="1" ht="39" customHeight="1" x14ac:dyDescent="0.25">
      <c r="A100" s="378" t="e">
        <f>A99+1</f>
        <v>#REF!</v>
      </c>
      <c r="B100" s="380" t="s">
        <v>711</v>
      </c>
      <c r="C100" s="379" t="s">
        <v>712</v>
      </c>
      <c r="D100" s="380" t="s">
        <v>59</v>
      </c>
      <c r="E100" s="380">
        <v>0</v>
      </c>
      <c r="F100" s="380">
        <v>0</v>
      </c>
      <c r="G100" s="380">
        <f t="shared" si="5"/>
        <v>0</v>
      </c>
      <c r="H100" s="380">
        <v>2</v>
      </c>
      <c r="I100" s="380"/>
      <c r="J100" s="379" t="s">
        <v>875</v>
      </c>
      <c r="K100" s="434"/>
      <c r="L100" s="387" t="s">
        <v>140</v>
      </c>
      <c r="M100" s="262" t="s">
        <v>895</v>
      </c>
      <c r="N100" s="262"/>
      <c r="O100" s="262"/>
      <c r="P100" s="262"/>
    </row>
    <row r="101" spans="1:21" s="258" customFormat="1" ht="35.25" customHeight="1" x14ac:dyDescent="0.25">
      <c r="A101" s="378" t="e">
        <f>A98+1</f>
        <v>#REF!</v>
      </c>
      <c r="B101" s="378" t="s">
        <v>716</v>
      </c>
      <c r="C101" s="379" t="s">
        <v>717</v>
      </c>
      <c r="D101" s="380" t="s">
        <v>0</v>
      </c>
      <c r="E101" s="380">
        <v>0</v>
      </c>
      <c r="F101" s="380">
        <v>0</v>
      </c>
      <c r="G101" s="380">
        <f t="shared" si="5"/>
        <v>0</v>
      </c>
      <c r="H101" s="380">
        <v>2</v>
      </c>
      <c r="I101" s="378"/>
      <c r="J101" s="379" t="s">
        <v>873</v>
      </c>
      <c r="K101" s="384"/>
      <c r="L101" s="387" t="s">
        <v>140</v>
      </c>
      <c r="Q101" s="257"/>
      <c r="R101" s="257"/>
      <c r="S101" s="257"/>
      <c r="T101" s="257"/>
      <c r="U101" s="257"/>
    </row>
    <row r="102" spans="1:21" s="258" customFormat="1" ht="35.25" customHeight="1" x14ac:dyDescent="0.25">
      <c r="A102" s="378"/>
      <c r="B102" s="378" t="s">
        <v>1354</v>
      </c>
      <c r="C102" s="379" t="s">
        <v>1355</v>
      </c>
      <c r="D102" s="380" t="s">
        <v>2</v>
      </c>
      <c r="E102" s="380">
        <v>0</v>
      </c>
      <c r="F102" s="380">
        <v>0</v>
      </c>
      <c r="G102" s="380">
        <v>0</v>
      </c>
      <c r="H102" s="380">
        <v>5</v>
      </c>
      <c r="I102" s="378"/>
      <c r="J102" s="379" t="s">
        <v>1356</v>
      </c>
      <c r="K102" s="384"/>
      <c r="L102" s="387" t="s">
        <v>140</v>
      </c>
      <c r="Q102" s="257"/>
      <c r="R102" s="257"/>
      <c r="S102" s="257"/>
      <c r="T102" s="257"/>
      <c r="U102" s="257"/>
    </row>
    <row r="103" spans="1:21" s="258" customFormat="1" ht="44.25" customHeight="1" x14ac:dyDescent="0.25">
      <c r="A103" s="378" t="e">
        <f>A77+1</f>
        <v>#REF!</v>
      </c>
      <c r="B103" s="378" t="s">
        <v>1083</v>
      </c>
      <c r="C103" s="379" t="s">
        <v>1119</v>
      </c>
      <c r="D103" s="380" t="s">
        <v>0</v>
      </c>
      <c r="E103" s="380">
        <v>0</v>
      </c>
      <c r="F103" s="380">
        <v>0</v>
      </c>
      <c r="G103" s="380">
        <f>E103-F103</f>
        <v>0</v>
      </c>
      <c r="H103" s="380">
        <v>10</v>
      </c>
      <c r="I103" s="378"/>
      <c r="J103" s="379" t="s">
        <v>1159</v>
      </c>
      <c r="K103" s="384"/>
      <c r="L103" s="387" t="s">
        <v>140</v>
      </c>
      <c r="Q103" s="257"/>
      <c r="R103" s="257"/>
      <c r="S103" s="257"/>
      <c r="T103" s="257"/>
      <c r="U103" s="257"/>
    </row>
    <row r="104" spans="1:21" s="258" customFormat="1" ht="35.25" customHeight="1" x14ac:dyDescent="0.25">
      <c r="A104" s="378"/>
      <c r="B104" s="378" t="s">
        <v>1357</v>
      </c>
      <c r="C104" s="379" t="s">
        <v>1358</v>
      </c>
      <c r="D104" s="380" t="s">
        <v>1203</v>
      </c>
      <c r="E104" s="380">
        <v>0</v>
      </c>
      <c r="F104" s="380">
        <v>0</v>
      </c>
      <c r="G104" s="380">
        <f>E104-F104</f>
        <v>0</v>
      </c>
      <c r="H104" s="380">
        <v>50</v>
      </c>
      <c r="I104" s="378"/>
      <c r="J104" s="379" t="s">
        <v>1359</v>
      </c>
      <c r="K104" s="384"/>
      <c r="L104" s="387" t="s">
        <v>1360</v>
      </c>
      <c r="Q104" s="257"/>
      <c r="R104" s="257"/>
      <c r="S104" s="257"/>
      <c r="T104" s="257"/>
      <c r="U104" s="257"/>
    </row>
    <row r="105" spans="1:21" s="261" customFormat="1" ht="46.5" customHeight="1" x14ac:dyDescent="0.25">
      <c r="A105" s="355" t="e">
        <f>#REF!+1</f>
        <v>#REF!</v>
      </c>
      <c r="B105" s="355" t="s">
        <v>1075</v>
      </c>
      <c r="C105" s="357" t="s">
        <v>1110</v>
      </c>
      <c r="D105" s="351" t="s">
        <v>0</v>
      </c>
      <c r="E105" s="351">
        <v>0</v>
      </c>
      <c r="F105" s="351">
        <v>0</v>
      </c>
      <c r="G105" s="351">
        <f t="shared" si="5"/>
        <v>0</v>
      </c>
      <c r="H105" s="351">
        <v>4</v>
      </c>
      <c r="I105" s="355"/>
      <c r="J105" s="357" t="s">
        <v>1152</v>
      </c>
      <c r="K105" s="332"/>
      <c r="L105" s="327" t="s">
        <v>197</v>
      </c>
      <c r="Q105" s="262"/>
      <c r="R105" s="262"/>
      <c r="S105" s="262"/>
      <c r="T105" s="262"/>
      <c r="U105" s="262"/>
    </row>
    <row r="106" spans="1:21" s="261" customFormat="1" ht="52.5" customHeight="1" x14ac:dyDescent="0.25">
      <c r="A106" s="355" t="e">
        <f t="shared" si="4"/>
        <v>#REF!</v>
      </c>
      <c r="B106" s="355" t="s">
        <v>1076</v>
      </c>
      <c r="C106" s="357" t="s">
        <v>1111</v>
      </c>
      <c r="D106" s="351" t="s">
        <v>0</v>
      </c>
      <c r="E106" s="351">
        <v>0</v>
      </c>
      <c r="F106" s="351">
        <v>0</v>
      </c>
      <c r="G106" s="351">
        <f t="shared" si="5"/>
        <v>0</v>
      </c>
      <c r="H106" s="351">
        <v>1</v>
      </c>
      <c r="I106" s="355"/>
      <c r="J106" s="357" t="s">
        <v>1152</v>
      </c>
      <c r="K106" s="332"/>
      <c r="L106" s="327" t="s">
        <v>197</v>
      </c>
      <c r="Q106" s="262"/>
      <c r="R106" s="262"/>
      <c r="S106" s="262"/>
      <c r="T106" s="262"/>
      <c r="U106" s="262"/>
    </row>
    <row r="107" spans="1:21" s="261" customFormat="1" ht="57.75" customHeight="1" x14ac:dyDescent="0.25">
      <c r="A107" s="355" t="e">
        <f t="shared" si="4"/>
        <v>#REF!</v>
      </c>
      <c r="B107" s="355" t="s">
        <v>1077</v>
      </c>
      <c r="C107" s="357" t="s">
        <v>1112</v>
      </c>
      <c r="D107" s="351" t="s">
        <v>0</v>
      </c>
      <c r="E107" s="351">
        <v>0</v>
      </c>
      <c r="F107" s="351">
        <v>0</v>
      </c>
      <c r="G107" s="351">
        <f t="shared" si="5"/>
        <v>0</v>
      </c>
      <c r="H107" s="351">
        <v>4</v>
      </c>
      <c r="I107" s="355"/>
      <c r="J107" s="357" t="s">
        <v>1153</v>
      </c>
      <c r="K107" s="332"/>
      <c r="L107" s="327" t="s">
        <v>197</v>
      </c>
      <c r="Q107" s="262"/>
      <c r="R107" s="262"/>
      <c r="S107" s="262"/>
      <c r="T107" s="262"/>
      <c r="U107" s="262"/>
    </row>
    <row r="108" spans="1:21" s="258" customFormat="1" ht="69" customHeight="1" x14ac:dyDescent="0.25">
      <c r="A108" s="378" t="e">
        <f>A85+1</f>
        <v>#REF!</v>
      </c>
      <c r="B108" s="378" t="s">
        <v>708</v>
      </c>
      <c r="C108" s="379" t="s">
        <v>1350</v>
      </c>
      <c r="D108" s="380" t="s">
        <v>0</v>
      </c>
      <c r="E108" s="380">
        <v>0</v>
      </c>
      <c r="F108" s="380">
        <v>0</v>
      </c>
      <c r="G108" s="380">
        <f t="shared" si="5"/>
        <v>0</v>
      </c>
      <c r="H108" s="380">
        <v>1</v>
      </c>
      <c r="I108" s="378"/>
      <c r="J108" s="379" t="s">
        <v>1349</v>
      </c>
      <c r="K108" s="384"/>
      <c r="L108" s="435" t="s">
        <v>140</v>
      </c>
      <c r="Q108" s="257" t="s">
        <v>827</v>
      </c>
      <c r="R108" s="257"/>
      <c r="S108" s="257"/>
      <c r="T108" s="257"/>
      <c r="U108" s="257"/>
    </row>
    <row r="109" spans="1:21" s="262" customFormat="1" ht="25.5" customHeight="1" x14ac:dyDescent="0.25">
      <c r="A109" s="355" t="e">
        <f>A100+1</f>
        <v>#REF!</v>
      </c>
      <c r="B109" s="351" t="s">
        <v>719</v>
      </c>
      <c r="C109" s="357" t="s">
        <v>720</v>
      </c>
      <c r="D109" s="351" t="s">
        <v>0</v>
      </c>
      <c r="E109" s="351">
        <f>VLOOKUP(B109,'[1]Tháng 7.2025'!$B$23:$H$153,4,0)</f>
        <v>10</v>
      </c>
      <c r="F109" s="351">
        <f>VLOOKUP(B109,'[1]Tháng 7.2025'!$B$23:$H$153,5,0)</f>
        <v>2</v>
      </c>
      <c r="G109" s="351">
        <f t="shared" si="5"/>
        <v>8</v>
      </c>
      <c r="H109" s="351">
        <f>VLOOKUP(B109,'[1]Tháng 7.2025'!$B$23:$H$153,7,0)</f>
        <v>10</v>
      </c>
      <c r="I109" s="351"/>
      <c r="J109" s="357" t="s">
        <v>710</v>
      </c>
      <c r="K109" s="331"/>
      <c r="L109" s="329" t="s">
        <v>140</v>
      </c>
    </row>
    <row r="110" spans="1:21" s="261" customFormat="1" ht="44.25" customHeight="1" x14ac:dyDescent="0.25">
      <c r="A110" s="355" t="e">
        <f>A103+1</f>
        <v>#REF!</v>
      </c>
      <c r="B110" s="355" t="s">
        <v>1084</v>
      </c>
      <c r="C110" s="357" t="s">
        <v>1120</v>
      </c>
      <c r="D110" s="351" t="s">
        <v>0</v>
      </c>
      <c r="E110" s="351">
        <v>0</v>
      </c>
      <c r="F110" s="351">
        <v>0</v>
      </c>
      <c r="G110" s="351">
        <f t="shared" si="5"/>
        <v>0</v>
      </c>
      <c r="H110" s="351">
        <v>1</v>
      </c>
      <c r="I110" s="355"/>
      <c r="J110" s="357" t="s">
        <v>1152</v>
      </c>
      <c r="K110" s="332"/>
      <c r="L110" s="327" t="s">
        <v>197</v>
      </c>
      <c r="Q110" s="262"/>
      <c r="R110" s="262"/>
      <c r="S110" s="262"/>
      <c r="T110" s="262"/>
      <c r="U110" s="262"/>
    </row>
    <row r="111" spans="1:21" s="261" customFormat="1" ht="44.25" customHeight="1" x14ac:dyDescent="0.25">
      <c r="A111" s="355" t="e">
        <f>#REF!+1</f>
        <v>#REF!</v>
      </c>
      <c r="B111" s="355" t="s">
        <v>1086</v>
      </c>
      <c r="C111" s="357" t="s">
        <v>1122</v>
      </c>
      <c r="D111" s="351" t="s">
        <v>0</v>
      </c>
      <c r="E111" s="351">
        <v>0</v>
      </c>
      <c r="F111" s="351">
        <v>0</v>
      </c>
      <c r="G111" s="351">
        <f t="shared" si="5"/>
        <v>0</v>
      </c>
      <c r="H111" s="351">
        <v>4</v>
      </c>
      <c r="I111" s="355"/>
      <c r="J111" s="357" t="s">
        <v>1152</v>
      </c>
      <c r="K111" s="332"/>
      <c r="L111" s="327" t="s">
        <v>197</v>
      </c>
      <c r="Q111" s="262"/>
      <c r="R111" s="262"/>
      <c r="S111" s="262"/>
      <c r="T111" s="262"/>
      <c r="U111" s="262"/>
    </row>
    <row r="112" spans="1:21" s="261" customFormat="1" ht="44.25" customHeight="1" x14ac:dyDescent="0.25">
      <c r="A112" s="355" t="e">
        <f>A69+1</f>
        <v>#REF!</v>
      </c>
      <c r="B112" s="355" t="s">
        <v>1089</v>
      </c>
      <c r="C112" s="357" t="s">
        <v>1126</v>
      </c>
      <c r="D112" s="351" t="s">
        <v>0</v>
      </c>
      <c r="E112" s="351">
        <v>0</v>
      </c>
      <c r="F112" s="351">
        <v>0</v>
      </c>
      <c r="G112" s="351">
        <f t="shared" si="5"/>
        <v>0</v>
      </c>
      <c r="H112" s="351">
        <v>4</v>
      </c>
      <c r="I112" s="355"/>
      <c r="J112" s="357" t="s">
        <v>1164</v>
      </c>
      <c r="K112" s="332"/>
      <c r="L112" s="327" t="s">
        <v>197</v>
      </c>
      <c r="Q112" s="262"/>
      <c r="R112" s="262"/>
      <c r="S112" s="262"/>
      <c r="T112" s="262"/>
      <c r="U112" s="262"/>
    </row>
    <row r="113" spans="1:21" s="261" customFormat="1" ht="57.75" customHeight="1" x14ac:dyDescent="0.25">
      <c r="A113" s="355" t="e">
        <f t="shared" ref="A113:A116" si="6">A112+1</f>
        <v>#REF!</v>
      </c>
      <c r="B113" s="355" t="s">
        <v>357</v>
      </c>
      <c r="C113" s="357" t="s">
        <v>358</v>
      </c>
      <c r="D113" s="351" t="s">
        <v>0</v>
      </c>
      <c r="E113" s="351">
        <v>2</v>
      </c>
      <c r="F113" s="351">
        <v>0</v>
      </c>
      <c r="G113" s="351">
        <f t="shared" si="5"/>
        <v>2</v>
      </c>
      <c r="H113" s="351">
        <v>4</v>
      </c>
      <c r="I113" s="355"/>
      <c r="J113" s="357" t="s">
        <v>1165</v>
      </c>
      <c r="K113" s="332"/>
      <c r="L113" s="327" t="s">
        <v>197</v>
      </c>
      <c r="Q113" s="262"/>
      <c r="R113" s="262"/>
      <c r="S113" s="262"/>
      <c r="T113" s="262"/>
      <c r="U113" s="262"/>
    </row>
    <row r="114" spans="1:21" s="261" customFormat="1" ht="63" customHeight="1" x14ac:dyDescent="0.25">
      <c r="A114" s="355" t="e">
        <f>A81+1</f>
        <v>#REF!</v>
      </c>
      <c r="B114" s="355" t="s">
        <v>363</v>
      </c>
      <c r="C114" s="357" t="s">
        <v>364</v>
      </c>
      <c r="D114" s="351" t="s">
        <v>0</v>
      </c>
      <c r="E114" s="351">
        <v>0</v>
      </c>
      <c r="F114" s="351">
        <v>0</v>
      </c>
      <c r="G114" s="351">
        <f t="shared" si="5"/>
        <v>0</v>
      </c>
      <c r="H114" s="351">
        <v>26</v>
      </c>
      <c r="I114" s="355"/>
      <c r="J114" s="357" t="s">
        <v>1167</v>
      </c>
      <c r="K114" s="332"/>
      <c r="L114" s="327" t="s">
        <v>197</v>
      </c>
      <c r="Q114" s="262"/>
      <c r="R114" s="262"/>
      <c r="S114" s="262"/>
      <c r="T114" s="262"/>
      <c r="U114" s="262"/>
    </row>
    <row r="115" spans="1:21" s="261" customFormat="1" ht="63" customHeight="1" x14ac:dyDescent="0.25">
      <c r="A115" s="355" t="e">
        <f t="shared" si="6"/>
        <v>#REF!</v>
      </c>
      <c r="B115" s="355" t="s">
        <v>1092</v>
      </c>
      <c r="C115" s="357" t="s">
        <v>1128</v>
      </c>
      <c r="D115" s="351" t="s">
        <v>0</v>
      </c>
      <c r="E115" s="351">
        <v>0</v>
      </c>
      <c r="F115" s="351">
        <v>0</v>
      </c>
      <c r="G115" s="351">
        <f t="shared" si="5"/>
        <v>0</v>
      </c>
      <c r="H115" s="351">
        <v>2</v>
      </c>
      <c r="I115" s="355"/>
      <c r="J115" s="357" t="s">
        <v>1152</v>
      </c>
      <c r="K115" s="332"/>
      <c r="L115" s="327" t="s">
        <v>197</v>
      </c>
      <c r="Q115" s="262"/>
      <c r="R115" s="262"/>
      <c r="S115" s="262"/>
      <c r="T115" s="262"/>
      <c r="U115" s="262"/>
    </row>
    <row r="116" spans="1:21" s="261" customFormat="1" ht="63" customHeight="1" x14ac:dyDescent="0.25">
      <c r="A116" s="355" t="e">
        <f t="shared" si="6"/>
        <v>#REF!</v>
      </c>
      <c r="B116" s="355" t="s">
        <v>1093</v>
      </c>
      <c r="C116" s="357" t="s">
        <v>1129</v>
      </c>
      <c r="D116" s="351" t="s">
        <v>0</v>
      </c>
      <c r="E116" s="351">
        <v>0</v>
      </c>
      <c r="F116" s="351">
        <v>0</v>
      </c>
      <c r="G116" s="351">
        <f t="shared" si="5"/>
        <v>0</v>
      </c>
      <c r="H116" s="351">
        <v>1</v>
      </c>
      <c r="I116" s="355"/>
      <c r="J116" s="357" t="s">
        <v>1152</v>
      </c>
      <c r="K116" s="332"/>
      <c r="L116" s="327" t="s">
        <v>197</v>
      </c>
      <c r="Q116" s="262"/>
      <c r="R116" s="262"/>
      <c r="S116" s="262"/>
      <c r="T116" s="262"/>
      <c r="U116" s="262"/>
    </row>
    <row r="117" spans="1:21" s="262" customFormat="1" ht="45" customHeight="1" x14ac:dyDescent="0.25">
      <c r="A117" s="355" t="e">
        <f>#REF!+1</f>
        <v>#REF!</v>
      </c>
      <c r="B117" s="351" t="s">
        <v>715</v>
      </c>
      <c r="C117" s="357" t="s">
        <v>714</v>
      </c>
      <c r="D117" s="351" t="s">
        <v>0</v>
      </c>
      <c r="E117" s="351">
        <v>0</v>
      </c>
      <c r="F117" s="351">
        <v>0</v>
      </c>
      <c r="G117" s="351">
        <f t="shared" si="5"/>
        <v>0</v>
      </c>
      <c r="H117" s="351">
        <f>VLOOKUP(B117,'[1]Tháng 7.2025'!$B$23:$H$153,7,0)</f>
        <v>4</v>
      </c>
      <c r="I117" s="351"/>
      <c r="J117" s="357" t="s">
        <v>710</v>
      </c>
      <c r="K117" s="331"/>
      <c r="L117" s="329" t="s">
        <v>140</v>
      </c>
    </row>
    <row r="118" spans="1:21" s="258" customFormat="1" ht="51.75" customHeight="1" x14ac:dyDescent="0.25">
      <c r="A118" s="378" t="e">
        <f>#REF!+1</f>
        <v>#REF!</v>
      </c>
      <c r="B118" s="380" t="s">
        <v>615</v>
      </c>
      <c r="C118" s="379" t="s">
        <v>616</v>
      </c>
      <c r="D118" s="378" t="s">
        <v>0</v>
      </c>
      <c r="E118" s="380">
        <v>1000</v>
      </c>
      <c r="F118" s="380">
        <v>80</v>
      </c>
      <c r="G118" s="380">
        <f>E118-F118</f>
        <v>920</v>
      </c>
      <c r="H118" s="380">
        <v>100</v>
      </c>
      <c r="I118" s="436"/>
      <c r="J118" s="379" t="s">
        <v>617</v>
      </c>
      <c r="K118" s="384">
        <v>1815</v>
      </c>
      <c r="L118" s="435" t="s">
        <v>76</v>
      </c>
      <c r="M118" s="261" t="s">
        <v>895</v>
      </c>
      <c r="N118" s="261" t="s">
        <v>896</v>
      </c>
      <c r="O118" s="261" t="s">
        <v>812</v>
      </c>
      <c r="P118" s="261" t="s">
        <v>813</v>
      </c>
      <c r="Q118" s="257" t="s">
        <v>827</v>
      </c>
      <c r="R118" s="257"/>
      <c r="S118" s="257"/>
      <c r="T118" s="257"/>
      <c r="U118" s="257"/>
    </row>
    <row r="119" spans="1:21" s="258" customFormat="1" ht="51.75" customHeight="1" x14ac:dyDescent="0.25">
      <c r="A119" s="378" t="e">
        <f>A118+1</f>
        <v>#REF!</v>
      </c>
      <c r="B119" s="380" t="s">
        <v>618</v>
      </c>
      <c r="C119" s="379" t="s">
        <v>619</v>
      </c>
      <c r="D119" s="378" t="s">
        <v>0</v>
      </c>
      <c r="E119" s="380">
        <v>175</v>
      </c>
      <c r="F119" s="380">
        <v>32</v>
      </c>
      <c r="G119" s="380">
        <f>E119-F119</f>
        <v>143</v>
      </c>
      <c r="H119" s="380">
        <v>24</v>
      </c>
      <c r="I119" s="436"/>
      <c r="J119" s="379" t="s">
        <v>620</v>
      </c>
      <c r="K119" s="384"/>
      <c r="L119" s="435" t="s">
        <v>76</v>
      </c>
      <c r="M119" s="261" t="s">
        <v>895</v>
      </c>
      <c r="N119" s="261" t="s">
        <v>896</v>
      </c>
      <c r="O119" s="261" t="s">
        <v>812</v>
      </c>
      <c r="P119" s="261" t="s">
        <v>813</v>
      </c>
      <c r="Q119" s="257" t="s">
        <v>827</v>
      </c>
      <c r="R119" s="257"/>
      <c r="S119" s="257"/>
      <c r="T119" s="257"/>
      <c r="U119" s="257"/>
    </row>
    <row r="120" spans="1:21" s="326" customFormat="1" ht="15.75" x14ac:dyDescent="0.25">
      <c r="A120" s="360" t="s">
        <v>20</v>
      </c>
      <c r="B120" s="355"/>
      <c r="C120" s="356"/>
      <c r="D120" s="355"/>
      <c r="E120" s="351"/>
      <c r="F120" s="351"/>
      <c r="G120" s="351"/>
      <c r="H120" s="351"/>
      <c r="I120" s="355"/>
      <c r="J120" s="355"/>
      <c r="K120" s="328"/>
      <c r="L120" s="325"/>
      <c r="Q120" s="338"/>
      <c r="R120" s="338"/>
      <c r="S120" s="338"/>
      <c r="T120" s="338"/>
      <c r="U120" s="338"/>
    </row>
    <row r="121" spans="1:21" s="257" customFormat="1" ht="60.75" customHeight="1" x14ac:dyDescent="0.25">
      <c r="A121" s="378" t="e">
        <f>A109+1</f>
        <v>#REF!</v>
      </c>
      <c r="B121" s="388" t="s">
        <v>49</v>
      </c>
      <c r="C121" s="379" t="s">
        <v>50</v>
      </c>
      <c r="D121" s="378" t="s">
        <v>51</v>
      </c>
      <c r="E121" s="383">
        <v>0</v>
      </c>
      <c r="F121" s="380">
        <v>0</v>
      </c>
      <c r="G121" s="380">
        <f t="shared" ref="G121" si="7">E121-F121</f>
        <v>0</v>
      </c>
      <c r="H121" s="380">
        <v>30</v>
      </c>
      <c r="I121" s="378"/>
      <c r="J121" s="379" t="s">
        <v>876</v>
      </c>
      <c r="K121" s="384">
        <v>0</v>
      </c>
      <c r="L121" s="385" t="s">
        <v>140</v>
      </c>
      <c r="M121" s="386"/>
      <c r="N121" s="386" t="s">
        <v>896</v>
      </c>
      <c r="O121" s="386"/>
      <c r="Q121" s="386" t="s">
        <v>827</v>
      </c>
      <c r="R121" s="386"/>
      <c r="S121" s="386"/>
    </row>
    <row r="122" spans="1:21" s="257" customFormat="1" ht="43.5" customHeight="1" x14ac:dyDescent="0.25">
      <c r="A122" s="378" t="e">
        <f>A121+1</f>
        <v>#REF!</v>
      </c>
      <c r="B122" s="388" t="s">
        <v>166</v>
      </c>
      <c r="C122" s="379" t="s">
        <v>167</v>
      </c>
      <c r="D122" s="378" t="s">
        <v>51</v>
      </c>
      <c r="E122" s="383">
        <v>0</v>
      </c>
      <c r="F122" s="380">
        <v>81</v>
      </c>
      <c r="G122" s="380">
        <v>0</v>
      </c>
      <c r="H122" s="380">
        <v>50</v>
      </c>
      <c r="I122" s="378"/>
      <c r="J122" s="379" t="s">
        <v>168</v>
      </c>
      <c r="K122" s="384">
        <v>4</v>
      </c>
      <c r="L122" s="387" t="s">
        <v>1315</v>
      </c>
      <c r="N122" s="257" t="s">
        <v>896</v>
      </c>
      <c r="Q122" s="257" t="s">
        <v>827</v>
      </c>
    </row>
    <row r="123" spans="1:21" s="258" customFormat="1" ht="30.75" customHeight="1" x14ac:dyDescent="0.25">
      <c r="A123" s="378" t="e">
        <f t="shared" ref="A123:A151" si="8">A122+1</f>
        <v>#REF!</v>
      </c>
      <c r="B123" s="378" t="s">
        <v>174</v>
      </c>
      <c r="C123" s="439" t="s">
        <v>102</v>
      </c>
      <c r="D123" s="378" t="s">
        <v>66</v>
      </c>
      <c r="E123" s="383">
        <v>1800000</v>
      </c>
      <c r="F123" s="380">
        <v>47500</v>
      </c>
      <c r="G123" s="380">
        <v>0</v>
      </c>
      <c r="H123" s="380">
        <f>VLOOKUP(B123,'[1]Tháng 7.2025'!$B$23:$H$153,7,0)</f>
        <v>150000</v>
      </c>
      <c r="I123" s="378"/>
      <c r="J123" s="379" t="s">
        <v>103</v>
      </c>
      <c r="K123" s="434">
        <v>239581</v>
      </c>
      <c r="L123" s="435" t="s">
        <v>88</v>
      </c>
      <c r="M123" s="258" t="s">
        <v>895</v>
      </c>
      <c r="N123" s="258" t="s">
        <v>896</v>
      </c>
      <c r="Q123" s="257" t="s">
        <v>827</v>
      </c>
      <c r="R123" s="257"/>
      <c r="S123" s="257"/>
      <c r="T123" s="257"/>
      <c r="U123" s="257"/>
    </row>
    <row r="124" spans="1:21" s="258" customFormat="1" ht="30.75" customHeight="1" x14ac:dyDescent="0.25">
      <c r="A124" s="378" t="e">
        <f t="shared" si="8"/>
        <v>#REF!</v>
      </c>
      <c r="B124" s="378" t="s">
        <v>880</v>
      </c>
      <c r="C124" s="439" t="s">
        <v>881</v>
      </c>
      <c r="D124" s="378" t="s">
        <v>66</v>
      </c>
      <c r="E124" s="383">
        <v>1800000</v>
      </c>
      <c r="F124" s="380">
        <v>0</v>
      </c>
      <c r="G124" s="380">
        <v>0</v>
      </c>
      <c r="H124" s="380">
        <v>30500</v>
      </c>
      <c r="I124" s="378"/>
      <c r="J124" s="379" t="s">
        <v>862</v>
      </c>
      <c r="K124" s="434"/>
      <c r="L124" s="435" t="s">
        <v>88</v>
      </c>
      <c r="M124" s="258" t="s">
        <v>895</v>
      </c>
      <c r="N124" s="258" t="s">
        <v>896</v>
      </c>
      <c r="Q124" s="257" t="s">
        <v>827</v>
      </c>
      <c r="R124" s="257"/>
      <c r="S124" s="257"/>
      <c r="T124" s="257"/>
      <c r="U124" s="257"/>
    </row>
    <row r="125" spans="1:21" s="258" customFormat="1" ht="30.75" customHeight="1" x14ac:dyDescent="0.25">
      <c r="A125" s="378" t="e">
        <f t="shared" si="8"/>
        <v>#REF!</v>
      </c>
      <c r="B125" s="378" t="s">
        <v>147</v>
      </c>
      <c r="C125" s="379" t="s">
        <v>148</v>
      </c>
      <c r="D125" s="378" t="s">
        <v>66</v>
      </c>
      <c r="E125" s="383">
        <v>0</v>
      </c>
      <c r="F125" s="380">
        <v>0</v>
      </c>
      <c r="G125" s="380">
        <v>0</v>
      </c>
      <c r="H125" s="380">
        <f>VLOOKUP(B125,'[1]Tháng 7.2025'!$B$23:$H$153,7,0)</f>
        <v>100</v>
      </c>
      <c r="I125" s="380"/>
      <c r="J125" s="437" t="s">
        <v>374</v>
      </c>
      <c r="K125" s="384">
        <v>5379</v>
      </c>
      <c r="L125" s="435" t="s">
        <v>385</v>
      </c>
      <c r="N125" s="258" t="s">
        <v>896</v>
      </c>
      <c r="Q125" s="257" t="s">
        <v>827</v>
      </c>
      <c r="R125" s="257"/>
      <c r="S125" s="257"/>
      <c r="T125" s="257"/>
      <c r="U125" s="257"/>
    </row>
    <row r="126" spans="1:21" s="258" customFormat="1" ht="30.75" customHeight="1" x14ac:dyDescent="0.25">
      <c r="A126" s="378" t="e">
        <f t="shared" si="8"/>
        <v>#REF!</v>
      </c>
      <c r="B126" s="378" t="s">
        <v>149</v>
      </c>
      <c r="C126" s="379" t="s">
        <v>150</v>
      </c>
      <c r="D126" s="378" t="s">
        <v>0</v>
      </c>
      <c r="E126" s="383">
        <v>0</v>
      </c>
      <c r="F126" s="380">
        <v>0</v>
      </c>
      <c r="G126" s="380">
        <v>0</v>
      </c>
      <c r="H126" s="380">
        <f>VLOOKUP(B126,'[1]Tháng 7.2025'!$B$23:$H$153,7,0)</f>
        <v>8000</v>
      </c>
      <c r="I126" s="380"/>
      <c r="J126" s="437" t="s">
        <v>151</v>
      </c>
      <c r="K126" s="384">
        <v>15000</v>
      </c>
      <c r="L126" s="435" t="s">
        <v>385</v>
      </c>
      <c r="M126" s="258" t="s">
        <v>895</v>
      </c>
      <c r="N126" s="258" t="s">
        <v>896</v>
      </c>
      <c r="Q126" s="257" t="s">
        <v>827</v>
      </c>
      <c r="R126" s="257"/>
      <c r="S126" s="257"/>
      <c r="T126" s="257"/>
      <c r="U126" s="257"/>
    </row>
    <row r="127" spans="1:21" s="261" customFormat="1" ht="30.75" customHeight="1" x14ac:dyDescent="0.25">
      <c r="A127" s="355" t="e">
        <f t="shared" si="8"/>
        <v>#REF!</v>
      </c>
      <c r="B127" s="351" t="s">
        <v>883</v>
      </c>
      <c r="C127" s="357" t="s">
        <v>884</v>
      </c>
      <c r="D127" s="355" t="s">
        <v>0</v>
      </c>
      <c r="E127" s="364">
        <v>0</v>
      </c>
      <c r="F127" s="351">
        <v>0</v>
      </c>
      <c r="G127" s="351">
        <v>0</v>
      </c>
      <c r="H127" s="351">
        <v>150</v>
      </c>
      <c r="I127" s="351"/>
      <c r="J127" s="365" t="s">
        <v>906</v>
      </c>
      <c r="K127" s="332"/>
      <c r="L127" s="327" t="s">
        <v>385</v>
      </c>
      <c r="M127" s="261" t="s">
        <v>895</v>
      </c>
      <c r="N127" s="261" t="s">
        <v>896</v>
      </c>
      <c r="Q127" s="262"/>
      <c r="R127" s="262"/>
      <c r="S127" s="262"/>
      <c r="T127" s="262"/>
      <c r="U127" s="262"/>
    </row>
    <row r="128" spans="1:21" s="261" customFormat="1" ht="30.75" customHeight="1" x14ac:dyDescent="0.25">
      <c r="A128" s="355" t="e">
        <f t="shared" si="8"/>
        <v>#REF!</v>
      </c>
      <c r="B128" s="351" t="s">
        <v>885</v>
      </c>
      <c r="C128" s="357" t="s">
        <v>886</v>
      </c>
      <c r="D128" s="351" t="s">
        <v>0</v>
      </c>
      <c r="E128" s="364">
        <v>0</v>
      </c>
      <c r="F128" s="351">
        <v>0</v>
      </c>
      <c r="G128" s="351">
        <v>0</v>
      </c>
      <c r="H128" s="351">
        <v>100</v>
      </c>
      <c r="I128" s="351"/>
      <c r="J128" s="365" t="s">
        <v>906</v>
      </c>
      <c r="K128" s="332"/>
      <c r="L128" s="327" t="s">
        <v>385</v>
      </c>
      <c r="M128" s="261" t="s">
        <v>895</v>
      </c>
      <c r="N128" s="261" t="s">
        <v>896</v>
      </c>
      <c r="Q128" s="262"/>
      <c r="R128" s="262"/>
      <c r="S128" s="262"/>
      <c r="T128" s="262"/>
      <c r="U128" s="262"/>
    </row>
    <row r="129" spans="1:21" s="261" customFormat="1" ht="30.75" customHeight="1" x14ac:dyDescent="0.25">
      <c r="A129" s="355" t="e">
        <f t="shared" si="8"/>
        <v>#REF!</v>
      </c>
      <c r="B129" s="351" t="s">
        <v>887</v>
      </c>
      <c r="C129" s="357" t="s">
        <v>888</v>
      </c>
      <c r="D129" s="351" t="s">
        <v>66</v>
      </c>
      <c r="E129" s="364">
        <v>0</v>
      </c>
      <c r="F129" s="351">
        <v>0</v>
      </c>
      <c r="G129" s="351">
        <v>0</v>
      </c>
      <c r="H129" s="351">
        <v>10</v>
      </c>
      <c r="I129" s="351"/>
      <c r="J129" s="365" t="s">
        <v>906</v>
      </c>
      <c r="K129" s="332"/>
      <c r="L129" s="327" t="s">
        <v>385</v>
      </c>
      <c r="M129" s="261" t="s">
        <v>895</v>
      </c>
      <c r="N129" s="261" t="s">
        <v>896</v>
      </c>
      <c r="Q129" s="262"/>
      <c r="R129" s="262"/>
      <c r="S129" s="262"/>
      <c r="T129" s="262"/>
      <c r="U129" s="262"/>
    </row>
    <row r="130" spans="1:21" s="261" customFormat="1" ht="30.75" customHeight="1" x14ac:dyDescent="0.25">
      <c r="A130" s="355" t="e">
        <f t="shared" si="8"/>
        <v>#REF!</v>
      </c>
      <c r="B130" s="351" t="s">
        <v>552</v>
      </c>
      <c r="C130" s="357" t="s">
        <v>553</v>
      </c>
      <c r="D130" s="351" t="s">
        <v>0</v>
      </c>
      <c r="E130" s="364">
        <v>0</v>
      </c>
      <c r="F130" s="351">
        <v>0</v>
      </c>
      <c r="G130" s="351">
        <v>0</v>
      </c>
      <c r="H130" s="351">
        <v>10</v>
      </c>
      <c r="I130" s="351"/>
      <c r="J130" s="365" t="s">
        <v>906</v>
      </c>
      <c r="K130" s="332"/>
      <c r="L130" s="327" t="s">
        <v>385</v>
      </c>
      <c r="M130" s="261" t="s">
        <v>895</v>
      </c>
      <c r="N130" s="261" t="s">
        <v>896</v>
      </c>
      <c r="Q130" s="262"/>
      <c r="R130" s="262"/>
      <c r="S130" s="262"/>
      <c r="T130" s="262"/>
      <c r="U130" s="262"/>
    </row>
    <row r="131" spans="1:21" s="261" customFormat="1" ht="30.75" customHeight="1" x14ac:dyDescent="0.25">
      <c r="A131" s="355" t="e">
        <f t="shared" si="8"/>
        <v>#REF!</v>
      </c>
      <c r="B131" s="351" t="s">
        <v>889</v>
      </c>
      <c r="C131" s="357" t="s">
        <v>890</v>
      </c>
      <c r="D131" s="351" t="s">
        <v>390</v>
      </c>
      <c r="E131" s="364">
        <v>0</v>
      </c>
      <c r="F131" s="351">
        <v>0</v>
      </c>
      <c r="G131" s="351">
        <v>0</v>
      </c>
      <c r="H131" s="351">
        <v>100</v>
      </c>
      <c r="I131" s="351"/>
      <c r="J131" s="365" t="s">
        <v>906</v>
      </c>
      <c r="K131" s="332"/>
      <c r="L131" s="327" t="s">
        <v>385</v>
      </c>
      <c r="M131" s="261" t="s">
        <v>895</v>
      </c>
      <c r="N131" s="261" t="s">
        <v>896</v>
      </c>
      <c r="Q131" s="262"/>
      <c r="R131" s="262"/>
      <c r="S131" s="262"/>
      <c r="T131" s="262"/>
      <c r="U131" s="262"/>
    </row>
    <row r="132" spans="1:21" s="261" customFormat="1" ht="30.75" customHeight="1" x14ac:dyDescent="0.25">
      <c r="A132" s="355" t="e">
        <f t="shared" si="8"/>
        <v>#REF!</v>
      </c>
      <c r="B132" s="351" t="s">
        <v>891</v>
      </c>
      <c r="C132" s="357" t="s">
        <v>892</v>
      </c>
      <c r="D132" s="351" t="s">
        <v>390</v>
      </c>
      <c r="E132" s="364">
        <v>0</v>
      </c>
      <c r="F132" s="351">
        <v>0</v>
      </c>
      <c r="G132" s="351">
        <v>0</v>
      </c>
      <c r="H132" s="351">
        <v>100</v>
      </c>
      <c r="I132" s="351"/>
      <c r="J132" s="365" t="s">
        <v>906</v>
      </c>
      <c r="K132" s="332"/>
      <c r="L132" s="327" t="s">
        <v>385</v>
      </c>
      <c r="M132" s="261" t="s">
        <v>895</v>
      </c>
      <c r="N132" s="261" t="s">
        <v>896</v>
      </c>
      <c r="Q132" s="262"/>
      <c r="R132" s="262"/>
      <c r="S132" s="262"/>
      <c r="T132" s="262"/>
      <c r="U132" s="262"/>
    </row>
    <row r="133" spans="1:21" s="261" customFormat="1" ht="25.5" x14ac:dyDescent="0.25">
      <c r="A133" s="355" t="e">
        <f t="shared" si="8"/>
        <v>#REF!</v>
      </c>
      <c r="B133" s="355" t="s">
        <v>975</v>
      </c>
      <c r="C133" s="357" t="s">
        <v>1007</v>
      </c>
      <c r="D133" s="351" t="s">
        <v>0</v>
      </c>
      <c r="E133" s="351">
        <v>0</v>
      </c>
      <c r="F133" s="351">
        <v>0</v>
      </c>
      <c r="G133" s="351">
        <v>0</v>
      </c>
      <c r="H133" s="351">
        <v>200</v>
      </c>
      <c r="I133" s="355"/>
      <c r="J133" s="357" t="s">
        <v>1169</v>
      </c>
      <c r="K133" s="332"/>
      <c r="L133" s="327" t="s">
        <v>197</v>
      </c>
      <c r="Q133" s="262"/>
      <c r="R133" s="262"/>
      <c r="S133" s="262"/>
      <c r="T133" s="262"/>
      <c r="U133" s="262"/>
    </row>
    <row r="134" spans="1:21" s="261" customFormat="1" ht="15.75" x14ac:dyDescent="0.25">
      <c r="A134" s="355" t="e">
        <f t="shared" si="8"/>
        <v>#REF!</v>
      </c>
      <c r="B134" s="355" t="s">
        <v>1095</v>
      </c>
      <c r="C134" s="357" t="s">
        <v>1131</v>
      </c>
      <c r="D134" s="351" t="s">
        <v>0</v>
      </c>
      <c r="E134" s="351">
        <v>0</v>
      </c>
      <c r="F134" s="351">
        <v>0</v>
      </c>
      <c r="G134" s="351">
        <v>0</v>
      </c>
      <c r="H134" s="351">
        <v>32</v>
      </c>
      <c r="I134" s="355"/>
      <c r="J134" s="357" t="s">
        <v>1169</v>
      </c>
      <c r="K134" s="332"/>
      <c r="L134" s="327" t="s">
        <v>197</v>
      </c>
      <c r="Q134" s="262"/>
      <c r="R134" s="262"/>
      <c r="S134" s="262"/>
      <c r="T134" s="262"/>
      <c r="U134" s="262"/>
    </row>
    <row r="135" spans="1:21" s="261" customFormat="1" ht="15.75" x14ac:dyDescent="0.25">
      <c r="A135" s="355" t="e">
        <f t="shared" si="8"/>
        <v>#REF!</v>
      </c>
      <c r="B135" s="355" t="s">
        <v>1096</v>
      </c>
      <c r="C135" s="357" t="s">
        <v>1132</v>
      </c>
      <c r="D135" s="351" t="s">
        <v>0</v>
      </c>
      <c r="E135" s="351">
        <v>0</v>
      </c>
      <c r="F135" s="351">
        <v>0</v>
      </c>
      <c r="G135" s="351">
        <v>0</v>
      </c>
      <c r="H135" s="351">
        <v>32</v>
      </c>
      <c r="I135" s="355"/>
      <c r="J135" s="357" t="s">
        <v>1169</v>
      </c>
      <c r="K135" s="332"/>
      <c r="L135" s="327" t="s">
        <v>197</v>
      </c>
      <c r="Q135" s="262"/>
      <c r="R135" s="262"/>
      <c r="S135" s="262"/>
      <c r="T135" s="262"/>
      <c r="U135" s="262"/>
    </row>
    <row r="136" spans="1:21" s="261" customFormat="1" ht="25.5" x14ac:dyDescent="0.25">
      <c r="A136" s="355" t="e">
        <f t="shared" si="8"/>
        <v>#REF!</v>
      </c>
      <c r="B136" s="355" t="s">
        <v>1097</v>
      </c>
      <c r="C136" s="357" t="s">
        <v>1133</v>
      </c>
      <c r="D136" s="351" t="s">
        <v>0</v>
      </c>
      <c r="E136" s="351">
        <v>0</v>
      </c>
      <c r="F136" s="351">
        <v>0</v>
      </c>
      <c r="G136" s="351">
        <v>0</v>
      </c>
      <c r="H136" s="351">
        <v>80</v>
      </c>
      <c r="I136" s="355"/>
      <c r="J136" s="357" t="s">
        <v>1169</v>
      </c>
      <c r="K136" s="332"/>
      <c r="L136" s="327" t="s">
        <v>197</v>
      </c>
      <c r="Q136" s="262"/>
      <c r="R136" s="262"/>
      <c r="S136" s="262"/>
      <c r="T136" s="262"/>
      <c r="U136" s="262"/>
    </row>
    <row r="137" spans="1:21" s="258" customFormat="1" ht="15.75" x14ac:dyDescent="0.25">
      <c r="A137" s="378"/>
      <c r="B137" s="449" t="s">
        <v>1351</v>
      </c>
      <c r="C137" s="449" t="s">
        <v>1200</v>
      </c>
      <c r="D137" s="380" t="s">
        <v>2</v>
      </c>
      <c r="E137" s="380"/>
      <c r="F137" s="380"/>
      <c r="G137" s="380"/>
      <c r="H137" s="380">
        <v>10</v>
      </c>
      <c r="I137" s="378"/>
      <c r="J137" s="379" t="s">
        <v>1169</v>
      </c>
      <c r="K137" s="384"/>
      <c r="L137" s="435" t="s">
        <v>197</v>
      </c>
      <c r="Q137" s="257" t="s">
        <v>827</v>
      </c>
      <c r="R137" s="257"/>
      <c r="S137" s="257"/>
      <c r="T137" s="257"/>
      <c r="U137" s="257"/>
    </row>
    <row r="138" spans="1:21" s="258" customFormat="1" ht="30" x14ac:dyDescent="0.25">
      <c r="A138" s="378"/>
      <c r="B138" s="450" t="s">
        <v>1352</v>
      </c>
      <c r="C138" s="450" t="s">
        <v>1353</v>
      </c>
      <c r="D138" s="380" t="s">
        <v>51</v>
      </c>
      <c r="E138" s="380"/>
      <c r="F138" s="380"/>
      <c r="G138" s="380"/>
      <c r="H138" s="380">
        <v>10</v>
      </c>
      <c r="I138" s="378"/>
      <c r="J138" s="379" t="s">
        <v>1169</v>
      </c>
      <c r="K138" s="384"/>
      <c r="L138" s="435" t="s">
        <v>197</v>
      </c>
      <c r="Q138" s="257" t="s">
        <v>827</v>
      </c>
      <c r="R138" s="257"/>
      <c r="S138" s="257"/>
      <c r="T138" s="257"/>
      <c r="U138" s="257"/>
    </row>
    <row r="139" spans="1:21" s="258" customFormat="1" ht="15.75" x14ac:dyDescent="0.25">
      <c r="A139" s="378" t="e">
        <f>A136+1</f>
        <v>#REF!</v>
      </c>
      <c r="B139" s="378" t="s">
        <v>1098</v>
      </c>
      <c r="C139" s="379" t="s">
        <v>1134</v>
      </c>
      <c r="D139" s="380" t="s">
        <v>0</v>
      </c>
      <c r="E139" s="380">
        <v>0</v>
      </c>
      <c r="F139" s="380">
        <v>0</v>
      </c>
      <c r="G139" s="380">
        <v>0</v>
      </c>
      <c r="H139" s="380">
        <v>30</v>
      </c>
      <c r="I139" s="378"/>
      <c r="J139" s="379" t="s">
        <v>1169</v>
      </c>
      <c r="K139" s="384"/>
      <c r="L139" s="435" t="s">
        <v>197</v>
      </c>
      <c r="Q139" s="257" t="s">
        <v>827</v>
      </c>
      <c r="R139" s="257"/>
      <c r="S139" s="257"/>
      <c r="T139" s="257"/>
      <c r="U139" s="257"/>
    </row>
    <row r="140" spans="1:21" s="258" customFormat="1" ht="15.75" x14ac:dyDescent="0.25">
      <c r="A140" s="378" t="e">
        <f t="shared" si="8"/>
        <v>#REF!</v>
      </c>
      <c r="B140" s="378" t="s">
        <v>552</v>
      </c>
      <c r="C140" s="379" t="s">
        <v>553</v>
      </c>
      <c r="D140" s="380" t="s">
        <v>0</v>
      </c>
      <c r="E140" s="380">
        <v>0</v>
      </c>
      <c r="F140" s="380">
        <v>0</v>
      </c>
      <c r="G140" s="380">
        <v>0</v>
      </c>
      <c r="H140" s="380">
        <v>36</v>
      </c>
      <c r="I140" s="378"/>
      <c r="J140" s="379" t="s">
        <v>1169</v>
      </c>
      <c r="K140" s="384"/>
      <c r="L140" s="435" t="s">
        <v>197</v>
      </c>
      <c r="Q140" s="257" t="s">
        <v>827</v>
      </c>
      <c r="R140" s="257"/>
      <c r="S140" s="257"/>
      <c r="T140" s="257"/>
      <c r="U140" s="257"/>
    </row>
    <row r="141" spans="1:21" s="258" customFormat="1" ht="15.75" x14ac:dyDescent="0.25">
      <c r="A141" s="378" t="e">
        <f t="shared" si="8"/>
        <v>#REF!</v>
      </c>
      <c r="B141" s="378" t="s">
        <v>885</v>
      </c>
      <c r="C141" s="379" t="s">
        <v>886</v>
      </c>
      <c r="D141" s="380" t="s">
        <v>0</v>
      </c>
      <c r="E141" s="380">
        <v>0</v>
      </c>
      <c r="F141" s="380">
        <v>0</v>
      </c>
      <c r="G141" s="380">
        <v>0</v>
      </c>
      <c r="H141" s="380">
        <v>200</v>
      </c>
      <c r="I141" s="378"/>
      <c r="J141" s="379" t="s">
        <v>1169</v>
      </c>
      <c r="K141" s="384"/>
      <c r="L141" s="435" t="s">
        <v>197</v>
      </c>
      <c r="P141" s="258" t="s">
        <v>813</v>
      </c>
      <c r="Q141" s="257" t="s">
        <v>827</v>
      </c>
      <c r="R141" s="257"/>
      <c r="S141" s="257"/>
      <c r="T141" s="257"/>
      <c r="U141" s="257"/>
    </row>
    <row r="142" spans="1:21" s="258" customFormat="1" ht="30.75" customHeight="1" x14ac:dyDescent="0.2">
      <c r="A142" s="378" t="e">
        <f t="shared" si="8"/>
        <v>#REF!</v>
      </c>
      <c r="B142" s="446" t="s">
        <v>199</v>
      </c>
      <c r="C142" s="447" t="s">
        <v>799</v>
      </c>
      <c r="D142" s="448" t="s">
        <v>2</v>
      </c>
      <c r="E142" s="380"/>
      <c r="F142" s="380">
        <v>0</v>
      </c>
      <c r="G142" s="380">
        <v>0</v>
      </c>
      <c r="H142" s="380">
        <v>50</v>
      </c>
      <c r="I142" s="380"/>
      <c r="J142" s="379" t="s">
        <v>802</v>
      </c>
      <c r="K142" s="384"/>
      <c r="L142" s="435" t="s">
        <v>385</v>
      </c>
      <c r="M142" s="258" t="s">
        <v>895</v>
      </c>
      <c r="N142" s="445" t="s">
        <v>896</v>
      </c>
      <c r="P142" s="258" t="s">
        <v>813</v>
      </c>
      <c r="Q142" s="257" t="s">
        <v>827</v>
      </c>
      <c r="R142" s="257"/>
      <c r="S142" s="257"/>
      <c r="T142" s="257"/>
      <c r="U142" s="257"/>
    </row>
    <row r="143" spans="1:21" s="258" customFormat="1" ht="30.75" customHeight="1" x14ac:dyDescent="0.25">
      <c r="A143" s="378" t="e">
        <f t="shared" si="8"/>
        <v>#REF!</v>
      </c>
      <c r="B143" s="378" t="s">
        <v>1055</v>
      </c>
      <c r="C143" s="379" t="s">
        <v>1056</v>
      </c>
      <c r="D143" s="378" t="s">
        <v>804</v>
      </c>
      <c r="E143" s="380">
        <v>0</v>
      </c>
      <c r="F143" s="380">
        <v>0</v>
      </c>
      <c r="G143" s="380">
        <v>0</v>
      </c>
      <c r="H143" s="380">
        <v>50</v>
      </c>
      <c r="I143" s="380"/>
      <c r="J143" s="379" t="s">
        <v>803</v>
      </c>
      <c r="K143" s="384"/>
      <c r="L143" s="435" t="s">
        <v>385</v>
      </c>
      <c r="M143" s="258" t="s">
        <v>895</v>
      </c>
      <c r="N143" s="445" t="s">
        <v>896</v>
      </c>
      <c r="Q143" s="257" t="s">
        <v>827</v>
      </c>
      <c r="R143" s="257"/>
      <c r="S143" s="257"/>
      <c r="T143" s="257"/>
      <c r="U143" s="257"/>
    </row>
    <row r="144" spans="1:21" s="258" customFormat="1" ht="30.75" customHeight="1" x14ac:dyDescent="0.25">
      <c r="A144" s="378" t="e">
        <f t="shared" si="8"/>
        <v>#REF!</v>
      </c>
      <c r="B144" s="378" t="s">
        <v>1057</v>
      </c>
      <c r="C144" s="379" t="s">
        <v>1058</v>
      </c>
      <c r="D144" s="378" t="s">
        <v>804</v>
      </c>
      <c r="E144" s="380">
        <v>0</v>
      </c>
      <c r="F144" s="380">
        <v>0</v>
      </c>
      <c r="G144" s="380">
        <v>0</v>
      </c>
      <c r="H144" s="380">
        <v>50</v>
      </c>
      <c r="I144" s="380"/>
      <c r="J144" s="379" t="s">
        <v>803</v>
      </c>
      <c r="K144" s="384"/>
      <c r="L144" s="435" t="s">
        <v>385</v>
      </c>
      <c r="M144" s="258" t="s">
        <v>895</v>
      </c>
      <c r="N144" s="445" t="s">
        <v>896</v>
      </c>
      <c r="Q144" s="257" t="s">
        <v>827</v>
      </c>
      <c r="R144" s="257"/>
      <c r="S144" s="257"/>
      <c r="T144" s="257"/>
      <c r="U144" s="257"/>
    </row>
    <row r="145" spans="1:21" s="258" customFormat="1" ht="53.25" customHeight="1" x14ac:dyDescent="0.25">
      <c r="A145" s="378" t="e">
        <f t="shared" si="8"/>
        <v>#REF!</v>
      </c>
      <c r="B145" s="380" t="s">
        <v>40</v>
      </c>
      <c r="C145" s="379" t="s">
        <v>1</v>
      </c>
      <c r="D145" s="378" t="s">
        <v>2</v>
      </c>
      <c r="E145" s="380">
        <v>16200</v>
      </c>
      <c r="F145" s="380">
        <v>2017</v>
      </c>
      <c r="G145" s="380">
        <v>0</v>
      </c>
      <c r="H145" s="380">
        <v>3000</v>
      </c>
      <c r="I145" s="380"/>
      <c r="J145" s="437" t="s">
        <v>119</v>
      </c>
      <c r="K145" s="384"/>
      <c r="L145" s="435" t="s">
        <v>76</v>
      </c>
      <c r="M145" s="261" t="s">
        <v>895</v>
      </c>
      <c r="N145" s="261" t="s">
        <v>896</v>
      </c>
      <c r="O145" s="261" t="s">
        <v>812</v>
      </c>
      <c r="P145" s="261" t="s">
        <v>813</v>
      </c>
      <c r="Q145" s="257" t="s">
        <v>827</v>
      </c>
      <c r="R145" s="257"/>
      <c r="S145" s="257"/>
      <c r="T145" s="257"/>
      <c r="U145" s="257"/>
    </row>
    <row r="146" spans="1:21" s="258" customFormat="1" ht="53.25" customHeight="1" x14ac:dyDescent="0.25">
      <c r="A146" s="378" t="e">
        <f t="shared" si="8"/>
        <v>#REF!</v>
      </c>
      <c r="B146" s="380" t="s">
        <v>130</v>
      </c>
      <c r="C146" s="379" t="s">
        <v>131</v>
      </c>
      <c r="D146" s="378" t="s">
        <v>66</v>
      </c>
      <c r="E146" s="380">
        <v>206904.96973333333</v>
      </c>
      <c r="F146" s="380">
        <v>206904.96973333333</v>
      </c>
      <c r="G146" s="380">
        <v>0</v>
      </c>
      <c r="H146" s="380">
        <v>20000</v>
      </c>
      <c r="I146" s="380"/>
      <c r="J146" s="437" t="s">
        <v>808</v>
      </c>
      <c r="K146" s="384"/>
      <c r="L146" s="435" t="s">
        <v>76</v>
      </c>
      <c r="M146" s="258" t="s">
        <v>895</v>
      </c>
      <c r="N146" s="445" t="s">
        <v>896</v>
      </c>
      <c r="O146" s="258" t="s">
        <v>812</v>
      </c>
      <c r="P146" s="258" t="s">
        <v>813</v>
      </c>
      <c r="Q146" s="257" t="s">
        <v>827</v>
      </c>
      <c r="R146" s="257"/>
      <c r="S146" s="257"/>
      <c r="T146" s="257"/>
      <c r="U146" s="257"/>
    </row>
    <row r="147" spans="1:21" s="258" customFormat="1" ht="53.25" customHeight="1" x14ac:dyDescent="0.25">
      <c r="A147" s="378" t="e">
        <f t="shared" si="8"/>
        <v>#REF!</v>
      </c>
      <c r="B147" s="380" t="s">
        <v>67</v>
      </c>
      <c r="C147" s="379" t="s">
        <v>68</v>
      </c>
      <c r="D147" s="378" t="s">
        <v>66</v>
      </c>
      <c r="E147" s="380">
        <v>64958.94</v>
      </c>
      <c r="F147" s="380">
        <v>64958.94</v>
      </c>
      <c r="G147" s="380">
        <v>0</v>
      </c>
      <c r="H147" s="380">
        <v>13000</v>
      </c>
      <c r="I147" s="380"/>
      <c r="J147" s="439" t="s">
        <v>134</v>
      </c>
      <c r="K147" s="384"/>
      <c r="L147" s="435" t="s">
        <v>76</v>
      </c>
      <c r="M147" s="258" t="s">
        <v>895</v>
      </c>
      <c r="N147" s="445" t="s">
        <v>896</v>
      </c>
      <c r="O147" s="258" t="s">
        <v>812</v>
      </c>
      <c r="P147" s="258" t="s">
        <v>813</v>
      </c>
      <c r="Q147" s="257" t="s">
        <v>827</v>
      </c>
      <c r="R147" s="257"/>
      <c r="S147" s="257"/>
      <c r="T147" s="257"/>
      <c r="U147" s="257"/>
    </row>
    <row r="148" spans="1:21" s="258" customFormat="1" ht="53.25" customHeight="1" x14ac:dyDescent="0.25">
      <c r="A148" s="378" t="e">
        <f t="shared" si="8"/>
        <v>#REF!</v>
      </c>
      <c r="B148" s="378" t="s">
        <v>69</v>
      </c>
      <c r="C148" s="379" t="s">
        <v>774</v>
      </c>
      <c r="D148" s="378" t="s">
        <v>66</v>
      </c>
      <c r="E148" s="380">
        <v>5922674.0470867204</v>
      </c>
      <c r="F148" s="380">
        <v>0</v>
      </c>
      <c r="G148" s="380">
        <v>0</v>
      </c>
      <c r="H148" s="380">
        <f>VLOOKUP(B148,'[1]Tháng 7.2025'!$B$23:$H$153,7,0)</f>
        <v>900000</v>
      </c>
      <c r="I148" s="380"/>
      <c r="J148" s="437" t="s">
        <v>772</v>
      </c>
      <c r="K148" s="384"/>
      <c r="L148" s="435" t="s">
        <v>76</v>
      </c>
      <c r="M148" s="258" t="s">
        <v>895</v>
      </c>
      <c r="N148" s="445" t="s">
        <v>896</v>
      </c>
      <c r="O148" s="258" t="s">
        <v>812</v>
      </c>
      <c r="P148" s="258" t="s">
        <v>813</v>
      </c>
      <c r="Q148" s="257" t="s">
        <v>827</v>
      </c>
      <c r="R148" s="257"/>
      <c r="S148" s="257"/>
      <c r="T148" s="257"/>
      <c r="U148" s="257"/>
    </row>
    <row r="149" spans="1:21" s="258" customFormat="1" ht="53.25" customHeight="1" x14ac:dyDescent="0.25">
      <c r="A149" s="378" t="e">
        <f t="shared" si="8"/>
        <v>#REF!</v>
      </c>
      <c r="B149" s="380" t="s">
        <v>72</v>
      </c>
      <c r="C149" s="379" t="s">
        <v>73</v>
      </c>
      <c r="D149" s="378" t="s">
        <v>66</v>
      </c>
      <c r="E149" s="380">
        <v>235630.41759999999</v>
      </c>
      <c r="F149" s="380">
        <v>235630.41759999999</v>
      </c>
      <c r="G149" s="380">
        <v>0</v>
      </c>
      <c r="H149" s="380">
        <v>26000</v>
      </c>
      <c r="I149" s="380"/>
      <c r="J149" s="437" t="s">
        <v>809</v>
      </c>
      <c r="K149" s="384"/>
      <c r="L149" s="435" t="s">
        <v>76</v>
      </c>
      <c r="M149" s="258" t="s">
        <v>895</v>
      </c>
      <c r="N149" s="258" t="s">
        <v>896</v>
      </c>
      <c r="O149" s="258" t="s">
        <v>812</v>
      </c>
      <c r="P149" s="258" t="s">
        <v>813</v>
      </c>
      <c r="Q149" s="257" t="s">
        <v>827</v>
      </c>
      <c r="R149" s="257"/>
      <c r="S149" s="257"/>
      <c r="T149" s="257"/>
      <c r="U149" s="257"/>
    </row>
    <row r="150" spans="1:21" s="258" customFormat="1" ht="53.25" customHeight="1" x14ac:dyDescent="0.25">
      <c r="A150" s="378" t="e">
        <f t="shared" si="8"/>
        <v>#REF!</v>
      </c>
      <c r="B150" s="380" t="s">
        <v>137</v>
      </c>
      <c r="C150" s="379" t="s">
        <v>138</v>
      </c>
      <c r="D150" s="378" t="s">
        <v>66</v>
      </c>
      <c r="E150" s="380">
        <v>100920.97651851852</v>
      </c>
      <c r="F150" s="380">
        <v>0</v>
      </c>
      <c r="G150" s="380">
        <v>0</v>
      </c>
      <c r="H150" s="380">
        <v>16000</v>
      </c>
      <c r="I150" s="380"/>
      <c r="J150" s="437" t="s">
        <v>810</v>
      </c>
      <c r="K150" s="384"/>
      <c r="L150" s="435" t="s">
        <v>76</v>
      </c>
      <c r="M150" s="258" t="s">
        <v>895</v>
      </c>
      <c r="N150" s="445" t="s">
        <v>896</v>
      </c>
      <c r="O150" s="258" t="s">
        <v>812</v>
      </c>
      <c r="P150" s="258" t="s">
        <v>813</v>
      </c>
      <c r="Q150" s="257" t="s">
        <v>827</v>
      </c>
      <c r="R150" s="257"/>
      <c r="S150" s="257"/>
      <c r="T150" s="257"/>
      <c r="U150" s="257"/>
    </row>
    <row r="151" spans="1:21" s="258" customFormat="1" ht="53.25" customHeight="1" x14ac:dyDescent="0.25">
      <c r="A151" s="378" t="e">
        <f t="shared" si="8"/>
        <v>#REF!</v>
      </c>
      <c r="B151" s="378" t="s">
        <v>144</v>
      </c>
      <c r="C151" s="379" t="s">
        <v>145</v>
      </c>
      <c r="D151" s="378" t="s">
        <v>66</v>
      </c>
      <c r="E151" s="380">
        <v>218080</v>
      </c>
      <c r="F151" s="380">
        <v>0</v>
      </c>
      <c r="G151" s="380">
        <v>0</v>
      </c>
      <c r="H151" s="380">
        <v>18000</v>
      </c>
      <c r="I151" s="380"/>
      <c r="J151" s="437" t="s">
        <v>811</v>
      </c>
      <c r="K151" s="384"/>
      <c r="L151" s="435" t="s">
        <v>76</v>
      </c>
      <c r="M151" s="258" t="s">
        <v>895</v>
      </c>
      <c r="N151" s="445" t="s">
        <v>896</v>
      </c>
      <c r="O151" s="258" t="s">
        <v>812</v>
      </c>
      <c r="P151" s="258" t="s">
        <v>813</v>
      </c>
      <c r="Q151" s="257" t="s">
        <v>827</v>
      </c>
      <c r="R151" s="257"/>
      <c r="S151" s="257"/>
      <c r="T151" s="257"/>
      <c r="U151" s="257"/>
    </row>
    <row r="1046055" spans="3:11" s="232" customFormat="1" ht="26.25" customHeight="1" x14ac:dyDescent="0.25">
      <c r="C1046055" s="126"/>
      <c r="H1046055" s="346"/>
      <c r="J1046055" s="347"/>
      <c r="K1046055" s="311"/>
    </row>
  </sheetData>
  <autoFilter ref="A21:AF151" xr:uid="{00000000-0009-0000-0000-000003000000}"/>
  <mergeCells count="6">
    <mergeCell ref="B15:J15"/>
    <mergeCell ref="A10:B10"/>
    <mergeCell ref="A11:B11"/>
    <mergeCell ref="A12:B12"/>
    <mergeCell ref="H12:I12"/>
    <mergeCell ref="B14:J14"/>
  </mergeCells>
  <printOptions horizontalCentered="1"/>
  <pageMargins left="0" right="0" top="0.25" bottom="0.25" header="0.3" footer="0.3"/>
  <pageSetup scale="5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1046154"/>
  <sheetViews>
    <sheetView topLeftCell="A240" zoomScale="80" zoomScaleNormal="80" workbookViewId="0">
      <selection activeCell="L255" sqref="L255"/>
    </sheetView>
  </sheetViews>
  <sheetFormatPr defaultColWidth="9.140625" defaultRowHeight="16.5" x14ac:dyDescent="0.25"/>
  <cols>
    <col min="1" max="1" width="8.85546875" style="232" customWidth="1"/>
    <col min="2" max="2" width="29.85546875" style="232" customWidth="1"/>
    <col min="3" max="3" width="29.85546875" style="347" customWidth="1"/>
    <col min="4" max="4" width="10.42578125" style="232" customWidth="1"/>
    <col min="5" max="5" width="11" style="232" customWidth="1"/>
    <col min="6" max="7" width="11.7109375" style="232" customWidth="1"/>
    <col min="8" max="8" width="9.85546875" style="346" customWidth="1"/>
    <col min="9" max="9" width="9.5703125" style="232" hidden="1" customWidth="1"/>
    <col min="10" max="10" width="61.28515625" style="347" customWidth="1"/>
    <col min="11" max="11" width="19.5703125" style="311" customWidth="1"/>
    <col min="12" max="12" width="26.42578125" style="308" customWidth="1"/>
    <col min="13" max="15" width="5.5703125" style="308" hidden="1" customWidth="1"/>
    <col min="16" max="24" width="5.5703125" style="308" customWidth="1"/>
    <col min="25" max="16384" width="9.140625" style="308"/>
  </cols>
  <sheetData>
    <row r="1" spans="1:20" ht="28.5" hidden="1" customHeight="1" x14ac:dyDescent="0.25">
      <c r="A1" s="232" t="s">
        <v>8</v>
      </c>
      <c r="C1" s="304"/>
      <c r="D1" s="305"/>
      <c r="E1" s="305"/>
      <c r="F1" s="305"/>
      <c r="G1" s="305"/>
      <c r="H1" s="305"/>
      <c r="I1" s="305"/>
      <c r="J1" s="304"/>
      <c r="K1" s="306"/>
      <c r="L1" s="307"/>
      <c r="M1" s="307"/>
      <c r="N1" s="307"/>
      <c r="O1" s="307"/>
      <c r="P1" s="307"/>
      <c r="Q1" s="307"/>
      <c r="R1" s="307"/>
      <c r="S1" s="307"/>
      <c r="T1" s="307"/>
    </row>
    <row r="2" spans="1:20" ht="28.5" hidden="1" customHeight="1" x14ac:dyDescent="0.25">
      <c r="A2" s="309" t="s">
        <v>9</v>
      </c>
      <c r="B2" s="309"/>
      <c r="C2" s="304"/>
      <c r="D2" s="305"/>
      <c r="E2" s="305"/>
      <c r="F2" s="305"/>
      <c r="G2" s="305"/>
      <c r="H2" s="305"/>
      <c r="I2" s="305"/>
      <c r="J2" s="304"/>
      <c r="K2" s="306"/>
      <c r="L2" s="307"/>
      <c r="M2" s="307"/>
      <c r="N2" s="307"/>
      <c r="O2" s="307"/>
      <c r="P2" s="307"/>
      <c r="Q2" s="307"/>
      <c r="R2" s="307"/>
      <c r="S2" s="307"/>
      <c r="T2" s="307"/>
    </row>
    <row r="3" spans="1:20" ht="19.5" hidden="1" customHeight="1" x14ac:dyDescent="0.25">
      <c r="C3" s="304"/>
      <c r="D3" s="305"/>
      <c r="E3" s="305"/>
      <c r="F3" s="305"/>
      <c r="G3" s="305"/>
      <c r="H3" s="305"/>
      <c r="I3" s="305"/>
      <c r="J3" s="304"/>
      <c r="K3" s="306"/>
      <c r="L3" s="307"/>
      <c r="M3" s="307"/>
      <c r="N3" s="307"/>
      <c r="O3" s="307"/>
      <c r="P3" s="307"/>
      <c r="Q3" s="307"/>
      <c r="R3" s="307"/>
      <c r="S3" s="307"/>
      <c r="T3" s="307"/>
    </row>
    <row r="4" spans="1:20" ht="14.25" hidden="1" customHeight="1" x14ac:dyDescent="0.25">
      <c r="C4" s="304"/>
      <c r="D4" s="305"/>
      <c r="E4" s="305"/>
      <c r="F4" s="305"/>
      <c r="G4" s="305"/>
      <c r="H4" s="305"/>
      <c r="I4" s="305"/>
      <c r="J4" s="304"/>
      <c r="K4" s="306"/>
      <c r="L4" s="307"/>
      <c r="M4" s="307"/>
      <c r="N4" s="307"/>
      <c r="O4" s="307"/>
      <c r="P4" s="307"/>
      <c r="Q4" s="307"/>
      <c r="R4" s="307"/>
      <c r="S4" s="307"/>
      <c r="T4" s="307"/>
    </row>
    <row r="5" spans="1:20" ht="14.25" hidden="1" customHeight="1" x14ac:dyDescent="0.25">
      <c r="B5" s="232" t="s">
        <v>14</v>
      </c>
      <c r="C5" s="304"/>
      <c r="D5" s="305"/>
      <c r="E5" s="305"/>
      <c r="F5" s="305"/>
      <c r="G5" s="305"/>
      <c r="H5" s="305"/>
      <c r="I5" s="305"/>
      <c r="J5" s="304"/>
      <c r="K5" s="306"/>
      <c r="L5" s="307"/>
      <c r="M5" s="307"/>
      <c r="N5" s="307"/>
      <c r="O5" s="307"/>
      <c r="P5" s="307"/>
      <c r="Q5" s="307"/>
      <c r="R5" s="307"/>
      <c r="S5" s="307"/>
      <c r="T5" s="307"/>
    </row>
    <row r="6" spans="1:20" ht="14.25" hidden="1" customHeight="1" x14ac:dyDescent="0.25">
      <c r="B6" s="232" t="s">
        <v>12</v>
      </c>
      <c r="C6" s="304"/>
      <c r="D6" s="305"/>
      <c r="E6" s="305"/>
      <c r="F6" s="305"/>
      <c r="G6" s="305"/>
      <c r="H6" s="305"/>
      <c r="I6" s="305"/>
      <c r="J6" s="304"/>
      <c r="K6" s="306"/>
      <c r="L6" s="307"/>
      <c r="M6" s="307"/>
      <c r="N6" s="307"/>
      <c r="O6" s="307"/>
      <c r="P6" s="307"/>
      <c r="Q6" s="307"/>
      <c r="R6" s="307"/>
      <c r="S6" s="307"/>
      <c r="T6" s="307"/>
    </row>
    <row r="7" spans="1:20" ht="14.25" hidden="1" customHeight="1" x14ac:dyDescent="0.25">
      <c r="B7" s="232" t="s">
        <v>15</v>
      </c>
      <c r="C7" s="304"/>
      <c r="D7" s="305"/>
      <c r="E7" s="305"/>
      <c r="F7" s="305"/>
      <c r="G7" s="305"/>
      <c r="H7" s="305"/>
      <c r="I7" s="305"/>
      <c r="J7" s="304"/>
      <c r="K7" s="306"/>
      <c r="L7" s="307"/>
      <c r="M7" s="307"/>
      <c r="N7" s="307"/>
      <c r="O7" s="307"/>
      <c r="P7" s="307"/>
      <c r="Q7" s="307"/>
      <c r="R7" s="307"/>
      <c r="S7" s="307"/>
      <c r="T7" s="307"/>
    </row>
    <row r="8" spans="1:20" ht="14.25" hidden="1" customHeight="1" x14ac:dyDescent="0.25">
      <c r="B8" s="232" t="s">
        <v>13</v>
      </c>
      <c r="C8" s="304"/>
      <c r="D8" s="305"/>
      <c r="E8" s="305"/>
      <c r="F8" s="305"/>
      <c r="G8" s="305"/>
      <c r="H8" s="305"/>
      <c r="I8" s="305"/>
      <c r="J8" s="304"/>
      <c r="K8" s="306"/>
      <c r="L8" s="307"/>
      <c r="M8" s="307"/>
      <c r="N8" s="307"/>
      <c r="O8" s="307"/>
      <c r="P8" s="307"/>
      <c r="Q8" s="307"/>
      <c r="R8" s="307"/>
      <c r="S8" s="307"/>
      <c r="T8" s="307"/>
    </row>
    <row r="9" spans="1:20" ht="14.25" hidden="1" customHeight="1" x14ac:dyDescent="0.25">
      <c r="C9" s="304"/>
      <c r="D9" s="305"/>
      <c r="E9" s="305"/>
      <c r="F9" s="305"/>
      <c r="G9" s="305"/>
      <c r="H9" s="305"/>
      <c r="I9" s="305"/>
      <c r="J9" s="304"/>
      <c r="K9" s="306"/>
      <c r="L9" s="307"/>
      <c r="M9" s="307"/>
      <c r="N9" s="307"/>
      <c r="O9" s="307"/>
      <c r="P9" s="307"/>
      <c r="Q9" s="307"/>
      <c r="R9" s="307"/>
      <c r="S9" s="307"/>
      <c r="T9" s="307"/>
    </row>
    <row r="10" spans="1:20" ht="45" customHeight="1" x14ac:dyDescent="0.25">
      <c r="A10" s="492" t="s">
        <v>109</v>
      </c>
      <c r="B10" s="492"/>
      <c r="C10" s="304"/>
      <c r="D10" s="305"/>
      <c r="E10" s="305"/>
      <c r="F10" s="305"/>
      <c r="G10" s="305"/>
      <c r="H10" s="305"/>
      <c r="I10" s="305"/>
      <c r="J10" s="310" t="s">
        <v>371</v>
      </c>
      <c r="L10" s="307"/>
      <c r="M10" s="307"/>
      <c r="N10" s="307"/>
      <c r="O10" s="307"/>
      <c r="P10" s="307"/>
      <c r="Q10" s="307"/>
      <c r="R10" s="307"/>
      <c r="S10" s="307"/>
      <c r="T10" s="307"/>
    </row>
    <row r="11" spans="1:20" ht="18.75" x14ac:dyDescent="0.25">
      <c r="A11" s="493" t="s">
        <v>9</v>
      </c>
      <c r="B11" s="493"/>
      <c r="C11" s="312"/>
      <c r="D11" s="313"/>
      <c r="E11" s="313"/>
      <c r="F11" s="313"/>
      <c r="G11" s="313"/>
      <c r="H11" s="313"/>
      <c r="I11" s="313"/>
      <c r="J11" s="312"/>
      <c r="K11" s="314"/>
      <c r="L11" s="315"/>
      <c r="M11" s="315"/>
      <c r="N11" s="315"/>
      <c r="O11" s="315"/>
      <c r="P11" s="315"/>
      <c r="Q11" s="315"/>
      <c r="R11" s="315"/>
      <c r="S11" s="315"/>
      <c r="T11" s="315"/>
    </row>
    <row r="12" spans="1:20" x14ac:dyDescent="0.25">
      <c r="A12" s="491" t="s">
        <v>893</v>
      </c>
      <c r="B12" s="491"/>
      <c r="C12" s="226"/>
      <c r="H12" s="494"/>
      <c r="I12" s="494"/>
      <c r="J12" s="226"/>
    </row>
    <row r="13" spans="1:20" x14ac:dyDescent="0.25">
      <c r="C13" s="226"/>
      <c r="H13" s="232"/>
      <c r="J13" s="226"/>
    </row>
    <row r="14" spans="1:20" s="317" customFormat="1" ht="25.5" x14ac:dyDescent="0.25">
      <c r="A14" s="316"/>
      <c r="B14" s="495" t="s">
        <v>368</v>
      </c>
      <c r="C14" s="495"/>
      <c r="D14" s="495"/>
      <c r="E14" s="495"/>
      <c r="F14" s="495"/>
      <c r="G14" s="495"/>
      <c r="H14" s="495"/>
      <c r="I14" s="495"/>
      <c r="J14" s="495"/>
      <c r="K14" s="306"/>
    </row>
    <row r="15" spans="1:20" x14ac:dyDescent="0.25">
      <c r="B15" s="491" t="s">
        <v>1242</v>
      </c>
      <c r="C15" s="491"/>
      <c r="D15" s="491"/>
      <c r="E15" s="491"/>
      <c r="F15" s="491"/>
      <c r="G15" s="491"/>
      <c r="H15" s="491"/>
      <c r="I15" s="491"/>
      <c r="J15" s="491"/>
      <c r="K15" s="318"/>
    </row>
    <row r="16" spans="1:20" x14ac:dyDescent="0.25">
      <c r="C16" s="226"/>
      <c r="H16" s="232"/>
      <c r="J16" s="226"/>
      <c r="K16" s="318"/>
    </row>
    <row r="17" spans="1:24" x14ac:dyDescent="0.25">
      <c r="B17" s="232" t="s">
        <v>220</v>
      </c>
      <c r="C17" s="226"/>
      <c r="H17" s="232"/>
      <c r="J17" s="226" t="s">
        <v>797</v>
      </c>
      <c r="K17" s="318"/>
    </row>
    <row r="18" spans="1:24" x14ac:dyDescent="0.25">
      <c r="B18" s="232" t="s">
        <v>1241</v>
      </c>
      <c r="C18" s="226"/>
      <c r="H18" s="232"/>
      <c r="J18" s="226" t="s">
        <v>513</v>
      </c>
      <c r="K18" s="318"/>
    </row>
    <row r="19" spans="1:24" x14ac:dyDescent="0.25">
      <c r="C19" s="226"/>
      <c r="H19" s="232"/>
      <c r="J19" s="226" t="s">
        <v>514</v>
      </c>
      <c r="K19" s="318"/>
    </row>
    <row r="20" spans="1:24" x14ac:dyDescent="0.25">
      <c r="A20" s="319"/>
      <c r="B20" s="319"/>
      <c r="C20" s="320"/>
      <c r="D20" s="319"/>
      <c r="E20" s="319"/>
      <c r="F20" s="319"/>
      <c r="G20" s="319"/>
      <c r="H20" s="319"/>
      <c r="I20" s="319"/>
      <c r="J20" s="320"/>
      <c r="K20" s="321"/>
      <c r="L20" s="322"/>
    </row>
    <row r="21" spans="1:24" s="261" customFormat="1" ht="101.25" customHeight="1" x14ac:dyDescent="0.25">
      <c r="A21" s="348" t="s">
        <v>5</v>
      </c>
      <c r="B21" s="348" t="s">
        <v>10</v>
      </c>
      <c r="C21" s="349" t="s">
        <v>11</v>
      </c>
      <c r="D21" s="348" t="s">
        <v>6</v>
      </c>
      <c r="E21" s="348" t="s">
        <v>373</v>
      </c>
      <c r="F21" s="348" t="s">
        <v>404</v>
      </c>
      <c r="G21" s="348" t="s">
        <v>946</v>
      </c>
      <c r="H21" s="350" t="s">
        <v>406</v>
      </c>
      <c r="I21" s="351" t="s">
        <v>407</v>
      </c>
      <c r="J21" s="348" t="s">
        <v>408</v>
      </c>
      <c r="K21" s="324" t="s">
        <v>35</v>
      </c>
      <c r="L21" s="325" t="s">
        <v>108</v>
      </c>
      <c r="M21" s="326"/>
      <c r="N21" s="326"/>
      <c r="O21" s="326"/>
      <c r="P21" s="326"/>
      <c r="Q21" s="326"/>
      <c r="R21" s="262"/>
      <c r="S21" s="326"/>
      <c r="T21" s="326"/>
      <c r="U21" s="262"/>
    </row>
    <row r="22" spans="1:24" s="326" customFormat="1" ht="33" customHeight="1" x14ac:dyDescent="0.25">
      <c r="A22" s="352" t="s">
        <v>18</v>
      </c>
      <c r="B22" s="353"/>
      <c r="C22" s="354"/>
      <c r="D22" s="355"/>
      <c r="E22" s="355"/>
      <c r="F22" s="355"/>
      <c r="G22" s="355"/>
      <c r="H22" s="355"/>
      <c r="I22" s="355"/>
      <c r="J22" s="355"/>
      <c r="K22" s="328"/>
      <c r="L22" s="325"/>
      <c r="M22" s="326" t="s">
        <v>895</v>
      </c>
      <c r="N22" s="326" t="s">
        <v>896</v>
      </c>
      <c r="O22" s="326" t="s">
        <v>812</v>
      </c>
      <c r="P22" s="326" t="s">
        <v>813</v>
      </c>
      <c r="Q22" s="326" t="s">
        <v>827</v>
      </c>
      <c r="R22" s="326" t="s">
        <v>840</v>
      </c>
      <c r="S22" s="326" t="s">
        <v>897</v>
      </c>
      <c r="T22" s="326" t="s">
        <v>849</v>
      </c>
      <c r="U22" s="326" t="s">
        <v>852</v>
      </c>
      <c r="V22" s="326" t="s">
        <v>854</v>
      </c>
      <c r="W22" s="326" t="s">
        <v>858</v>
      </c>
      <c r="X22" s="326" t="s">
        <v>870</v>
      </c>
    </row>
    <row r="23" spans="1:24" s="261" customFormat="1" ht="21.75" customHeight="1" x14ac:dyDescent="0.25">
      <c r="A23" s="355">
        <v>1</v>
      </c>
      <c r="B23" s="355" t="s">
        <v>153</v>
      </c>
      <c r="C23" s="356" t="s">
        <v>54</v>
      </c>
      <c r="D23" s="355" t="s">
        <v>2</v>
      </c>
      <c r="E23" s="351">
        <v>2288</v>
      </c>
      <c r="F23" s="351">
        <v>1369</v>
      </c>
      <c r="G23" s="351">
        <f t="shared" ref="G23:G32" si="0">E23-F23</f>
        <v>919</v>
      </c>
      <c r="H23" s="351">
        <v>200</v>
      </c>
      <c r="I23" s="355" t="s">
        <v>905</v>
      </c>
      <c r="J23" s="357" t="s">
        <v>814</v>
      </c>
      <c r="K23" s="331">
        <v>0</v>
      </c>
      <c r="L23" s="327" t="s">
        <v>88</v>
      </c>
      <c r="M23" s="261" t="s">
        <v>895</v>
      </c>
      <c r="N23" s="261" t="s">
        <v>896</v>
      </c>
      <c r="P23" s="326" t="s">
        <v>813</v>
      </c>
      <c r="Q23" s="262"/>
      <c r="R23" s="262"/>
      <c r="S23" s="262"/>
      <c r="T23" s="262"/>
      <c r="U23" s="262"/>
    </row>
    <row r="24" spans="1:24" s="262" customFormat="1" ht="21.75" customHeight="1" x14ac:dyDescent="0.25">
      <c r="A24" s="355">
        <v>2</v>
      </c>
      <c r="B24" s="355" t="s">
        <v>153</v>
      </c>
      <c r="C24" s="356" t="s">
        <v>54</v>
      </c>
      <c r="D24" s="355" t="s">
        <v>2</v>
      </c>
      <c r="E24" s="351">
        <v>2288</v>
      </c>
      <c r="F24" s="351">
        <v>0</v>
      </c>
      <c r="G24" s="351">
        <f t="shared" si="0"/>
        <v>2288</v>
      </c>
      <c r="H24" s="351">
        <v>60</v>
      </c>
      <c r="I24" s="355"/>
      <c r="J24" s="357" t="s">
        <v>161</v>
      </c>
      <c r="K24" s="331">
        <v>0</v>
      </c>
      <c r="L24" s="329" t="s">
        <v>140</v>
      </c>
      <c r="M24" s="262" t="s">
        <v>895</v>
      </c>
      <c r="N24" s="261" t="s">
        <v>896</v>
      </c>
      <c r="O24" s="262" t="s">
        <v>812</v>
      </c>
      <c r="P24" s="326" t="s">
        <v>813</v>
      </c>
    </row>
    <row r="25" spans="1:24" s="262" customFormat="1" ht="21.75" customHeight="1" x14ac:dyDescent="0.25">
      <c r="A25" s="355">
        <f>A24+1</f>
        <v>3</v>
      </c>
      <c r="B25" s="351" t="s">
        <v>141</v>
      </c>
      <c r="C25" s="357" t="s">
        <v>142</v>
      </c>
      <c r="D25" s="355" t="s">
        <v>2</v>
      </c>
      <c r="E25" s="351">
        <v>6240</v>
      </c>
      <c r="F25" s="351">
        <v>0</v>
      </c>
      <c r="G25" s="351">
        <f t="shared" si="0"/>
        <v>6240</v>
      </c>
      <c r="H25" s="351">
        <v>1664</v>
      </c>
      <c r="I25" s="355"/>
      <c r="J25" s="357" t="s">
        <v>143</v>
      </c>
      <c r="K25" s="332"/>
      <c r="L25" s="329" t="s">
        <v>140</v>
      </c>
      <c r="M25" s="262" t="s">
        <v>895</v>
      </c>
      <c r="N25" s="261" t="s">
        <v>896</v>
      </c>
      <c r="O25" s="262" t="s">
        <v>812</v>
      </c>
      <c r="P25" s="326" t="s">
        <v>813</v>
      </c>
    </row>
    <row r="26" spans="1:24" s="262" customFormat="1" ht="21.75" customHeight="1" x14ac:dyDescent="0.25">
      <c r="A26" s="355">
        <f t="shared" ref="A26:A50" si="1">A25+1</f>
        <v>4</v>
      </c>
      <c r="B26" s="351" t="s">
        <v>158</v>
      </c>
      <c r="C26" s="357" t="s">
        <v>159</v>
      </c>
      <c r="D26" s="355" t="s">
        <v>2</v>
      </c>
      <c r="E26" s="351">
        <v>624</v>
      </c>
      <c r="F26" s="351">
        <v>0</v>
      </c>
      <c r="G26" s="351">
        <f t="shared" si="0"/>
        <v>624</v>
      </c>
      <c r="H26" s="351">
        <f>VLOOKUP(B26,'[1]Tháng 7.2025'!$B$23:$H$153,7,0)</f>
        <v>60</v>
      </c>
      <c r="I26" s="355"/>
      <c r="K26" s="332"/>
      <c r="L26" s="329" t="s">
        <v>140</v>
      </c>
      <c r="M26" s="262" t="s">
        <v>895</v>
      </c>
      <c r="N26" s="261" t="s">
        <v>896</v>
      </c>
      <c r="O26" s="262" t="s">
        <v>812</v>
      </c>
      <c r="P26" s="326" t="s">
        <v>813</v>
      </c>
    </row>
    <row r="27" spans="1:24" s="261" customFormat="1" ht="21.75" customHeight="1" x14ac:dyDescent="0.25">
      <c r="A27" s="355">
        <f t="shared" si="1"/>
        <v>5</v>
      </c>
      <c r="B27" s="351" t="s">
        <v>515</v>
      </c>
      <c r="C27" s="357" t="s">
        <v>516</v>
      </c>
      <c r="D27" s="355" t="s">
        <v>2</v>
      </c>
      <c r="E27" s="351">
        <v>1944</v>
      </c>
      <c r="F27" s="351">
        <v>0</v>
      </c>
      <c r="G27" s="351">
        <f t="shared" si="0"/>
        <v>1944</v>
      </c>
      <c r="H27" s="351">
        <v>60</v>
      </c>
      <c r="I27" s="355"/>
      <c r="J27" s="357" t="s">
        <v>160</v>
      </c>
      <c r="K27" s="331"/>
      <c r="L27" s="323" t="s">
        <v>88</v>
      </c>
      <c r="M27" s="333" t="s">
        <v>895</v>
      </c>
      <c r="N27" s="333"/>
      <c r="O27" s="333"/>
      <c r="P27" s="326"/>
      <c r="Q27" s="334"/>
      <c r="R27" s="334"/>
      <c r="S27" s="334"/>
      <c r="T27" s="262"/>
      <c r="U27" s="262"/>
    </row>
    <row r="28" spans="1:24" s="261" customFormat="1" ht="21.75" customHeight="1" x14ac:dyDescent="0.25">
      <c r="A28" s="355">
        <f t="shared" si="1"/>
        <v>6</v>
      </c>
      <c r="B28" s="351" t="s">
        <v>850</v>
      </c>
      <c r="C28" s="357" t="s">
        <v>633</v>
      </c>
      <c r="D28" s="355" t="s">
        <v>2</v>
      </c>
      <c r="E28" s="351">
        <v>927</v>
      </c>
      <c r="F28" s="351">
        <v>0</v>
      </c>
      <c r="G28" s="351">
        <f t="shared" si="0"/>
        <v>927</v>
      </c>
      <c r="H28" s="358">
        <v>50</v>
      </c>
      <c r="I28" s="355"/>
      <c r="J28" s="356" t="s">
        <v>851</v>
      </c>
      <c r="K28" s="331"/>
      <c r="L28" s="323" t="s">
        <v>88</v>
      </c>
      <c r="M28" s="333" t="s">
        <v>895</v>
      </c>
      <c r="N28" s="333" t="s">
        <v>896</v>
      </c>
      <c r="O28" s="333"/>
      <c r="P28" s="326" t="s">
        <v>813</v>
      </c>
      <c r="Q28" s="334"/>
      <c r="R28" s="334"/>
      <c r="S28" s="334"/>
      <c r="T28" s="262"/>
      <c r="U28" s="262"/>
    </row>
    <row r="29" spans="1:24" s="261" customFormat="1" ht="21.75" customHeight="1" x14ac:dyDescent="0.25">
      <c r="A29" s="355">
        <f t="shared" si="1"/>
        <v>7</v>
      </c>
      <c r="B29" s="351" t="s">
        <v>850</v>
      </c>
      <c r="C29" s="357" t="s">
        <v>633</v>
      </c>
      <c r="D29" s="355" t="s">
        <v>2</v>
      </c>
      <c r="E29" s="351">
        <v>927</v>
      </c>
      <c r="F29" s="351">
        <v>0</v>
      </c>
      <c r="G29" s="351">
        <f t="shared" si="0"/>
        <v>927</v>
      </c>
      <c r="H29" s="358">
        <v>250</v>
      </c>
      <c r="I29" s="355"/>
      <c r="J29" s="356" t="s">
        <v>1177</v>
      </c>
      <c r="K29" s="331"/>
      <c r="L29" s="323" t="s">
        <v>140</v>
      </c>
      <c r="M29" s="333" t="s">
        <v>895</v>
      </c>
      <c r="N29" s="333" t="s">
        <v>896</v>
      </c>
      <c r="O29" s="333" t="s">
        <v>812</v>
      </c>
      <c r="P29" s="326" t="s">
        <v>813</v>
      </c>
      <c r="Q29" s="334"/>
      <c r="R29" s="334"/>
      <c r="S29" s="334"/>
      <c r="T29" s="262"/>
      <c r="U29" s="262"/>
    </row>
    <row r="30" spans="1:24" s="261" customFormat="1" ht="45.75" customHeight="1" x14ac:dyDescent="0.25">
      <c r="A30" s="355">
        <f t="shared" si="1"/>
        <v>8</v>
      </c>
      <c r="B30" s="351" t="s">
        <v>806</v>
      </c>
      <c r="C30" s="357" t="s">
        <v>807</v>
      </c>
      <c r="D30" s="351" t="s">
        <v>2</v>
      </c>
      <c r="E30" s="351">
        <v>2562</v>
      </c>
      <c r="F30" s="351">
        <v>0</v>
      </c>
      <c r="G30" s="351">
        <f t="shared" si="0"/>
        <v>2562</v>
      </c>
      <c r="H30" s="351">
        <f>VLOOKUP(B30,'[1]Tháng 7.2025'!$B$23:$H$153,7,0)</f>
        <v>208</v>
      </c>
      <c r="I30" s="355"/>
      <c r="J30" s="357" t="s">
        <v>833</v>
      </c>
      <c r="K30" s="332">
        <v>1076</v>
      </c>
      <c r="L30" s="327" t="s">
        <v>88</v>
      </c>
      <c r="M30" s="261" t="s">
        <v>895</v>
      </c>
      <c r="N30" s="261" t="s">
        <v>896</v>
      </c>
      <c r="P30" s="326" t="s">
        <v>813</v>
      </c>
      <c r="Q30" s="262"/>
      <c r="R30" s="262"/>
      <c r="S30" s="262"/>
      <c r="T30" s="262"/>
      <c r="U30" s="262"/>
    </row>
    <row r="31" spans="1:24" s="261" customFormat="1" ht="56.25" customHeight="1" x14ac:dyDescent="0.25">
      <c r="A31" s="355">
        <f t="shared" si="1"/>
        <v>9</v>
      </c>
      <c r="B31" s="351" t="s">
        <v>3</v>
      </c>
      <c r="C31" s="357" t="s">
        <v>4</v>
      </c>
      <c r="D31" s="355" t="s">
        <v>2</v>
      </c>
      <c r="E31" s="351">
        <v>1725</v>
      </c>
      <c r="F31" s="351">
        <v>0</v>
      </c>
      <c r="G31" s="351">
        <f t="shared" si="0"/>
        <v>1725</v>
      </c>
      <c r="H31" s="351">
        <v>400</v>
      </c>
      <c r="I31" s="355"/>
      <c r="J31" s="357" t="s">
        <v>823</v>
      </c>
      <c r="K31" s="332" t="s">
        <v>843</v>
      </c>
      <c r="L31" s="327" t="s">
        <v>88</v>
      </c>
      <c r="M31" s="261" t="s">
        <v>895</v>
      </c>
      <c r="N31" s="261" t="s">
        <v>896</v>
      </c>
      <c r="P31" s="326" t="s">
        <v>813</v>
      </c>
      <c r="Q31" s="262"/>
      <c r="R31" s="262"/>
      <c r="S31" s="262"/>
      <c r="T31" s="262"/>
      <c r="U31" s="262"/>
    </row>
    <row r="32" spans="1:24" s="261" customFormat="1" ht="21.75" customHeight="1" x14ac:dyDescent="0.25">
      <c r="A32" s="355">
        <f t="shared" si="1"/>
        <v>10</v>
      </c>
      <c r="B32" s="351" t="s">
        <v>1064</v>
      </c>
      <c r="C32" s="357" t="s">
        <v>1065</v>
      </c>
      <c r="D32" s="355" t="s">
        <v>2</v>
      </c>
      <c r="E32" s="351">
        <v>585</v>
      </c>
      <c r="F32" s="351">
        <v>0</v>
      </c>
      <c r="G32" s="351">
        <f t="shared" si="0"/>
        <v>585</v>
      </c>
      <c r="H32" s="351">
        <v>1253</v>
      </c>
      <c r="I32" s="355"/>
      <c r="J32" s="357" t="s">
        <v>824</v>
      </c>
      <c r="K32" s="332"/>
      <c r="L32" s="327" t="s">
        <v>88</v>
      </c>
      <c r="M32" s="261" t="s">
        <v>895</v>
      </c>
      <c r="N32" s="261" t="s">
        <v>896</v>
      </c>
      <c r="P32" s="326" t="s">
        <v>813</v>
      </c>
      <c r="Q32" s="262"/>
      <c r="R32" s="262"/>
      <c r="S32" s="262"/>
      <c r="T32" s="262"/>
      <c r="U32" s="262"/>
    </row>
    <row r="33" spans="1:21" s="261" customFormat="1" ht="21.75" hidden="1" customHeight="1" x14ac:dyDescent="0.25">
      <c r="A33" s="355">
        <f>A34+1</f>
        <v>12</v>
      </c>
      <c r="B33" s="351" t="s">
        <v>566</v>
      </c>
      <c r="C33" s="357" t="s">
        <v>1181</v>
      </c>
      <c r="D33" s="355" t="s">
        <v>2</v>
      </c>
      <c r="E33" s="351"/>
      <c r="F33" s="351"/>
      <c r="G33" s="351"/>
      <c r="H33" s="351">
        <v>1253</v>
      </c>
      <c r="I33" s="355"/>
      <c r="J33" s="357" t="s">
        <v>1182</v>
      </c>
      <c r="K33" s="332"/>
      <c r="L33" s="327" t="s">
        <v>140</v>
      </c>
      <c r="M33" s="261" t="s">
        <v>895</v>
      </c>
      <c r="N33" s="261" t="s">
        <v>896</v>
      </c>
      <c r="O33" s="261" t="s">
        <v>812</v>
      </c>
      <c r="P33" s="326" t="s">
        <v>813</v>
      </c>
      <c r="Q33" s="262"/>
      <c r="R33" s="262"/>
      <c r="S33" s="262"/>
      <c r="T33" s="262"/>
      <c r="U33" s="262"/>
    </row>
    <row r="34" spans="1:21" s="261" customFormat="1" ht="34.5" customHeight="1" x14ac:dyDescent="0.25">
      <c r="A34" s="355">
        <f>A32+1</f>
        <v>11</v>
      </c>
      <c r="B34" s="351" t="s">
        <v>46</v>
      </c>
      <c r="C34" s="357" t="s">
        <v>1179</v>
      </c>
      <c r="D34" s="355" t="s">
        <v>2</v>
      </c>
      <c r="E34" s="351">
        <v>1717</v>
      </c>
      <c r="F34" s="351">
        <v>0</v>
      </c>
      <c r="G34" s="351">
        <v>0</v>
      </c>
      <c r="H34" s="351">
        <v>50</v>
      </c>
      <c r="I34" s="355"/>
      <c r="J34" s="357" t="s">
        <v>1180</v>
      </c>
      <c r="K34" s="332"/>
      <c r="L34" s="327" t="s">
        <v>140</v>
      </c>
      <c r="M34" s="261" t="s">
        <v>895</v>
      </c>
      <c r="N34" s="261" t="s">
        <v>896</v>
      </c>
      <c r="O34" s="261" t="s">
        <v>812</v>
      </c>
      <c r="P34" s="326" t="s">
        <v>813</v>
      </c>
      <c r="Q34" s="262"/>
      <c r="R34" s="262"/>
      <c r="S34" s="262"/>
      <c r="T34" s="262"/>
      <c r="U34" s="262"/>
    </row>
    <row r="35" spans="1:21" s="261" customFormat="1" ht="21.75" customHeight="1" x14ac:dyDescent="0.25">
      <c r="A35" s="355">
        <f>A33+1</f>
        <v>13</v>
      </c>
      <c r="B35" s="351" t="s">
        <v>56</v>
      </c>
      <c r="C35" s="357" t="s">
        <v>57</v>
      </c>
      <c r="D35" s="355" t="s">
        <v>2</v>
      </c>
      <c r="E35" s="351">
        <v>4389</v>
      </c>
      <c r="F35" s="351">
        <v>0</v>
      </c>
      <c r="G35" s="351">
        <f t="shared" ref="G35:G47" si="2">E35-F35</f>
        <v>4389</v>
      </c>
      <c r="H35" s="351">
        <v>600</v>
      </c>
      <c r="I35" s="355"/>
      <c r="J35" s="357" t="s">
        <v>1178</v>
      </c>
      <c r="K35" s="332"/>
      <c r="L35" s="327" t="s">
        <v>140</v>
      </c>
      <c r="M35" s="261" t="s">
        <v>895</v>
      </c>
      <c r="N35" s="261" t="s">
        <v>896</v>
      </c>
      <c r="O35" s="261" t="s">
        <v>812</v>
      </c>
      <c r="P35" s="326" t="s">
        <v>813</v>
      </c>
      <c r="Q35" s="262"/>
      <c r="R35" s="262"/>
      <c r="S35" s="262"/>
      <c r="T35" s="262"/>
      <c r="U35" s="262"/>
    </row>
    <row r="36" spans="1:21" s="261" customFormat="1" ht="36.75" customHeight="1" x14ac:dyDescent="0.25">
      <c r="A36" s="355">
        <f t="shared" si="1"/>
        <v>14</v>
      </c>
      <c r="B36" s="351" t="s">
        <v>56</v>
      </c>
      <c r="C36" s="357" t="s">
        <v>57</v>
      </c>
      <c r="D36" s="355" t="s">
        <v>2</v>
      </c>
      <c r="E36" s="351">
        <v>4389</v>
      </c>
      <c r="F36" s="351">
        <v>0</v>
      </c>
      <c r="G36" s="351">
        <f t="shared" si="2"/>
        <v>4389</v>
      </c>
      <c r="H36" s="351">
        <v>20</v>
      </c>
      <c r="I36" s="355"/>
      <c r="J36" s="357" t="s">
        <v>1313</v>
      </c>
      <c r="K36" s="332"/>
      <c r="L36" s="327" t="s">
        <v>76</v>
      </c>
      <c r="P36" s="326" t="s">
        <v>813</v>
      </c>
      <c r="Q36" s="262"/>
      <c r="R36" s="262"/>
      <c r="S36" s="262"/>
      <c r="T36" s="262"/>
      <c r="U36" s="262"/>
    </row>
    <row r="37" spans="1:21" s="261" customFormat="1" ht="21.75" customHeight="1" x14ac:dyDescent="0.25">
      <c r="A37" s="355"/>
      <c r="B37" s="351" t="s">
        <v>56</v>
      </c>
      <c r="C37" s="357" t="s">
        <v>57</v>
      </c>
      <c r="D37" s="355" t="s">
        <v>2</v>
      </c>
      <c r="E37" s="351">
        <v>4389</v>
      </c>
      <c r="F37" s="351"/>
      <c r="G37" s="351"/>
      <c r="H37" s="351">
        <v>209</v>
      </c>
      <c r="I37" s="355"/>
      <c r="J37" s="357" t="s">
        <v>217</v>
      </c>
      <c r="K37" s="332"/>
      <c r="L37" s="327" t="s">
        <v>88</v>
      </c>
      <c r="P37" s="326" t="s">
        <v>813</v>
      </c>
      <c r="Q37" s="262"/>
      <c r="R37" s="262"/>
      <c r="S37" s="262"/>
      <c r="T37" s="262"/>
      <c r="U37" s="262"/>
    </row>
    <row r="38" spans="1:21" s="261" customFormat="1" ht="21.75" customHeight="1" x14ac:dyDescent="0.25">
      <c r="A38" s="355">
        <f>A36+1</f>
        <v>15</v>
      </c>
      <c r="B38" s="351" t="s">
        <v>79</v>
      </c>
      <c r="C38" s="357" t="s">
        <v>80</v>
      </c>
      <c r="D38" s="355" t="s">
        <v>2</v>
      </c>
      <c r="E38" s="351">
        <v>4389</v>
      </c>
      <c r="F38" s="351">
        <v>0</v>
      </c>
      <c r="G38" s="351">
        <f t="shared" si="2"/>
        <v>4389</v>
      </c>
      <c r="H38" s="351">
        <v>200</v>
      </c>
      <c r="I38" s="355"/>
      <c r="J38" s="357" t="s">
        <v>1314</v>
      </c>
      <c r="K38" s="332" t="s">
        <v>88</v>
      </c>
      <c r="L38" s="327" t="s">
        <v>88</v>
      </c>
      <c r="N38" s="261" t="s">
        <v>896</v>
      </c>
      <c r="P38" s="326" t="s">
        <v>813</v>
      </c>
      <c r="Q38" s="262"/>
      <c r="R38" s="262"/>
      <c r="S38" s="262"/>
      <c r="T38" s="262"/>
      <c r="U38" s="262"/>
    </row>
    <row r="39" spans="1:21" s="261" customFormat="1" ht="21.75" customHeight="1" x14ac:dyDescent="0.25">
      <c r="A39" s="355">
        <f t="shared" si="1"/>
        <v>16</v>
      </c>
      <c r="B39" s="351" t="s">
        <v>447</v>
      </c>
      <c r="C39" s="357" t="s">
        <v>701</v>
      </c>
      <c r="D39" s="355" t="s">
        <v>2</v>
      </c>
      <c r="E39" s="351">
        <v>2374</v>
      </c>
      <c r="F39" s="351">
        <v>0</v>
      </c>
      <c r="G39" s="351">
        <f t="shared" si="2"/>
        <v>2374</v>
      </c>
      <c r="H39" s="351">
        <v>300</v>
      </c>
      <c r="I39" s="355"/>
      <c r="J39" s="356" t="s">
        <v>778</v>
      </c>
      <c r="K39" s="332"/>
      <c r="L39" s="327" t="s">
        <v>88</v>
      </c>
      <c r="M39" s="261" t="s">
        <v>895</v>
      </c>
      <c r="N39" s="261" t="s">
        <v>896</v>
      </c>
      <c r="P39" s="326" t="s">
        <v>813</v>
      </c>
      <c r="Q39" s="262"/>
      <c r="R39" s="262"/>
      <c r="S39" s="262"/>
      <c r="T39" s="262"/>
      <c r="U39" s="262"/>
    </row>
    <row r="40" spans="1:21" s="261" customFormat="1" ht="46.5" customHeight="1" x14ac:dyDescent="0.25">
      <c r="A40" s="355">
        <f t="shared" si="1"/>
        <v>17</v>
      </c>
      <c r="B40" s="351" t="s">
        <v>447</v>
      </c>
      <c r="C40" s="357" t="s">
        <v>448</v>
      </c>
      <c r="D40" s="355" t="s">
        <v>2</v>
      </c>
      <c r="E40" s="351">
        <v>2374</v>
      </c>
      <c r="F40" s="351">
        <v>0</v>
      </c>
      <c r="G40" s="351">
        <f t="shared" si="2"/>
        <v>2374</v>
      </c>
      <c r="H40" s="351">
        <v>0</v>
      </c>
      <c r="I40" s="355"/>
      <c r="J40" s="357" t="s">
        <v>869</v>
      </c>
      <c r="K40" s="332"/>
      <c r="L40" s="327" t="s">
        <v>88</v>
      </c>
      <c r="Q40" s="262"/>
      <c r="R40" s="262"/>
      <c r="S40" s="262"/>
      <c r="T40" s="262"/>
      <c r="U40" s="262"/>
    </row>
    <row r="41" spans="1:21" s="261" customFormat="1" ht="57.75" customHeight="1" x14ac:dyDescent="0.25">
      <c r="A41" s="355">
        <f t="shared" si="1"/>
        <v>18</v>
      </c>
      <c r="B41" s="351" t="s">
        <v>85</v>
      </c>
      <c r="C41" s="357" t="s">
        <v>86</v>
      </c>
      <c r="D41" s="355" t="s">
        <v>2</v>
      </c>
      <c r="E41" s="351">
        <v>4082</v>
      </c>
      <c r="F41" s="351">
        <v>0</v>
      </c>
      <c r="G41" s="351">
        <f t="shared" si="2"/>
        <v>4082</v>
      </c>
      <c r="H41" s="351">
        <v>600</v>
      </c>
      <c r="I41" s="355"/>
      <c r="J41" s="357" t="s">
        <v>219</v>
      </c>
      <c r="K41" s="332">
        <v>6843</v>
      </c>
      <c r="L41" s="327" t="s">
        <v>140</v>
      </c>
      <c r="M41" s="261" t="s">
        <v>895</v>
      </c>
      <c r="N41" s="261" t="s">
        <v>896</v>
      </c>
      <c r="O41" s="261" t="s">
        <v>812</v>
      </c>
      <c r="P41" s="326" t="s">
        <v>813</v>
      </c>
      <c r="Q41" s="262"/>
      <c r="R41" s="262"/>
      <c r="S41" s="262"/>
      <c r="T41" s="262"/>
      <c r="U41" s="262"/>
    </row>
    <row r="42" spans="1:21" s="262" customFormat="1" ht="21.75" customHeight="1" x14ac:dyDescent="0.25">
      <c r="A42" s="355">
        <f t="shared" si="1"/>
        <v>19</v>
      </c>
      <c r="B42" s="351" t="s">
        <v>83</v>
      </c>
      <c r="C42" s="357" t="s">
        <v>1022</v>
      </c>
      <c r="D42" s="355" t="s">
        <v>2</v>
      </c>
      <c r="E42" s="351">
        <v>4158</v>
      </c>
      <c r="F42" s="351">
        <v>0</v>
      </c>
      <c r="G42" s="351">
        <f t="shared" si="2"/>
        <v>4158</v>
      </c>
      <c r="H42" s="358">
        <v>200</v>
      </c>
      <c r="I42" s="355"/>
      <c r="J42" s="356" t="s">
        <v>778</v>
      </c>
      <c r="K42" s="332"/>
      <c r="L42" s="327" t="s">
        <v>88</v>
      </c>
      <c r="N42" s="335" t="s">
        <v>896</v>
      </c>
      <c r="P42" s="326" t="s">
        <v>813</v>
      </c>
    </row>
    <row r="43" spans="1:21" s="262" customFormat="1" ht="21.75" customHeight="1" x14ac:dyDescent="0.25">
      <c r="A43" s="355">
        <f t="shared" si="1"/>
        <v>20</v>
      </c>
      <c r="B43" s="351" t="s">
        <v>816</v>
      </c>
      <c r="C43" s="357" t="s">
        <v>817</v>
      </c>
      <c r="D43" s="355" t="s">
        <v>2</v>
      </c>
      <c r="E43" s="351">
        <v>0</v>
      </c>
      <c r="F43" s="351">
        <v>0</v>
      </c>
      <c r="G43" s="351">
        <f t="shared" si="2"/>
        <v>0</v>
      </c>
      <c r="H43" s="351">
        <v>300</v>
      </c>
      <c r="I43" s="355"/>
      <c r="J43" s="357" t="s">
        <v>957</v>
      </c>
      <c r="K43" s="332"/>
      <c r="L43" s="329" t="s">
        <v>140</v>
      </c>
      <c r="N43" s="335" t="s">
        <v>896</v>
      </c>
      <c r="P43" s="326" t="s">
        <v>813</v>
      </c>
    </row>
    <row r="44" spans="1:21" s="262" customFormat="1" ht="21.75" customHeight="1" x14ac:dyDescent="0.25">
      <c r="A44" s="355">
        <f t="shared" si="1"/>
        <v>21</v>
      </c>
      <c r="B44" s="351" t="s">
        <v>25</v>
      </c>
      <c r="C44" s="357" t="s">
        <v>703</v>
      </c>
      <c r="D44" s="355" t="s">
        <v>2</v>
      </c>
      <c r="E44" s="351">
        <v>50</v>
      </c>
      <c r="F44" s="351">
        <v>0</v>
      </c>
      <c r="G44" s="351">
        <f t="shared" si="2"/>
        <v>50</v>
      </c>
      <c r="H44" s="351">
        <f>VLOOKUP(B44,'[1]Tháng 7.2025'!$B$23:$H$153,7,0)</f>
        <v>200</v>
      </c>
      <c r="I44" s="355"/>
      <c r="J44" s="357" t="s">
        <v>815</v>
      </c>
      <c r="K44" s="332"/>
      <c r="L44" s="329" t="s">
        <v>88</v>
      </c>
      <c r="M44" s="262" t="s">
        <v>895</v>
      </c>
      <c r="N44" s="262" t="s">
        <v>896</v>
      </c>
      <c r="P44" s="326" t="s">
        <v>813</v>
      </c>
    </row>
    <row r="45" spans="1:21" s="261" customFormat="1" ht="45" customHeight="1" x14ac:dyDescent="0.25">
      <c r="A45" s="355">
        <f t="shared" si="1"/>
        <v>22</v>
      </c>
      <c r="B45" s="351" t="s">
        <v>24</v>
      </c>
      <c r="C45" s="357" t="s">
        <v>43</v>
      </c>
      <c r="D45" s="355" t="s">
        <v>2</v>
      </c>
      <c r="E45" s="351">
        <v>50</v>
      </c>
      <c r="F45" s="351">
        <v>0</v>
      </c>
      <c r="G45" s="351">
        <f t="shared" si="2"/>
        <v>50</v>
      </c>
      <c r="H45" s="351">
        <v>0</v>
      </c>
      <c r="I45" s="355"/>
      <c r="J45" s="357" t="s">
        <v>815</v>
      </c>
      <c r="K45" s="332"/>
      <c r="L45" s="329" t="s">
        <v>88</v>
      </c>
      <c r="M45" s="262" t="s">
        <v>895</v>
      </c>
      <c r="Q45" s="262"/>
      <c r="R45" s="262"/>
      <c r="S45" s="262"/>
      <c r="T45" s="262"/>
      <c r="U45" s="262"/>
    </row>
    <row r="46" spans="1:21" s="261" customFormat="1" ht="57.75" customHeight="1" x14ac:dyDescent="0.25">
      <c r="A46" s="355">
        <f t="shared" si="1"/>
        <v>23</v>
      </c>
      <c r="B46" s="355" t="s">
        <v>841</v>
      </c>
      <c r="C46" s="357" t="s">
        <v>842</v>
      </c>
      <c r="D46" s="351" t="s">
        <v>2</v>
      </c>
      <c r="E46" s="351">
        <v>2740</v>
      </c>
      <c r="F46" s="351">
        <v>0</v>
      </c>
      <c r="G46" s="351">
        <f t="shared" si="2"/>
        <v>2740</v>
      </c>
      <c r="H46" s="351">
        <v>40</v>
      </c>
      <c r="I46" s="355"/>
      <c r="J46" s="359" t="s">
        <v>949</v>
      </c>
      <c r="K46" s="336" t="s">
        <v>110</v>
      </c>
      <c r="L46" s="327" t="s">
        <v>76</v>
      </c>
      <c r="M46" s="261" t="s">
        <v>895</v>
      </c>
      <c r="N46" s="261" t="s">
        <v>896</v>
      </c>
      <c r="O46" s="261" t="s">
        <v>812</v>
      </c>
      <c r="P46" s="261" t="s">
        <v>813</v>
      </c>
      <c r="Q46" s="262"/>
      <c r="R46" s="262"/>
      <c r="S46" s="262"/>
      <c r="T46" s="262"/>
      <c r="U46" s="262"/>
    </row>
    <row r="47" spans="1:21" s="261" customFormat="1" ht="82.5" hidden="1" customHeight="1" x14ac:dyDescent="0.25">
      <c r="A47" s="355">
        <f t="shared" si="1"/>
        <v>24</v>
      </c>
      <c r="B47" s="351" t="s">
        <v>81</v>
      </c>
      <c r="C47" s="357" t="s">
        <v>82</v>
      </c>
      <c r="D47" s="355" t="s">
        <v>66</v>
      </c>
      <c r="E47" s="351">
        <v>0</v>
      </c>
      <c r="F47" s="351">
        <v>0</v>
      </c>
      <c r="G47" s="351">
        <f t="shared" si="2"/>
        <v>0</v>
      </c>
      <c r="H47" s="351">
        <v>540</v>
      </c>
      <c r="I47" s="355"/>
      <c r="J47" s="357" t="s">
        <v>1059</v>
      </c>
      <c r="K47" s="337">
        <v>9385</v>
      </c>
      <c r="L47" s="327" t="s">
        <v>88</v>
      </c>
      <c r="P47" s="326"/>
      <c r="Q47" s="262"/>
      <c r="R47" s="262"/>
      <c r="S47" s="262"/>
      <c r="T47" s="262"/>
      <c r="U47" s="262"/>
    </row>
    <row r="48" spans="1:21" s="261" customFormat="1" ht="38.25" customHeight="1" x14ac:dyDescent="0.25">
      <c r="A48" s="355">
        <f t="shared" si="1"/>
        <v>25</v>
      </c>
      <c r="B48" s="351" t="s">
        <v>945</v>
      </c>
      <c r="C48" s="357" t="s">
        <v>878</v>
      </c>
      <c r="D48" s="355" t="s">
        <v>66</v>
      </c>
      <c r="E48" s="351">
        <v>0</v>
      </c>
      <c r="F48" s="351">
        <v>880</v>
      </c>
      <c r="G48" s="351"/>
      <c r="H48" s="351">
        <v>2400</v>
      </c>
      <c r="I48" s="355"/>
      <c r="J48" s="357" t="s">
        <v>853</v>
      </c>
      <c r="K48" s="337">
        <v>9385</v>
      </c>
      <c r="L48" s="323" t="s">
        <v>1171</v>
      </c>
      <c r="M48" s="261" t="s">
        <v>895</v>
      </c>
      <c r="N48" s="261" t="s">
        <v>896</v>
      </c>
      <c r="O48" s="261" t="s">
        <v>812</v>
      </c>
      <c r="P48" s="261" t="s">
        <v>813</v>
      </c>
      <c r="Q48" s="262"/>
      <c r="R48" s="262"/>
      <c r="S48" s="262"/>
      <c r="T48" s="262"/>
      <c r="U48" s="262"/>
    </row>
    <row r="49" spans="1:21" s="261" customFormat="1" ht="41.25" customHeight="1" x14ac:dyDescent="0.25">
      <c r="A49" s="355">
        <f t="shared" si="1"/>
        <v>26</v>
      </c>
      <c r="B49" s="351" t="s">
        <v>415</v>
      </c>
      <c r="C49" s="357" t="s">
        <v>950</v>
      </c>
      <c r="D49" s="355" t="s">
        <v>66</v>
      </c>
      <c r="E49" s="351">
        <v>3553.5790576240001</v>
      </c>
      <c r="F49" s="351">
        <v>0</v>
      </c>
      <c r="G49" s="351">
        <f>E49-F49</f>
        <v>3553.5790576240001</v>
      </c>
      <c r="H49" s="351">
        <v>510</v>
      </c>
      <c r="I49" s="355"/>
      <c r="J49" s="357" t="s">
        <v>951</v>
      </c>
      <c r="K49" s="337"/>
      <c r="L49" s="327" t="s">
        <v>76</v>
      </c>
      <c r="N49" s="261" t="s">
        <v>896</v>
      </c>
      <c r="O49" s="261" t="s">
        <v>812</v>
      </c>
      <c r="P49" s="261" t="s">
        <v>813</v>
      </c>
      <c r="Q49" s="262"/>
      <c r="R49" s="262"/>
      <c r="S49" s="262"/>
      <c r="T49" s="262"/>
      <c r="U49" s="262"/>
    </row>
    <row r="50" spans="1:21" s="261" customFormat="1" ht="39" customHeight="1" x14ac:dyDescent="0.25">
      <c r="A50" s="355">
        <f t="shared" si="1"/>
        <v>27</v>
      </c>
      <c r="B50" s="351" t="s">
        <v>705</v>
      </c>
      <c r="C50" s="357" t="s">
        <v>706</v>
      </c>
      <c r="D50" s="355" t="s">
        <v>2</v>
      </c>
      <c r="E50" s="351">
        <f>VLOOKUP(B50,'[1]Tháng 7.2025'!$B$23:$H$153,4,0)</f>
        <v>0</v>
      </c>
      <c r="F50" s="351">
        <f>VLOOKUP(B50,'[1]Tháng 7.2025'!$B$23:$H$153,5,0)</f>
        <v>0</v>
      </c>
      <c r="G50" s="351">
        <f>E50-F50</f>
        <v>0</v>
      </c>
      <c r="H50" s="351">
        <v>0</v>
      </c>
      <c r="I50" s="355"/>
      <c r="J50" s="357" t="s">
        <v>707</v>
      </c>
      <c r="K50" s="332"/>
      <c r="L50" s="327" t="s">
        <v>88</v>
      </c>
      <c r="Q50" s="262"/>
      <c r="R50" s="262"/>
      <c r="S50" s="262"/>
      <c r="T50" s="262"/>
      <c r="U50" s="262"/>
    </row>
    <row r="51" spans="1:21" s="261" customFormat="1" ht="39" customHeight="1" x14ac:dyDescent="0.25">
      <c r="A51" s="355"/>
      <c r="B51" s="351" t="s">
        <v>495</v>
      </c>
      <c r="C51" s="357" t="s">
        <v>1311</v>
      </c>
      <c r="D51" s="355" t="s">
        <v>2</v>
      </c>
      <c r="E51" s="351">
        <v>482.6</v>
      </c>
      <c r="F51" s="351"/>
      <c r="G51" s="351"/>
      <c r="H51" s="351">
        <v>200</v>
      </c>
      <c r="I51" s="355"/>
      <c r="J51" s="10" t="s">
        <v>1312</v>
      </c>
      <c r="K51" s="332"/>
      <c r="L51" s="327" t="s">
        <v>88</v>
      </c>
      <c r="P51" s="261" t="s">
        <v>813</v>
      </c>
      <c r="Q51" s="262"/>
      <c r="R51" s="262"/>
      <c r="S51" s="262"/>
      <c r="T51" s="262"/>
      <c r="U51" s="262"/>
    </row>
    <row r="52" spans="1:21" s="261" customFormat="1" ht="39" customHeight="1" x14ac:dyDescent="0.25">
      <c r="A52" s="355"/>
      <c r="B52" s="351" t="s">
        <v>203</v>
      </c>
      <c r="C52" s="357" t="s">
        <v>204</v>
      </c>
      <c r="D52" s="355" t="s">
        <v>2</v>
      </c>
      <c r="E52" s="351">
        <v>1256</v>
      </c>
      <c r="F52" s="351"/>
      <c r="G52" s="351"/>
      <c r="H52" s="351">
        <v>0</v>
      </c>
      <c r="I52" s="355"/>
      <c r="J52" s="10" t="s">
        <v>510</v>
      </c>
      <c r="K52" s="332"/>
      <c r="L52" s="327" t="s">
        <v>88</v>
      </c>
      <c r="Q52" s="262"/>
      <c r="R52" s="262"/>
      <c r="S52" s="262"/>
      <c r="T52" s="262"/>
      <c r="U52" s="262"/>
    </row>
    <row r="53" spans="1:21" s="261" customFormat="1" ht="46.5" customHeight="1" x14ac:dyDescent="0.25">
      <c r="A53" s="355">
        <f>A50+1</f>
        <v>28</v>
      </c>
      <c r="B53" s="351" t="s">
        <v>866</v>
      </c>
      <c r="C53" s="357" t="s">
        <v>867</v>
      </c>
      <c r="D53" s="355" t="s">
        <v>2</v>
      </c>
      <c r="E53" s="351">
        <v>0</v>
      </c>
      <c r="F53" s="351">
        <v>0</v>
      </c>
      <c r="G53" s="351">
        <f>E53-F53</f>
        <v>0</v>
      </c>
      <c r="H53" s="351">
        <v>150</v>
      </c>
      <c r="I53" s="355"/>
      <c r="J53" s="357" t="s">
        <v>958</v>
      </c>
      <c r="K53" s="332"/>
      <c r="L53" s="327" t="s">
        <v>76</v>
      </c>
      <c r="N53" s="261" t="s">
        <v>896</v>
      </c>
      <c r="Q53" s="262"/>
      <c r="R53" s="262"/>
      <c r="S53" s="262"/>
      <c r="T53" s="262"/>
      <c r="U53" s="262"/>
    </row>
    <row r="54" spans="1:21" s="326" customFormat="1" ht="48.75" customHeight="1" x14ac:dyDescent="0.25">
      <c r="A54" s="360" t="s">
        <v>19</v>
      </c>
      <c r="B54" s="356"/>
      <c r="C54" s="356"/>
      <c r="D54" s="355"/>
      <c r="E54" s="351"/>
      <c r="F54" s="351"/>
      <c r="G54" s="351"/>
      <c r="H54" s="351"/>
      <c r="I54" s="355"/>
      <c r="J54" s="355"/>
      <c r="K54" s="328"/>
      <c r="L54" s="325"/>
      <c r="O54" s="261"/>
      <c r="Q54" s="338"/>
      <c r="R54" s="338"/>
      <c r="S54" s="338"/>
      <c r="T54" s="338"/>
      <c r="U54" s="338"/>
    </row>
    <row r="55" spans="1:21" s="261" customFormat="1" ht="48.75" customHeight="1" x14ac:dyDescent="0.25">
      <c r="A55" s="355">
        <f>A53+1</f>
        <v>29</v>
      </c>
      <c r="B55" s="351" t="s">
        <v>819</v>
      </c>
      <c r="C55" s="357" t="s">
        <v>820</v>
      </c>
      <c r="D55" s="355" t="s">
        <v>0</v>
      </c>
      <c r="E55" s="351">
        <v>28</v>
      </c>
      <c r="F55" s="351">
        <f>VLOOKUP(B55,'[1]Tháng 7.2025'!$B$23:$H$153,5,0)</f>
        <v>0</v>
      </c>
      <c r="G55" s="351">
        <f t="shared" ref="G55:G65" si="3">E55-F55</f>
        <v>28</v>
      </c>
      <c r="H55" s="351">
        <v>8</v>
      </c>
      <c r="I55" s="355"/>
      <c r="J55" s="357" t="s">
        <v>1309</v>
      </c>
      <c r="K55" s="331">
        <v>50</v>
      </c>
      <c r="L55" s="327" t="s">
        <v>76</v>
      </c>
      <c r="O55" s="261" t="s">
        <v>812</v>
      </c>
      <c r="P55" s="261" t="s">
        <v>813</v>
      </c>
      <c r="Q55" s="262"/>
      <c r="R55" s="262"/>
      <c r="S55" s="262"/>
      <c r="T55" s="262"/>
      <c r="U55" s="262"/>
    </row>
    <row r="56" spans="1:21" s="261" customFormat="1" ht="37.5" customHeight="1" x14ac:dyDescent="0.25">
      <c r="A56" s="355" t="e">
        <f>A58+1</f>
        <v>#REF!</v>
      </c>
      <c r="B56" s="355" t="s">
        <v>1080</v>
      </c>
      <c r="C56" s="357" t="s">
        <v>1116</v>
      </c>
      <c r="D56" s="351" t="s">
        <v>0</v>
      </c>
      <c r="E56" s="351">
        <v>0</v>
      </c>
      <c r="F56" s="351">
        <v>0</v>
      </c>
      <c r="G56" s="351">
        <f t="shared" si="3"/>
        <v>0</v>
      </c>
      <c r="H56" s="351">
        <v>7</v>
      </c>
      <c r="I56" s="355"/>
      <c r="J56" s="357" t="s">
        <v>1157</v>
      </c>
      <c r="K56" s="332"/>
      <c r="L56" s="327" t="s">
        <v>197</v>
      </c>
      <c r="Q56" s="262"/>
      <c r="R56" s="262"/>
      <c r="S56" s="262"/>
      <c r="T56" s="262"/>
      <c r="U56" s="262"/>
    </row>
    <row r="57" spans="1:21" s="261" customFormat="1" ht="40.5" customHeight="1" x14ac:dyDescent="0.25">
      <c r="A57" s="355">
        <f>A55+1</f>
        <v>30</v>
      </c>
      <c r="B57" s="351" t="s">
        <v>821</v>
      </c>
      <c r="C57" s="357" t="s">
        <v>822</v>
      </c>
      <c r="D57" s="355" t="s">
        <v>0</v>
      </c>
      <c r="E57" s="351">
        <v>10</v>
      </c>
      <c r="F57" s="351">
        <v>0</v>
      </c>
      <c r="G57" s="351">
        <f t="shared" si="3"/>
        <v>10</v>
      </c>
      <c r="H57" s="351">
        <v>2</v>
      </c>
      <c r="I57" s="355"/>
      <c r="J57" s="357" t="s">
        <v>956</v>
      </c>
      <c r="K57" s="332">
        <v>18</v>
      </c>
      <c r="L57" s="327" t="s">
        <v>76</v>
      </c>
      <c r="M57" s="261" t="s">
        <v>895</v>
      </c>
      <c r="N57" s="261" t="s">
        <v>896</v>
      </c>
      <c r="P57" s="261" t="s">
        <v>813</v>
      </c>
      <c r="Q57" s="262"/>
      <c r="R57" s="262"/>
      <c r="S57" s="262"/>
      <c r="T57" s="262"/>
      <c r="U57" s="262"/>
    </row>
    <row r="58" spans="1:21" s="261" customFormat="1" ht="37.5" customHeight="1" x14ac:dyDescent="0.25">
      <c r="A58" s="355" t="e">
        <f>A105+1</f>
        <v>#REF!</v>
      </c>
      <c r="B58" s="355" t="s">
        <v>821</v>
      </c>
      <c r="C58" s="357" t="s">
        <v>1115</v>
      </c>
      <c r="D58" s="351" t="s">
        <v>0</v>
      </c>
      <c r="E58" s="351">
        <v>0</v>
      </c>
      <c r="F58" s="351">
        <v>0</v>
      </c>
      <c r="G58" s="351">
        <f t="shared" si="3"/>
        <v>0</v>
      </c>
      <c r="H58" s="351">
        <v>10</v>
      </c>
      <c r="I58" s="355"/>
      <c r="J58" s="357" t="s">
        <v>1156</v>
      </c>
      <c r="K58" s="332"/>
      <c r="L58" s="327" t="s">
        <v>197</v>
      </c>
      <c r="Q58" s="262"/>
      <c r="R58" s="262"/>
      <c r="S58" s="262"/>
      <c r="T58" s="262"/>
      <c r="U58" s="262"/>
    </row>
    <row r="59" spans="1:21" s="261" customFormat="1" ht="40.5" customHeight="1" x14ac:dyDescent="0.25">
      <c r="A59" s="355">
        <f>A57+1</f>
        <v>31</v>
      </c>
      <c r="B59" s="351" t="s">
        <v>954</v>
      </c>
      <c r="C59" s="357" t="s">
        <v>860</v>
      </c>
      <c r="D59" s="355" t="s">
        <v>0</v>
      </c>
      <c r="E59" s="351">
        <v>8</v>
      </c>
      <c r="F59" s="351">
        <v>0</v>
      </c>
      <c r="G59" s="351">
        <f t="shared" si="3"/>
        <v>8</v>
      </c>
      <c r="H59" s="351">
        <v>1</v>
      </c>
      <c r="I59" s="355"/>
      <c r="J59" s="357" t="s">
        <v>1310</v>
      </c>
      <c r="K59" s="332"/>
      <c r="L59" s="327" t="s">
        <v>76</v>
      </c>
      <c r="N59" s="261" t="s">
        <v>896</v>
      </c>
      <c r="P59" s="261" t="s">
        <v>813</v>
      </c>
      <c r="Q59" s="262"/>
      <c r="R59" s="262"/>
      <c r="S59" s="262"/>
      <c r="T59" s="262"/>
      <c r="U59" s="262"/>
    </row>
    <row r="60" spans="1:21" s="261" customFormat="1" ht="40.5" customHeight="1" x14ac:dyDescent="0.25">
      <c r="A60" s="355">
        <f t="shared" ref="A60:A104" si="4">A59+1</f>
        <v>32</v>
      </c>
      <c r="B60" s="351" t="s">
        <v>828</v>
      </c>
      <c r="C60" s="357" t="s">
        <v>832</v>
      </c>
      <c r="D60" s="355" t="s">
        <v>0</v>
      </c>
      <c r="E60" s="351">
        <v>20</v>
      </c>
      <c r="F60" s="351">
        <v>0</v>
      </c>
      <c r="G60" s="351">
        <f t="shared" si="3"/>
        <v>20</v>
      </c>
      <c r="H60" s="351">
        <v>0</v>
      </c>
      <c r="I60" s="355"/>
      <c r="J60" s="357" t="s">
        <v>953</v>
      </c>
      <c r="K60" s="332"/>
      <c r="L60" s="327" t="s">
        <v>76</v>
      </c>
      <c r="M60" s="261" t="s">
        <v>895</v>
      </c>
      <c r="N60" s="261" t="s">
        <v>896</v>
      </c>
      <c r="Q60" s="262"/>
      <c r="R60" s="262"/>
      <c r="S60" s="262"/>
      <c r="T60" s="262"/>
      <c r="U60" s="262"/>
    </row>
    <row r="61" spans="1:21" s="261" customFormat="1" ht="44.25" customHeight="1" x14ac:dyDescent="0.25">
      <c r="A61" s="355" t="e">
        <f>A68+1</f>
        <v>#REF!</v>
      </c>
      <c r="B61" s="355" t="s">
        <v>828</v>
      </c>
      <c r="C61" s="357" t="s">
        <v>1124</v>
      </c>
      <c r="D61" s="351" t="s">
        <v>0</v>
      </c>
      <c r="E61" s="351">
        <v>0</v>
      </c>
      <c r="F61" s="351">
        <v>0</v>
      </c>
      <c r="G61" s="351">
        <f t="shared" si="3"/>
        <v>0</v>
      </c>
      <c r="H61" s="351">
        <v>9</v>
      </c>
      <c r="I61" s="355"/>
      <c r="J61" s="357" t="s">
        <v>1162</v>
      </c>
      <c r="K61" s="332"/>
      <c r="L61" s="327" t="s">
        <v>197</v>
      </c>
      <c r="Q61" s="262"/>
      <c r="R61" s="262"/>
      <c r="S61" s="262"/>
      <c r="T61" s="262"/>
      <c r="U61" s="262"/>
    </row>
    <row r="62" spans="1:21" s="262" customFormat="1" ht="40.5" customHeight="1" x14ac:dyDescent="0.25">
      <c r="A62" s="355">
        <f>A60+1</f>
        <v>33</v>
      </c>
      <c r="B62" s="351" t="s">
        <v>829</v>
      </c>
      <c r="C62" s="357" t="s">
        <v>830</v>
      </c>
      <c r="D62" s="355" t="s">
        <v>0</v>
      </c>
      <c r="E62" s="351">
        <v>28</v>
      </c>
      <c r="F62" s="351">
        <v>0</v>
      </c>
      <c r="G62" s="351">
        <f t="shared" si="3"/>
        <v>28</v>
      </c>
      <c r="H62" s="351">
        <v>8</v>
      </c>
      <c r="I62" s="355"/>
      <c r="J62" s="357" t="s">
        <v>952</v>
      </c>
      <c r="K62" s="332"/>
      <c r="L62" s="327" t="s">
        <v>76</v>
      </c>
      <c r="M62" s="262" t="s">
        <v>895</v>
      </c>
      <c r="N62" s="262" t="s">
        <v>896</v>
      </c>
      <c r="P62" s="261" t="s">
        <v>813</v>
      </c>
    </row>
    <row r="63" spans="1:21" s="261" customFormat="1" ht="39" customHeight="1" x14ac:dyDescent="0.25">
      <c r="A63" s="355" t="e">
        <f>A87+1</f>
        <v>#REF!</v>
      </c>
      <c r="B63" s="351" t="s">
        <v>829</v>
      </c>
      <c r="C63" s="357" t="s">
        <v>831</v>
      </c>
      <c r="D63" s="355" t="s">
        <v>172</v>
      </c>
      <c r="E63" s="351">
        <v>28</v>
      </c>
      <c r="F63" s="351">
        <v>0</v>
      </c>
      <c r="G63" s="351">
        <f t="shared" si="3"/>
        <v>28</v>
      </c>
      <c r="H63" s="351">
        <v>5</v>
      </c>
      <c r="I63" s="355"/>
      <c r="J63" s="357" t="s">
        <v>859</v>
      </c>
      <c r="K63" s="332"/>
      <c r="L63" s="327" t="s">
        <v>76</v>
      </c>
      <c r="Q63" s="262"/>
      <c r="R63" s="262"/>
      <c r="S63" s="262"/>
      <c r="T63" s="262"/>
      <c r="U63" s="262"/>
    </row>
    <row r="64" spans="1:21" s="261" customFormat="1" ht="44.25" customHeight="1" x14ac:dyDescent="0.25">
      <c r="A64" s="355" t="e">
        <f>A61+1</f>
        <v>#REF!</v>
      </c>
      <c r="B64" s="355" t="s">
        <v>829</v>
      </c>
      <c r="C64" s="357" t="s">
        <v>830</v>
      </c>
      <c r="D64" s="351" t="s">
        <v>0</v>
      </c>
      <c r="E64" s="351">
        <v>0</v>
      </c>
      <c r="F64" s="351">
        <v>0</v>
      </c>
      <c r="G64" s="351">
        <f t="shared" si="3"/>
        <v>0</v>
      </c>
      <c r="H64" s="351">
        <v>8</v>
      </c>
      <c r="I64" s="355"/>
      <c r="J64" s="357" t="s">
        <v>1163</v>
      </c>
      <c r="K64" s="332"/>
      <c r="L64" s="327" t="s">
        <v>197</v>
      </c>
      <c r="Q64" s="262"/>
      <c r="R64" s="262"/>
      <c r="S64" s="262"/>
      <c r="T64" s="262"/>
      <c r="U64" s="262"/>
    </row>
    <row r="65" spans="1:21" s="262" customFormat="1" ht="88.5" customHeight="1" x14ac:dyDescent="0.25">
      <c r="A65" s="355">
        <f>A62+1</f>
        <v>34</v>
      </c>
      <c r="B65" s="351" t="s">
        <v>116</v>
      </c>
      <c r="C65" s="357" t="s">
        <v>64</v>
      </c>
      <c r="D65" s="355" t="s">
        <v>0</v>
      </c>
      <c r="E65" s="351">
        <v>48</v>
      </c>
      <c r="F65" s="351">
        <v>0</v>
      </c>
      <c r="G65" s="351">
        <f t="shared" si="3"/>
        <v>48</v>
      </c>
      <c r="H65" s="351">
        <v>32</v>
      </c>
      <c r="I65" s="355"/>
      <c r="J65" s="357" t="s">
        <v>904</v>
      </c>
      <c r="K65" s="332"/>
      <c r="L65" s="327" t="s">
        <v>76</v>
      </c>
      <c r="M65" s="262" t="s">
        <v>895</v>
      </c>
      <c r="N65" s="262" t="s">
        <v>896</v>
      </c>
      <c r="P65" s="262" t="s">
        <v>813</v>
      </c>
    </row>
    <row r="66" spans="1:21" s="262" customFormat="1" ht="88.5" customHeight="1" x14ac:dyDescent="0.25">
      <c r="A66" s="355"/>
      <c r="B66" s="381" t="s">
        <v>1243</v>
      </c>
      <c r="C66" s="382" t="s">
        <v>1244</v>
      </c>
      <c r="D66" s="355" t="s">
        <v>390</v>
      </c>
      <c r="E66" s="351">
        <v>20000</v>
      </c>
      <c r="F66" s="351">
        <v>0</v>
      </c>
      <c r="G66" s="351">
        <v>15000</v>
      </c>
      <c r="H66" s="351">
        <v>5000</v>
      </c>
      <c r="I66" s="355"/>
      <c r="J66" s="382" t="s">
        <v>1245</v>
      </c>
      <c r="K66" s="332"/>
      <c r="L66" s="327" t="s">
        <v>140</v>
      </c>
      <c r="P66" s="262" t="s">
        <v>813</v>
      </c>
    </row>
    <row r="67" spans="1:21" s="262" customFormat="1" ht="57" customHeight="1" x14ac:dyDescent="0.25">
      <c r="A67" s="355">
        <f>A65+1</f>
        <v>35</v>
      </c>
      <c r="B67" s="361" t="s">
        <v>112</v>
      </c>
      <c r="C67" s="359" t="s">
        <v>60</v>
      </c>
      <c r="D67" s="355" t="s">
        <v>0</v>
      </c>
      <c r="E67" s="351">
        <v>18</v>
      </c>
      <c r="F67" s="351">
        <v>0</v>
      </c>
      <c r="G67" s="351">
        <f t="shared" ref="G67:G73" si="5">E67-F67</f>
        <v>18</v>
      </c>
      <c r="H67" s="351">
        <v>0</v>
      </c>
      <c r="I67" s="355"/>
      <c r="J67" s="362" t="s">
        <v>900</v>
      </c>
      <c r="K67" s="332"/>
      <c r="L67" s="327" t="s">
        <v>76</v>
      </c>
      <c r="M67" s="262" t="s">
        <v>895</v>
      </c>
      <c r="N67" s="262" t="s">
        <v>896</v>
      </c>
    </row>
    <row r="68" spans="1:21" s="261" customFormat="1" ht="75" customHeight="1" x14ac:dyDescent="0.25">
      <c r="A68" s="355" t="e">
        <f>A109+1</f>
        <v>#REF!</v>
      </c>
      <c r="B68" s="355" t="s">
        <v>1087</v>
      </c>
      <c r="C68" s="357" t="s">
        <v>1123</v>
      </c>
      <c r="D68" s="351" t="s">
        <v>0</v>
      </c>
      <c r="E68" s="351">
        <v>0</v>
      </c>
      <c r="F68" s="351">
        <v>0</v>
      </c>
      <c r="G68" s="351">
        <f t="shared" si="5"/>
        <v>0</v>
      </c>
      <c r="H68" s="351">
        <v>12</v>
      </c>
      <c r="I68" s="355"/>
      <c r="J68" s="357" t="s">
        <v>1161</v>
      </c>
      <c r="K68" s="332"/>
      <c r="L68" s="327" t="s">
        <v>197</v>
      </c>
      <c r="Q68" s="262"/>
      <c r="R68" s="262"/>
      <c r="S68" s="262"/>
      <c r="T68" s="262"/>
      <c r="U68" s="262"/>
    </row>
    <row r="69" spans="1:21" s="261" customFormat="1" ht="57.75" customHeight="1" x14ac:dyDescent="0.25">
      <c r="A69" s="355" t="e">
        <f>A64+1</f>
        <v>#REF!</v>
      </c>
      <c r="B69" s="355" t="s">
        <v>1088</v>
      </c>
      <c r="C69" s="357" t="s">
        <v>1125</v>
      </c>
      <c r="D69" s="351" t="s">
        <v>0</v>
      </c>
      <c r="E69" s="351">
        <v>0</v>
      </c>
      <c r="F69" s="351">
        <v>0</v>
      </c>
      <c r="G69" s="351">
        <f t="shared" si="5"/>
        <v>0</v>
      </c>
      <c r="H69" s="351">
        <v>18</v>
      </c>
      <c r="I69" s="355"/>
      <c r="J69" s="357" t="s">
        <v>1161</v>
      </c>
      <c r="K69" s="332"/>
      <c r="L69" s="327" t="s">
        <v>197</v>
      </c>
      <c r="Q69" s="262"/>
      <c r="R69" s="262"/>
      <c r="S69" s="262"/>
      <c r="T69" s="262"/>
      <c r="U69" s="262"/>
    </row>
    <row r="70" spans="1:21" s="261" customFormat="1" ht="81" customHeight="1" x14ac:dyDescent="0.25">
      <c r="A70" s="355">
        <f>A67+1</f>
        <v>36</v>
      </c>
      <c r="B70" s="351" t="s">
        <v>295</v>
      </c>
      <c r="C70" s="357" t="s">
        <v>296</v>
      </c>
      <c r="D70" s="355" t="s">
        <v>0</v>
      </c>
      <c r="E70" s="351">
        <v>0</v>
      </c>
      <c r="F70" s="351">
        <v>0</v>
      </c>
      <c r="G70" s="351">
        <f t="shared" si="5"/>
        <v>0</v>
      </c>
      <c r="H70" s="351">
        <v>6</v>
      </c>
      <c r="I70" s="363"/>
      <c r="J70" s="357" t="s">
        <v>798</v>
      </c>
      <c r="K70" s="332">
        <v>0</v>
      </c>
      <c r="L70" s="327" t="s">
        <v>88</v>
      </c>
      <c r="M70" s="261" t="s">
        <v>895</v>
      </c>
      <c r="Q70" s="262"/>
      <c r="R70" s="262"/>
      <c r="S70" s="262"/>
      <c r="T70" s="262"/>
      <c r="U70" s="262"/>
    </row>
    <row r="71" spans="1:21" s="261" customFormat="1" ht="45" customHeight="1" x14ac:dyDescent="0.25">
      <c r="A71" s="355">
        <f t="shared" si="4"/>
        <v>37</v>
      </c>
      <c r="B71" s="355" t="s">
        <v>89</v>
      </c>
      <c r="C71" s="357" t="s">
        <v>90</v>
      </c>
      <c r="D71" s="355" t="s">
        <v>0</v>
      </c>
      <c r="E71" s="351">
        <v>0</v>
      </c>
      <c r="F71" s="351">
        <v>0</v>
      </c>
      <c r="G71" s="351">
        <f t="shared" si="5"/>
        <v>0</v>
      </c>
      <c r="H71" s="351">
        <f>VLOOKUP(B71,'[1]Tháng 7.2025'!$B$23:$H$153,7,0)</f>
        <v>6</v>
      </c>
      <c r="I71" s="363"/>
      <c r="J71" s="357" t="s">
        <v>97</v>
      </c>
      <c r="K71" s="332">
        <v>0</v>
      </c>
      <c r="L71" s="327" t="s">
        <v>88</v>
      </c>
      <c r="Q71" s="262"/>
      <c r="R71" s="262"/>
      <c r="S71" s="262"/>
      <c r="T71" s="262"/>
      <c r="U71" s="262"/>
    </row>
    <row r="72" spans="1:21" s="261" customFormat="1" ht="75.75" customHeight="1" x14ac:dyDescent="0.25">
      <c r="A72" s="355">
        <f t="shared" si="4"/>
        <v>38</v>
      </c>
      <c r="B72" s="351" t="s">
        <v>855</v>
      </c>
      <c r="C72" s="357" t="s">
        <v>627</v>
      </c>
      <c r="D72" s="355" t="s">
        <v>0</v>
      </c>
      <c r="E72" s="351">
        <v>0</v>
      </c>
      <c r="F72" s="351">
        <v>0</v>
      </c>
      <c r="G72" s="351">
        <f t="shared" si="5"/>
        <v>0</v>
      </c>
      <c r="H72" s="351">
        <v>2</v>
      </c>
      <c r="I72" s="363"/>
      <c r="J72" s="357" t="s">
        <v>628</v>
      </c>
      <c r="K72" s="332"/>
      <c r="L72" s="327" t="s">
        <v>88</v>
      </c>
      <c r="M72" s="261" t="s">
        <v>895</v>
      </c>
      <c r="N72" s="261" t="s">
        <v>896</v>
      </c>
      <c r="Q72" s="262"/>
      <c r="R72" s="262"/>
      <c r="S72" s="262"/>
      <c r="T72" s="262"/>
      <c r="U72" s="262"/>
    </row>
    <row r="73" spans="1:21" s="261" customFormat="1" ht="153.75" customHeight="1" x14ac:dyDescent="0.25">
      <c r="A73" s="355">
        <f t="shared" si="4"/>
        <v>39</v>
      </c>
      <c r="B73" s="351" t="s">
        <v>91</v>
      </c>
      <c r="C73" s="357" t="s">
        <v>92</v>
      </c>
      <c r="D73" s="355" t="s">
        <v>0</v>
      </c>
      <c r="E73" s="351">
        <v>0</v>
      </c>
      <c r="F73" s="351">
        <v>0</v>
      </c>
      <c r="G73" s="351">
        <f t="shared" si="5"/>
        <v>0</v>
      </c>
      <c r="H73" s="351">
        <v>6</v>
      </c>
      <c r="I73" s="363"/>
      <c r="J73" s="357" t="s">
        <v>98</v>
      </c>
      <c r="K73" s="332"/>
      <c r="L73" s="327" t="s">
        <v>88</v>
      </c>
      <c r="M73" s="261" t="s">
        <v>895</v>
      </c>
      <c r="N73" s="261" t="s">
        <v>896</v>
      </c>
      <c r="Q73" s="262"/>
      <c r="R73" s="262"/>
      <c r="S73" s="262"/>
      <c r="T73" s="262"/>
      <c r="U73" s="262"/>
    </row>
    <row r="74" spans="1:21" s="261" customFormat="1" ht="39.75" customHeight="1" x14ac:dyDescent="0.25">
      <c r="A74" s="355" t="e">
        <f>#REF!+1</f>
        <v>#REF!</v>
      </c>
      <c r="B74" s="351" t="s">
        <v>93</v>
      </c>
      <c r="C74" s="357" t="s">
        <v>94</v>
      </c>
      <c r="D74" s="355" t="s">
        <v>0</v>
      </c>
      <c r="E74" s="351">
        <v>12</v>
      </c>
      <c r="F74" s="351">
        <v>0</v>
      </c>
      <c r="G74" s="351">
        <f t="shared" ref="G74:G101" si="6">E74-F74</f>
        <v>12</v>
      </c>
      <c r="H74" s="351">
        <v>6</v>
      </c>
      <c r="I74" s="363"/>
      <c r="J74" s="357" t="s">
        <v>99</v>
      </c>
      <c r="K74" s="332">
        <v>0</v>
      </c>
      <c r="L74" s="327" t="s">
        <v>88</v>
      </c>
      <c r="M74" s="261" t="s">
        <v>895</v>
      </c>
      <c r="N74" s="261" t="s">
        <v>896</v>
      </c>
      <c r="P74" s="262" t="s">
        <v>813</v>
      </c>
      <c r="Q74" s="262"/>
      <c r="R74" s="262"/>
      <c r="S74" s="262"/>
      <c r="T74" s="262"/>
      <c r="U74" s="262"/>
    </row>
    <row r="75" spans="1:21" s="261" customFormat="1" ht="42.75" customHeight="1" x14ac:dyDescent="0.25">
      <c r="A75" s="355" t="e">
        <f t="shared" si="4"/>
        <v>#REF!</v>
      </c>
      <c r="B75" s="351" t="s">
        <v>95</v>
      </c>
      <c r="C75" s="357" t="s">
        <v>96</v>
      </c>
      <c r="D75" s="355" t="s">
        <v>0</v>
      </c>
      <c r="E75" s="351">
        <v>24</v>
      </c>
      <c r="F75" s="351">
        <v>0</v>
      </c>
      <c r="G75" s="351">
        <f t="shared" si="6"/>
        <v>24</v>
      </c>
      <c r="H75" s="351">
        <v>6</v>
      </c>
      <c r="I75" s="363"/>
      <c r="J75" s="357" t="s">
        <v>100</v>
      </c>
      <c r="K75" s="332"/>
      <c r="L75" s="323" t="s">
        <v>88</v>
      </c>
      <c r="M75" s="333" t="s">
        <v>895</v>
      </c>
      <c r="N75" s="261" t="s">
        <v>896</v>
      </c>
      <c r="P75" s="262" t="s">
        <v>813</v>
      </c>
      <c r="Q75" s="262"/>
      <c r="R75" s="334"/>
      <c r="S75" s="334"/>
      <c r="T75" s="262"/>
      <c r="U75" s="262"/>
    </row>
    <row r="76" spans="1:21" s="261" customFormat="1" ht="35.25" customHeight="1" x14ac:dyDescent="0.25">
      <c r="A76" s="355" t="e">
        <f>A78+1</f>
        <v>#REF!</v>
      </c>
      <c r="B76" s="355" t="s">
        <v>519</v>
      </c>
      <c r="C76" s="357" t="s">
        <v>518</v>
      </c>
      <c r="D76" s="351" t="s">
        <v>0</v>
      </c>
      <c r="E76" s="351">
        <v>24</v>
      </c>
      <c r="F76" s="351">
        <v>0</v>
      </c>
      <c r="G76" s="351">
        <f t="shared" si="6"/>
        <v>24</v>
      </c>
      <c r="H76" s="351">
        <v>4</v>
      </c>
      <c r="I76" s="355"/>
      <c r="J76" s="357" t="s">
        <v>1140</v>
      </c>
      <c r="K76" s="332"/>
      <c r="L76" s="327" t="s">
        <v>197</v>
      </c>
      <c r="P76" s="262" t="s">
        <v>813</v>
      </c>
      <c r="Q76" s="262"/>
      <c r="R76" s="262"/>
      <c r="S76" s="262"/>
      <c r="T76" s="262"/>
      <c r="U76" s="262"/>
    </row>
    <row r="77" spans="1:21" s="261" customFormat="1" ht="44.25" customHeight="1" x14ac:dyDescent="0.25">
      <c r="A77" s="355" t="e">
        <f>#REF!+1</f>
        <v>#REF!</v>
      </c>
      <c r="B77" s="355" t="s">
        <v>1082</v>
      </c>
      <c r="C77" s="357" t="s">
        <v>1118</v>
      </c>
      <c r="D77" s="351" t="s">
        <v>0</v>
      </c>
      <c r="E77" s="351">
        <v>24</v>
      </c>
      <c r="F77" s="351">
        <v>0</v>
      </c>
      <c r="G77" s="351">
        <f t="shared" si="6"/>
        <v>24</v>
      </c>
      <c r="H77" s="351">
        <v>24</v>
      </c>
      <c r="I77" s="355"/>
      <c r="J77" s="357" t="s">
        <v>1140</v>
      </c>
      <c r="K77" s="332"/>
      <c r="L77" s="327" t="s">
        <v>197</v>
      </c>
      <c r="P77" s="262" t="s">
        <v>813</v>
      </c>
      <c r="Q77" s="262"/>
      <c r="R77" s="262"/>
      <c r="S77" s="262"/>
      <c r="T77" s="262"/>
      <c r="U77" s="262"/>
    </row>
    <row r="78" spans="1:21" s="261" customFormat="1" ht="35.25" customHeight="1" x14ac:dyDescent="0.25">
      <c r="A78" s="355" t="e">
        <f>A96+1</f>
        <v>#REF!</v>
      </c>
      <c r="B78" s="355" t="s">
        <v>1070</v>
      </c>
      <c r="C78" s="357" t="s">
        <v>1103</v>
      </c>
      <c r="D78" s="351" t="s">
        <v>0</v>
      </c>
      <c r="E78" s="351">
        <v>44</v>
      </c>
      <c r="F78" s="351">
        <v>0</v>
      </c>
      <c r="G78" s="351">
        <f t="shared" si="6"/>
        <v>44</v>
      </c>
      <c r="H78" s="351">
        <v>12</v>
      </c>
      <c r="I78" s="355"/>
      <c r="J78" s="357" t="s">
        <v>1139</v>
      </c>
      <c r="K78" s="332"/>
      <c r="L78" s="327" t="s">
        <v>197</v>
      </c>
      <c r="P78" s="262" t="s">
        <v>813</v>
      </c>
      <c r="Q78" s="262"/>
      <c r="R78" s="262"/>
      <c r="S78" s="262"/>
      <c r="T78" s="262"/>
      <c r="U78" s="262"/>
    </row>
    <row r="79" spans="1:21" s="261" customFormat="1" ht="42.75" customHeight="1" x14ac:dyDescent="0.25">
      <c r="A79" s="355" t="e">
        <f>A75+1</f>
        <v>#REF!</v>
      </c>
      <c r="B79" s="355" t="s">
        <v>630</v>
      </c>
      <c r="C79" s="357" t="s">
        <v>631</v>
      </c>
      <c r="D79" s="355" t="s">
        <v>0</v>
      </c>
      <c r="E79" s="351">
        <v>44</v>
      </c>
      <c r="F79" s="351">
        <v>0</v>
      </c>
      <c r="G79" s="351">
        <f t="shared" si="6"/>
        <v>44</v>
      </c>
      <c r="H79" s="351">
        <v>6</v>
      </c>
      <c r="I79" s="363"/>
      <c r="J79" s="357" t="s">
        <v>101</v>
      </c>
      <c r="K79" s="332"/>
      <c r="L79" s="323" t="s">
        <v>88</v>
      </c>
      <c r="M79" s="333" t="s">
        <v>895</v>
      </c>
      <c r="N79" s="261" t="s">
        <v>896</v>
      </c>
      <c r="O79" s="333"/>
      <c r="P79" s="262" t="s">
        <v>813</v>
      </c>
      <c r="Q79" s="262"/>
      <c r="R79" s="334"/>
      <c r="S79" s="334"/>
      <c r="T79" s="262"/>
      <c r="U79" s="262"/>
    </row>
    <row r="80" spans="1:21" s="261" customFormat="1" ht="56.25" customHeight="1" x14ac:dyDescent="0.25">
      <c r="A80" s="355" t="e">
        <f t="shared" si="4"/>
        <v>#REF!</v>
      </c>
      <c r="B80" s="351" t="s">
        <v>856</v>
      </c>
      <c r="C80" s="357" t="s">
        <v>39</v>
      </c>
      <c r="D80" s="355" t="s">
        <v>0</v>
      </c>
      <c r="E80" s="351">
        <v>6</v>
      </c>
      <c r="F80" s="351">
        <v>0</v>
      </c>
      <c r="G80" s="351">
        <f t="shared" si="6"/>
        <v>6</v>
      </c>
      <c r="H80" s="351">
        <v>5</v>
      </c>
      <c r="I80" s="363"/>
      <c r="J80" s="357" t="s">
        <v>623</v>
      </c>
      <c r="K80" s="332"/>
      <c r="L80" s="327" t="s">
        <v>88</v>
      </c>
      <c r="M80" s="261" t="s">
        <v>895</v>
      </c>
      <c r="N80" s="261" t="s">
        <v>896</v>
      </c>
      <c r="O80" s="333"/>
      <c r="P80" s="262" t="s">
        <v>813</v>
      </c>
      <c r="Q80" s="262"/>
      <c r="R80" s="262"/>
      <c r="S80" s="262"/>
      <c r="T80" s="262"/>
      <c r="U80" s="262"/>
    </row>
    <row r="81" spans="1:21" s="261" customFormat="1" ht="63" customHeight="1" x14ac:dyDescent="0.25">
      <c r="A81" s="355" t="e">
        <f>A83+1</f>
        <v>#REF!</v>
      </c>
      <c r="B81" s="355" t="s">
        <v>1091</v>
      </c>
      <c r="C81" s="357" t="s">
        <v>39</v>
      </c>
      <c r="D81" s="351" t="s">
        <v>0</v>
      </c>
      <c r="E81" s="351">
        <v>6</v>
      </c>
      <c r="F81" s="351">
        <v>0</v>
      </c>
      <c r="G81" s="351">
        <f t="shared" si="6"/>
        <v>6</v>
      </c>
      <c r="H81" s="351">
        <v>4</v>
      </c>
      <c r="I81" s="355"/>
      <c r="J81" s="357" t="s">
        <v>1166</v>
      </c>
      <c r="K81" s="332"/>
      <c r="L81" s="327" t="s">
        <v>197</v>
      </c>
      <c r="P81" s="262" t="s">
        <v>813</v>
      </c>
      <c r="Q81" s="262"/>
      <c r="R81" s="262"/>
      <c r="S81" s="262"/>
      <c r="T81" s="262"/>
      <c r="U81" s="262"/>
    </row>
    <row r="82" spans="1:21" s="261" customFormat="1" ht="56.25" customHeight="1" x14ac:dyDescent="0.25">
      <c r="A82" s="355" t="e">
        <f>A80+1</f>
        <v>#REF!</v>
      </c>
      <c r="B82" s="351" t="s">
        <v>857</v>
      </c>
      <c r="C82" s="357" t="s">
        <v>37</v>
      </c>
      <c r="D82" s="355" t="s">
        <v>17</v>
      </c>
      <c r="E82" s="351">
        <v>12</v>
      </c>
      <c r="F82" s="351">
        <v>0</v>
      </c>
      <c r="G82" s="351">
        <f t="shared" si="6"/>
        <v>12</v>
      </c>
      <c r="H82" s="351">
        <v>4</v>
      </c>
      <c r="I82" s="363"/>
      <c r="J82" s="357" t="s">
        <v>846</v>
      </c>
      <c r="K82" s="332" t="s">
        <v>121</v>
      </c>
      <c r="L82" s="327" t="s">
        <v>88</v>
      </c>
      <c r="M82" s="261" t="s">
        <v>895</v>
      </c>
      <c r="N82" s="261" t="s">
        <v>896</v>
      </c>
      <c r="O82" s="333"/>
      <c r="P82" s="262" t="s">
        <v>813</v>
      </c>
      <c r="Q82" s="262"/>
      <c r="R82" s="262"/>
      <c r="S82" s="262"/>
      <c r="T82" s="262"/>
      <c r="U82" s="262"/>
    </row>
    <row r="83" spans="1:21" s="261" customFormat="1" ht="44.25" customHeight="1" x14ac:dyDescent="0.25">
      <c r="A83" s="355" t="e">
        <f>A111+1</f>
        <v>#REF!</v>
      </c>
      <c r="B83" s="355" t="s">
        <v>1090</v>
      </c>
      <c r="C83" s="357" t="s">
        <v>1127</v>
      </c>
      <c r="D83" s="351" t="s">
        <v>0</v>
      </c>
      <c r="E83" s="351">
        <v>12</v>
      </c>
      <c r="F83" s="351">
        <v>0</v>
      </c>
      <c r="G83" s="351">
        <f t="shared" si="6"/>
        <v>12</v>
      </c>
      <c r="H83" s="351">
        <v>4</v>
      </c>
      <c r="I83" s="355"/>
      <c r="J83" s="357" t="s">
        <v>1166</v>
      </c>
      <c r="K83" s="332"/>
      <c r="L83" s="327" t="s">
        <v>197</v>
      </c>
      <c r="P83" s="262" t="s">
        <v>813</v>
      </c>
      <c r="Q83" s="262"/>
      <c r="R83" s="262"/>
      <c r="S83" s="262"/>
      <c r="T83" s="262"/>
      <c r="U83" s="262"/>
    </row>
    <row r="84" spans="1:21" s="261" customFormat="1" ht="69.75" customHeight="1" x14ac:dyDescent="0.25">
      <c r="A84" s="355" t="e">
        <f>A82+1</f>
        <v>#REF!</v>
      </c>
      <c r="B84" s="351" t="s">
        <v>825</v>
      </c>
      <c r="C84" s="357" t="s">
        <v>26</v>
      </c>
      <c r="D84" s="355" t="s">
        <v>17</v>
      </c>
      <c r="E84" s="351">
        <v>8</v>
      </c>
      <c r="F84" s="351">
        <v>0</v>
      </c>
      <c r="G84" s="351">
        <f t="shared" si="6"/>
        <v>8</v>
      </c>
      <c r="H84" s="351">
        <f>VLOOKUP(B84,'[1]Tháng 7.2025'!$B$23:$H$153,7,0)</f>
        <v>2</v>
      </c>
      <c r="I84" s="363"/>
      <c r="J84" s="357" t="s">
        <v>847</v>
      </c>
      <c r="K84" s="331">
        <v>0</v>
      </c>
      <c r="L84" s="327" t="s">
        <v>88</v>
      </c>
      <c r="M84" s="261" t="s">
        <v>895</v>
      </c>
      <c r="N84" s="261" t="s">
        <v>896</v>
      </c>
      <c r="O84" s="333"/>
      <c r="P84" s="262" t="s">
        <v>813</v>
      </c>
      <c r="Q84" s="262"/>
      <c r="R84" s="262"/>
      <c r="S84" s="262"/>
      <c r="T84" s="262"/>
      <c r="U84" s="262"/>
    </row>
    <row r="85" spans="1:21" s="261" customFormat="1" ht="37.5" customHeight="1" x14ac:dyDescent="0.25">
      <c r="A85" s="355" t="e">
        <f>A104+1</f>
        <v>#REF!</v>
      </c>
      <c r="B85" s="355" t="s">
        <v>1078</v>
      </c>
      <c r="C85" s="357" t="s">
        <v>1113</v>
      </c>
      <c r="D85" s="351" t="s">
        <v>0</v>
      </c>
      <c r="E85" s="351">
        <v>0</v>
      </c>
      <c r="F85" s="351">
        <v>0</v>
      </c>
      <c r="G85" s="351">
        <f t="shared" si="6"/>
        <v>0</v>
      </c>
      <c r="H85" s="351">
        <v>4</v>
      </c>
      <c r="I85" s="355"/>
      <c r="J85" s="357" t="s">
        <v>1154</v>
      </c>
      <c r="K85" s="332"/>
      <c r="L85" s="327" t="s">
        <v>197</v>
      </c>
      <c r="Q85" s="262"/>
      <c r="R85" s="262"/>
      <c r="S85" s="262"/>
      <c r="T85" s="262"/>
      <c r="U85" s="262"/>
    </row>
    <row r="86" spans="1:21" s="262" customFormat="1" ht="33" customHeight="1" x14ac:dyDescent="0.25">
      <c r="A86" s="355" t="e">
        <f>A84+1</f>
        <v>#REF!</v>
      </c>
      <c r="B86" s="351" t="s">
        <v>459</v>
      </c>
      <c r="C86" s="357" t="s">
        <v>460</v>
      </c>
      <c r="D86" s="355" t="s">
        <v>59</v>
      </c>
      <c r="E86" s="351">
        <v>0</v>
      </c>
      <c r="F86" s="351">
        <v>0</v>
      </c>
      <c r="G86" s="351">
        <f t="shared" si="6"/>
        <v>0</v>
      </c>
      <c r="H86" s="351">
        <f>VLOOKUP(B86,'[1]Tháng 7.2025'!$B$23:$H$153,7,0)</f>
        <v>2</v>
      </c>
      <c r="I86" s="363"/>
      <c r="J86" s="357" t="s">
        <v>461</v>
      </c>
      <c r="K86" s="331"/>
      <c r="L86" s="329" t="s">
        <v>140</v>
      </c>
    </row>
    <row r="87" spans="1:21" s="261" customFormat="1" ht="71.25" customHeight="1" x14ac:dyDescent="0.25">
      <c r="A87" s="355" t="e">
        <f t="shared" si="4"/>
        <v>#REF!</v>
      </c>
      <c r="B87" s="351" t="s">
        <v>361</v>
      </c>
      <c r="C87" s="357" t="s">
        <v>362</v>
      </c>
      <c r="D87" s="351" t="s">
        <v>0</v>
      </c>
      <c r="E87" s="351">
        <v>24</v>
      </c>
      <c r="F87" s="351">
        <v>0</v>
      </c>
      <c r="G87" s="351">
        <f t="shared" si="6"/>
        <v>24</v>
      </c>
      <c r="H87" s="351">
        <f>VLOOKUP(B87,'[1]Tháng 7.2025'!$B$23:$H$153,7,0)</f>
        <v>6</v>
      </c>
      <c r="I87" s="351"/>
      <c r="J87" s="357" t="s">
        <v>879</v>
      </c>
      <c r="K87" s="331"/>
      <c r="L87" s="327" t="s">
        <v>88</v>
      </c>
      <c r="M87" s="261" t="s">
        <v>895</v>
      </c>
      <c r="N87" s="261" t="s">
        <v>896</v>
      </c>
      <c r="P87" s="262" t="s">
        <v>813</v>
      </c>
      <c r="Q87" s="262"/>
      <c r="R87" s="262"/>
      <c r="S87" s="262"/>
      <c r="T87" s="262"/>
      <c r="U87" s="262"/>
    </row>
    <row r="88" spans="1:21" s="261" customFormat="1" ht="41.25" customHeight="1" x14ac:dyDescent="0.25">
      <c r="A88" s="355" t="e">
        <f>A63+1</f>
        <v>#REF!</v>
      </c>
      <c r="B88" s="351" t="s">
        <v>335</v>
      </c>
      <c r="C88" s="357" t="s">
        <v>336</v>
      </c>
      <c r="D88" s="355" t="s">
        <v>0</v>
      </c>
      <c r="E88" s="351">
        <v>0</v>
      </c>
      <c r="F88" s="351">
        <v>0</v>
      </c>
      <c r="G88" s="351">
        <f t="shared" si="6"/>
        <v>0</v>
      </c>
      <c r="H88" s="351">
        <v>2</v>
      </c>
      <c r="I88" s="355"/>
      <c r="J88" s="357" t="s">
        <v>1023</v>
      </c>
      <c r="K88" s="332"/>
      <c r="L88" s="327" t="s">
        <v>140</v>
      </c>
      <c r="N88" s="261" t="s">
        <v>896</v>
      </c>
      <c r="Q88" s="262"/>
      <c r="R88" s="262"/>
      <c r="S88" s="262"/>
      <c r="T88" s="262"/>
      <c r="U88" s="262"/>
    </row>
    <row r="89" spans="1:21" s="261" customFormat="1" ht="46.5" customHeight="1" x14ac:dyDescent="0.25">
      <c r="A89" s="355" t="e">
        <f>#REF!+1</f>
        <v>#REF!</v>
      </c>
      <c r="B89" s="355" t="s">
        <v>335</v>
      </c>
      <c r="C89" s="357" t="s">
        <v>336</v>
      </c>
      <c r="D89" s="351" t="s">
        <v>0</v>
      </c>
      <c r="E89" s="351">
        <v>0</v>
      </c>
      <c r="F89" s="351">
        <v>0</v>
      </c>
      <c r="G89" s="351">
        <f t="shared" si="6"/>
        <v>0</v>
      </c>
      <c r="H89" s="351">
        <v>2</v>
      </c>
      <c r="I89" s="355"/>
      <c r="J89" s="357" t="s">
        <v>1146</v>
      </c>
      <c r="K89" s="332"/>
      <c r="L89" s="327" t="s">
        <v>197</v>
      </c>
      <c r="Q89" s="262"/>
      <c r="R89" s="262"/>
      <c r="S89" s="262"/>
      <c r="T89" s="262"/>
      <c r="U89" s="262"/>
    </row>
    <row r="90" spans="1:21" s="261" customFormat="1" ht="58.5" customHeight="1" x14ac:dyDescent="0.25">
      <c r="A90" s="355" t="e">
        <f>A88+1</f>
        <v>#REF!</v>
      </c>
      <c r="B90" s="351" t="s">
        <v>340</v>
      </c>
      <c r="C90" s="357" t="s">
        <v>341</v>
      </c>
      <c r="D90" s="355" t="s">
        <v>0</v>
      </c>
      <c r="E90" s="351">
        <v>0</v>
      </c>
      <c r="F90" s="351">
        <v>0</v>
      </c>
      <c r="G90" s="351">
        <f t="shared" si="6"/>
        <v>0</v>
      </c>
      <c r="H90" s="351">
        <v>2</v>
      </c>
      <c r="I90" s="355"/>
      <c r="J90" s="357" t="s">
        <v>1024</v>
      </c>
      <c r="K90" s="332"/>
      <c r="L90" s="327" t="s">
        <v>140</v>
      </c>
      <c r="N90" s="261" t="s">
        <v>896</v>
      </c>
      <c r="Q90" s="262"/>
      <c r="R90" s="262"/>
      <c r="S90" s="262"/>
      <c r="T90" s="262"/>
      <c r="U90" s="262"/>
    </row>
    <row r="91" spans="1:21" s="261" customFormat="1" ht="57.75" customHeight="1" x14ac:dyDescent="0.25">
      <c r="A91" s="355" t="e">
        <f>#REF!+1</f>
        <v>#REF!</v>
      </c>
      <c r="B91" s="355" t="s">
        <v>340</v>
      </c>
      <c r="C91" s="357" t="s">
        <v>341</v>
      </c>
      <c r="D91" s="351" t="s">
        <v>0</v>
      </c>
      <c r="E91" s="351">
        <v>0</v>
      </c>
      <c r="F91" s="351">
        <v>0</v>
      </c>
      <c r="G91" s="351">
        <f t="shared" si="6"/>
        <v>0</v>
      </c>
      <c r="H91" s="351">
        <v>4</v>
      </c>
      <c r="I91" s="355"/>
      <c r="J91" s="357" t="s">
        <v>1149</v>
      </c>
      <c r="K91" s="332"/>
      <c r="L91" s="327" t="s">
        <v>197</v>
      </c>
      <c r="Q91" s="262"/>
      <c r="R91" s="262"/>
      <c r="S91" s="262"/>
      <c r="T91" s="262"/>
      <c r="U91" s="262"/>
    </row>
    <row r="92" spans="1:21" s="261" customFormat="1" ht="30" customHeight="1" x14ac:dyDescent="0.25">
      <c r="A92" s="355" t="e">
        <f>#REF!+1</f>
        <v>#REF!</v>
      </c>
      <c r="B92" s="355"/>
      <c r="C92" s="357" t="s">
        <v>1062</v>
      </c>
      <c r="D92" s="351" t="s">
        <v>0</v>
      </c>
      <c r="E92" s="351">
        <v>0</v>
      </c>
      <c r="F92" s="351">
        <v>0</v>
      </c>
      <c r="G92" s="351">
        <f t="shared" si="6"/>
        <v>0</v>
      </c>
      <c r="H92" s="351">
        <v>1</v>
      </c>
      <c r="I92" s="355"/>
      <c r="J92" s="357" t="s">
        <v>1063</v>
      </c>
      <c r="K92" s="332"/>
      <c r="L92" s="327" t="s">
        <v>76</v>
      </c>
      <c r="Q92" s="262"/>
      <c r="R92" s="262"/>
      <c r="S92" s="262"/>
      <c r="T92" s="262"/>
      <c r="U92" s="262"/>
    </row>
    <row r="93" spans="1:21" s="261" customFormat="1" ht="58.5" customHeight="1" x14ac:dyDescent="0.25">
      <c r="A93" s="355" t="e">
        <f t="shared" si="4"/>
        <v>#REF!</v>
      </c>
      <c r="B93" s="355" t="s">
        <v>1066</v>
      </c>
      <c r="C93" s="357" t="s">
        <v>1099</v>
      </c>
      <c r="D93" s="351" t="s">
        <v>0</v>
      </c>
      <c r="E93" s="351">
        <v>0</v>
      </c>
      <c r="F93" s="351">
        <v>0</v>
      </c>
      <c r="G93" s="351">
        <f t="shared" si="6"/>
        <v>0</v>
      </c>
      <c r="H93" s="351">
        <v>1014</v>
      </c>
      <c r="I93" s="355"/>
      <c r="J93" s="357" t="s">
        <v>1135</v>
      </c>
      <c r="K93" s="332"/>
      <c r="L93" s="327" t="s">
        <v>197</v>
      </c>
      <c r="Q93" s="262"/>
      <c r="R93" s="262"/>
      <c r="S93" s="262"/>
      <c r="T93" s="262"/>
      <c r="U93" s="262"/>
    </row>
    <row r="94" spans="1:21" s="261" customFormat="1" ht="35.25" customHeight="1" x14ac:dyDescent="0.25">
      <c r="A94" s="355" t="e">
        <f t="shared" si="4"/>
        <v>#REF!</v>
      </c>
      <c r="B94" s="355" t="s">
        <v>1067</v>
      </c>
      <c r="C94" s="357" t="s">
        <v>1100</v>
      </c>
      <c r="D94" s="351" t="s">
        <v>0</v>
      </c>
      <c r="E94" s="351">
        <v>0</v>
      </c>
      <c r="F94" s="351">
        <v>0</v>
      </c>
      <c r="G94" s="351">
        <f t="shared" si="6"/>
        <v>0</v>
      </c>
      <c r="H94" s="351">
        <v>60</v>
      </c>
      <c r="I94" s="355"/>
      <c r="J94" s="357" t="s">
        <v>1136</v>
      </c>
      <c r="K94" s="332"/>
      <c r="L94" s="327" t="s">
        <v>197</v>
      </c>
      <c r="Q94" s="262"/>
      <c r="R94" s="262"/>
      <c r="S94" s="262"/>
      <c r="T94" s="262"/>
      <c r="U94" s="262"/>
    </row>
    <row r="95" spans="1:21" s="261" customFormat="1" ht="35.25" customHeight="1" x14ac:dyDescent="0.25">
      <c r="A95" s="355" t="e">
        <f t="shared" si="4"/>
        <v>#REF!</v>
      </c>
      <c r="B95" s="355" t="s">
        <v>1068</v>
      </c>
      <c r="C95" s="357" t="s">
        <v>1101</v>
      </c>
      <c r="D95" s="351" t="s">
        <v>0</v>
      </c>
      <c r="E95" s="351">
        <v>0</v>
      </c>
      <c r="F95" s="351">
        <v>0</v>
      </c>
      <c r="G95" s="351">
        <f t="shared" si="6"/>
        <v>0</v>
      </c>
      <c r="H95" s="351">
        <v>30</v>
      </c>
      <c r="I95" s="355"/>
      <c r="J95" s="357" t="s">
        <v>1137</v>
      </c>
      <c r="K95" s="332"/>
      <c r="L95" s="327" t="s">
        <v>197</v>
      </c>
      <c r="Q95" s="262"/>
      <c r="R95" s="262"/>
      <c r="S95" s="262"/>
      <c r="T95" s="262"/>
      <c r="U95" s="262"/>
    </row>
    <row r="96" spans="1:21" s="261" customFormat="1" ht="35.25" customHeight="1" x14ac:dyDescent="0.25">
      <c r="A96" s="355" t="e">
        <f t="shared" si="4"/>
        <v>#REF!</v>
      </c>
      <c r="B96" s="355" t="s">
        <v>1069</v>
      </c>
      <c r="C96" s="357" t="s">
        <v>1102</v>
      </c>
      <c r="D96" s="351" t="s">
        <v>0</v>
      </c>
      <c r="E96" s="351">
        <v>0</v>
      </c>
      <c r="F96" s="351">
        <v>0</v>
      </c>
      <c r="G96" s="351">
        <f t="shared" si="6"/>
        <v>0</v>
      </c>
      <c r="H96" s="351">
        <v>500</v>
      </c>
      <c r="I96" s="355"/>
      <c r="J96" s="357" t="s">
        <v>1138</v>
      </c>
      <c r="K96" s="332"/>
      <c r="L96" s="327" t="s">
        <v>197</v>
      </c>
      <c r="Q96" s="262"/>
      <c r="R96" s="262"/>
      <c r="S96" s="262"/>
      <c r="T96" s="262"/>
      <c r="U96" s="262"/>
    </row>
    <row r="97" spans="1:21" s="261" customFormat="1" ht="35.25" customHeight="1" x14ac:dyDescent="0.25">
      <c r="A97" s="355" t="e">
        <f>A76+1</f>
        <v>#REF!</v>
      </c>
      <c r="B97" s="355" t="s">
        <v>871</v>
      </c>
      <c r="C97" s="357" t="s">
        <v>872</v>
      </c>
      <c r="D97" s="351" t="s">
        <v>0</v>
      </c>
      <c r="E97" s="351">
        <v>0</v>
      </c>
      <c r="F97" s="351">
        <v>0</v>
      </c>
      <c r="G97" s="351">
        <f t="shared" si="6"/>
        <v>0</v>
      </c>
      <c r="H97" s="351">
        <v>8</v>
      </c>
      <c r="I97" s="355"/>
      <c r="J97" s="357" t="s">
        <v>1141</v>
      </c>
      <c r="K97" s="332"/>
      <c r="L97" s="327" t="s">
        <v>197</v>
      </c>
      <c r="Q97" s="262"/>
      <c r="R97" s="262"/>
      <c r="S97" s="262"/>
      <c r="T97" s="262"/>
      <c r="U97" s="262"/>
    </row>
    <row r="98" spans="1:21" s="261" customFormat="1" ht="35.25" customHeight="1" x14ac:dyDescent="0.25">
      <c r="A98" s="355" t="e">
        <f t="shared" si="4"/>
        <v>#REF!</v>
      </c>
      <c r="B98" s="355" t="s">
        <v>711</v>
      </c>
      <c r="C98" s="357" t="s">
        <v>712</v>
      </c>
      <c r="D98" s="351" t="s">
        <v>0</v>
      </c>
      <c r="E98" s="351">
        <v>0</v>
      </c>
      <c r="F98" s="351">
        <v>0</v>
      </c>
      <c r="G98" s="351">
        <f t="shared" si="6"/>
        <v>0</v>
      </c>
      <c r="H98" s="351">
        <v>3</v>
      </c>
      <c r="I98" s="355"/>
      <c r="J98" s="357" t="s">
        <v>1141</v>
      </c>
      <c r="K98" s="332"/>
      <c r="L98" s="327" t="s">
        <v>197</v>
      </c>
      <c r="Q98" s="262"/>
      <c r="R98" s="262"/>
      <c r="S98" s="262"/>
      <c r="T98" s="262"/>
      <c r="U98" s="262"/>
    </row>
    <row r="99" spans="1:21" s="262" customFormat="1" ht="25.5" customHeight="1" x14ac:dyDescent="0.25">
      <c r="A99" s="355" t="e">
        <f>#REF!+1</f>
        <v>#REF!</v>
      </c>
      <c r="B99" s="351" t="s">
        <v>871</v>
      </c>
      <c r="C99" s="357" t="s">
        <v>872</v>
      </c>
      <c r="D99" s="351" t="s">
        <v>59</v>
      </c>
      <c r="E99" s="351">
        <v>0</v>
      </c>
      <c r="F99" s="351">
        <v>0</v>
      </c>
      <c r="G99" s="351">
        <f t="shared" si="6"/>
        <v>0</v>
      </c>
      <c r="H99" s="351">
        <v>2</v>
      </c>
      <c r="I99" s="351"/>
      <c r="J99" s="357" t="s">
        <v>874</v>
      </c>
      <c r="K99" s="331"/>
      <c r="L99" s="329" t="s">
        <v>140</v>
      </c>
      <c r="M99" s="262" t="s">
        <v>895</v>
      </c>
    </row>
    <row r="100" spans="1:21" s="262" customFormat="1" ht="39" customHeight="1" x14ac:dyDescent="0.25">
      <c r="A100" s="355" t="e">
        <f>A99+1</f>
        <v>#REF!</v>
      </c>
      <c r="B100" s="351" t="s">
        <v>711</v>
      </c>
      <c r="C100" s="357" t="s">
        <v>712</v>
      </c>
      <c r="D100" s="351" t="s">
        <v>59</v>
      </c>
      <c r="E100" s="351">
        <v>0</v>
      </c>
      <c r="F100" s="351">
        <v>0</v>
      </c>
      <c r="G100" s="351">
        <f t="shared" si="6"/>
        <v>0</v>
      </c>
      <c r="H100" s="351">
        <v>2</v>
      </c>
      <c r="I100" s="351"/>
      <c r="J100" s="357" t="s">
        <v>875</v>
      </c>
      <c r="K100" s="331"/>
      <c r="L100" s="329" t="s">
        <v>140</v>
      </c>
      <c r="M100" s="262" t="s">
        <v>895</v>
      </c>
    </row>
    <row r="101" spans="1:21" s="261" customFormat="1" ht="35.25" customHeight="1" x14ac:dyDescent="0.25">
      <c r="A101" s="355" t="e">
        <f>A98+1</f>
        <v>#REF!</v>
      </c>
      <c r="B101" s="355" t="s">
        <v>716</v>
      </c>
      <c r="C101" s="357" t="s">
        <v>717</v>
      </c>
      <c r="D101" s="351" t="s">
        <v>0</v>
      </c>
      <c r="E101" s="351">
        <v>0</v>
      </c>
      <c r="F101" s="351">
        <v>0</v>
      </c>
      <c r="G101" s="351">
        <f t="shared" si="6"/>
        <v>0</v>
      </c>
      <c r="H101" s="351">
        <v>7</v>
      </c>
      <c r="I101" s="355"/>
      <c r="J101" s="357" t="s">
        <v>1142</v>
      </c>
      <c r="K101" s="332"/>
      <c r="L101" s="327" t="s">
        <v>197</v>
      </c>
      <c r="Q101" s="262"/>
      <c r="R101" s="262"/>
      <c r="S101" s="262"/>
      <c r="T101" s="262"/>
      <c r="U101" s="262"/>
    </row>
    <row r="102" spans="1:21" s="261" customFormat="1" ht="46.5" customHeight="1" x14ac:dyDescent="0.25">
      <c r="A102" s="355" t="e">
        <f>#REF!+1</f>
        <v>#REF!</v>
      </c>
      <c r="B102" s="355" t="s">
        <v>1075</v>
      </c>
      <c r="C102" s="357" t="s">
        <v>1110</v>
      </c>
      <c r="D102" s="351" t="s">
        <v>0</v>
      </c>
      <c r="E102" s="351">
        <v>0</v>
      </c>
      <c r="F102" s="351">
        <v>0</v>
      </c>
      <c r="G102" s="351">
        <f t="shared" ref="G102:G115" si="7">E102-F102</f>
        <v>0</v>
      </c>
      <c r="H102" s="351">
        <v>4</v>
      </c>
      <c r="I102" s="355"/>
      <c r="J102" s="357" t="s">
        <v>1152</v>
      </c>
      <c r="K102" s="332"/>
      <c r="L102" s="327" t="s">
        <v>197</v>
      </c>
      <c r="Q102" s="262"/>
      <c r="R102" s="262"/>
      <c r="S102" s="262"/>
      <c r="T102" s="262"/>
      <c r="U102" s="262"/>
    </row>
    <row r="103" spans="1:21" s="261" customFormat="1" ht="52.5" hidden="1" customHeight="1" x14ac:dyDescent="0.25">
      <c r="A103" s="355" t="e">
        <f t="shared" si="4"/>
        <v>#REF!</v>
      </c>
      <c r="B103" s="355" t="s">
        <v>1076</v>
      </c>
      <c r="C103" s="357" t="s">
        <v>1111</v>
      </c>
      <c r="D103" s="351" t="s">
        <v>0</v>
      </c>
      <c r="E103" s="351">
        <v>0</v>
      </c>
      <c r="F103" s="351">
        <v>0</v>
      </c>
      <c r="G103" s="351">
        <f t="shared" si="7"/>
        <v>0</v>
      </c>
      <c r="H103" s="351">
        <v>1</v>
      </c>
      <c r="I103" s="355"/>
      <c r="J103" s="357" t="s">
        <v>1152</v>
      </c>
      <c r="K103" s="332"/>
      <c r="L103" s="327" t="s">
        <v>197</v>
      </c>
      <c r="Q103" s="262"/>
      <c r="R103" s="262"/>
      <c r="S103" s="262"/>
      <c r="T103" s="262"/>
      <c r="U103" s="262"/>
    </row>
    <row r="104" spans="1:21" s="261" customFormat="1" ht="57.75" customHeight="1" x14ac:dyDescent="0.25">
      <c r="A104" s="355" t="e">
        <f t="shared" si="4"/>
        <v>#REF!</v>
      </c>
      <c r="B104" s="355" t="s">
        <v>1077</v>
      </c>
      <c r="C104" s="357" t="s">
        <v>1112</v>
      </c>
      <c r="D104" s="351" t="s">
        <v>0</v>
      </c>
      <c r="E104" s="351">
        <v>0</v>
      </c>
      <c r="F104" s="351">
        <v>0</v>
      </c>
      <c r="G104" s="351">
        <f t="shared" si="7"/>
        <v>0</v>
      </c>
      <c r="H104" s="351">
        <v>4</v>
      </c>
      <c r="I104" s="355"/>
      <c r="J104" s="357" t="s">
        <v>1153</v>
      </c>
      <c r="K104" s="332"/>
      <c r="L104" s="327" t="s">
        <v>197</v>
      </c>
      <c r="Q104" s="262"/>
      <c r="R104" s="262"/>
      <c r="S104" s="262"/>
      <c r="T104" s="262"/>
      <c r="U104" s="262"/>
    </row>
    <row r="105" spans="1:21" s="261" customFormat="1" ht="69" customHeight="1" x14ac:dyDescent="0.25">
      <c r="A105" s="355" t="e">
        <f>A85+1</f>
        <v>#REF!</v>
      </c>
      <c r="B105" s="355" t="s">
        <v>1079</v>
      </c>
      <c r="C105" s="357" t="s">
        <v>1114</v>
      </c>
      <c r="D105" s="351" t="s">
        <v>0</v>
      </c>
      <c r="E105" s="351">
        <v>0</v>
      </c>
      <c r="F105" s="351">
        <v>0</v>
      </c>
      <c r="G105" s="351">
        <f t="shared" si="7"/>
        <v>0</v>
      </c>
      <c r="H105" s="351">
        <v>234</v>
      </c>
      <c r="I105" s="355"/>
      <c r="J105" s="357" t="s">
        <v>1155</v>
      </c>
      <c r="K105" s="332"/>
      <c r="L105" s="327" t="s">
        <v>197</v>
      </c>
      <c r="Q105" s="262"/>
      <c r="R105" s="262"/>
      <c r="S105" s="262"/>
      <c r="T105" s="262"/>
      <c r="U105" s="262"/>
    </row>
    <row r="106" spans="1:21" s="261" customFormat="1" ht="44.25" customHeight="1" x14ac:dyDescent="0.25">
      <c r="A106" s="355" t="e">
        <f>A77+1</f>
        <v>#REF!</v>
      </c>
      <c r="B106" s="355" t="s">
        <v>1083</v>
      </c>
      <c r="C106" s="357" t="s">
        <v>1119</v>
      </c>
      <c r="D106" s="351" t="s">
        <v>0</v>
      </c>
      <c r="E106" s="351">
        <v>0</v>
      </c>
      <c r="F106" s="351">
        <v>0</v>
      </c>
      <c r="G106" s="351">
        <f t="shared" si="7"/>
        <v>0</v>
      </c>
      <c r="H106" s="351">
        <v>10</v>
      </c>
      <c r="I106" s="355"/>
      <c r="J106" s="357" t="s">
        <v>1159</v>
      </c>
      <c r="K106" s="332"/>
      <c r="L106" s="327" t="s">
        <v>197</v>
      </c>
      <c r="Q106" s="262"/>
      <c r="R106" s="262"/>
      <c r="S106" s="262"/>
      <c r="T106" s="262"/>
      <c r="U106" s="262"/>
    </row>
    <row r="107" spans="1:21" s="262" customFormat="1" ht="25.5" customHeight="1" x14ac:dyDescent="0.25">
      <c r="A107" s="355" t="e">
        <f>A100+1</f>
        <v>#REF!</v>
      </c>
      <c r="B107" s="351" t="s">
        <v>719</v>
      </c>
      <c r="C107" s="357" t="s">
        <v>720</v>
      </c>
      <c r="D107" s="351" t="s">
        <v>0</v>
      </c>
      <c r="E107" s="351">
        <f>VLOOKUP(B107,'[1]Tháng 7.2025'!$B$23:$H$153,4,0)</f>
        <v>10</v>
      </c>
      <c r="F107" s="351">
        <f>VLOOKUP(B107,'[1]Tháng 7.2025'!$B$23:$H$153,5,0)</f>
        <v>2</v>
      </c>
      <c r="G107" s="351">
        <f t="shared" si="7"/>
        <v>8</v>
      </c>
      <c r="H107" s="351">
        <f>VLOOKUP(B107,'[1]Tháng 7.2025'!$B$23:$H$153,7,0)</f>
        <v>10</v>
      </c>
      <c r="I107" s="351"/>
      <c r="J107" s="357" t="s">
        <v>710</v>
      </c>
      <c r="K107" s="331"/>
      <c r="L107" s="329" t="s">
        <v>140</v>
      </c>
    </row>
    <row r="108" spans="1:21" s="261" customFormat="1" ht="44.25" customHeight="1" x14ac:dyDescent="0.25">
      <c r="A108" s="355" t="e">
        <f>A106+1</f>
        <v>#REF!</v>
      </c>
      <c r="B108" s="355" t="s">
        <v>1084</v>
      </c>
      <c r="C108" s="357" t="s">
        <v>1120</v>
      </c>
      <c r="D108" s="351" t="s">
        <v>0</v>
      </c>
      <c r="E108" s="351">
        <v>0</v>
      </c>
      <c r="F108" s="351">
        <v>0</v>
      </c>
      <c r="G108" s="351">
        <f t="shared" si="7"/>
        <v>0</v>
      </c>
      <c r="H108" s="351">
        <v>1</v>
      </c>
      <c r="I108" s="355"/>
      <c r="J108" s="357" t="s">
        <v>1152</v>
      </c>
      <c r="K108" s="332"/>
      <c r="L108" s="327" t="s">
        <v>197</v>
      </c>
      <c r="Q108" s="262"/>
      <c r="R108" s="262"/>
      <c r="S108" s="262"/>
      <c r="T108" s="262"/>
      <c r="U108" s="262"/>
    </row>
    <row r="109" spans="1:21" s="261" customFormat="1" ht="44.25" hidden="1" customHeight="1" x14ac:dyDescent="0.25">
      <c r="A109" s="355" t="e">
        <f>#REF!+1</f>
        <v>#REF!</v>
      </c>
      <c r="B109" s="355" t="s">
        <v>1086</v>
      </c>
      <c r="C109" s="357" t="s">
        <v>1122</v>
      </c>
      <c r="D109" s="351" t="s">
        <v>0</v>
      </c>
      <c r="E109" s="351">
        <v>0</v>
      </c>
      <c r="F109" s="351">
        <v>0</v>
      </c>
      <c r="G109" s="351">
        <f t="shared" si="7"/>
        <v>0</v>
      </c>
      <c r="H109" s="351">
        <v>4</v>
      </c>
      <c r="I109" s="355"/>
      <c r="J109" s="357" t="s">
        <v>1152</v>
      </c>
      <c r="K109" s="332"/>
      <c r="L109" s="327" t="s">
        <v>197</v>
      </c>
      <c r="Q109" s="262"/>
      <c r="R109" s="262"/>
      <c r="S109" s="262"/>
      <c r="T109" s="262"/>
      <c r="U109" s="262"/>
    </row>
    <row r="110" spans="1:21" s="261" customFormat="1" ht="44.25" hidden="1" customHeight="1" x14ac:dyDescent="0.25">
      <c r="A110" s="355" t="e">
        <f>A69+1</f>
        <v>#REF!</v>
      </c>
      <c r="B110" s="355" t="s">
        <v>1089</v>
      </c>
      <c r="C110" s="357" t="s">
        <v>1126</v>
      </c>
      <c r="D110" s="351" t="s">
        <v>0</v>
      </c>
      <c r="E110" s="351">
        <v>0</v>
      </c>
      <c r="F110" s="351">
        <v>0</v>
      </c>
      <c r="G110" s="351">
        <f t="shared" si="7"/>
        <v>0</v>
      </c>
      <c r="H110" s="351">
        <v>4</v>
      </c>
      <c r="I110" s="355"/>
      <c r="J110" s="357" t="s">
        <v>1164</v>
      </c>
      <c r="K110" s="332"/>
      <c r="L110" s="327" t="s">
        <v>197</v>
      </c>
      <c r="Q110" s="262"/>
      <c r="R110" s="262"/>
      <c r="S110" s="262"/>
      <c r="T110" s="262"/>
      <c r="U110" s="262"/>
    </row>
    <row r="111" spans="1:21" s="261" customFormat="1" ht="57.75" hidden="1" customHeight="1" x14ac:dyDescent="0.25">
      <c r="A111" s="355" t="e">
        <f t="shared" ref="A111:A114" si="8">A110+1</f>
        <v>#REF!</v>
      </c>
      <c r="B111" s="355" t="s">
        <v>357</v>
      </c>
      <c r="C111" s="357" t="s">
        <v>358</v>
      </c>
      <c r="D111" s="351" t="s">
        <v>0</v>
      </c>
      <c r="E111" s="351">
        <v>2</v>
      </c>
      <c r="F111" s="351">
        <v>0</v>
      </c>
      <c r="G111" s="351">
        <f t="shared" si="7"/>
        <v>2</v>
      </c>
      <c r="H111" s="351">
        <v>4</v>
      </c>
      <c r="I111" s="355"/>
      <c r="J111" s="357" t="s">
        <v>1165</v>
      </c>
      <c r="K111" s="332"/>
      <c r="L111" s="327" t="s">
        <v>197</v>
      </c>
      <c r="Q111" s="262"/>
      <c r="R111" s="262"/>
      <c r="S111" s="262"/>
      <c r="T111" s="262"/>
      <c r="U111" s="262"/>
    </row>
    <row r="112" spans="1:21" s="261" customFormat="1" ht="63" customHeight="1" x14ac:dyDescent="0.25">
      <c r="A112" s="355" t="e">
        <f>A81+1</f>
        <v>#REF!</v>
      </c>
      <c r="B112" s="355" t="s">
        <v>363</v>
      </c>
      <c r="C112" s="357" t="s">
        <v>364</v>
      </c>
      <c r="D112" s="351" t="s">
        <v>0</v>
      </c>
      <c r="E112" s="351">
        <v>0</v>
      </c>
      <c r="F112" s="351">
        <v>0</v>
      </c>
      <c r="G112" s="351">
        <f t="shared" si="7"/>
        <v>0</v>
      </c>
      <c r="H112" s="351">
        <v>26</v>
      </c>
      <c r="I112" s="355"/>
      <c r="J112" s="357" t="s">
        <v>1167</v>
      </c>
      <c r="K112" s="332"/>
      <c r="L112" s="327" t="s">
        <v>197</v>
      </c>
      <c r="Q112" s="262"/>
      <c r="R112" s="262"/>
      <c r="S112" s="262"/>
      <c r="T112" s="262"/>
      <c r="U112" s="262"/>
    </row>
    <row r="113" spans="1:21" s="261" customFormat="1" ht="63" hidden="1" customHeight="1" x14ac:dyDescent="0.25">
      <c r="A113" s="355" t="e">
        <f t="shared" si="8"/>
        <v>#REF!</v>
      </c>
      <c r="B113" s="355" t="s">
        <v>1092</v>
      </c>
      <c r="C113" s="357" t="s">
        <v>1128</v>
      </c>
      <c r="D113" s="351" t="s">
        <v>0</v>
      </c>
      <c r="E113" s="351">
        <v>0</v>
      </c>
      <c r="F113" s="351">
        <v>0</v>
      </c>
      <c r="G113" s="351">
        <f t="shared" si="7"/>
        <v>0</v>
      </c>
      <c r="H113" s="351">
        <v>2</v>
      </c>
      <c r="I113" s="355"/>
      <c r="J113" s="357" t="s">
        <v>1152</v>
      </c>
      <c r="K113" s="332"/>
      <c r="L113" s="327" t="s">
        <v>197</v>
      </c>
      <c r="Q113" s="262"/>
      <c r="R113" s="262"/>
      <c r="S113" s="262"/>
      <c r="T113" s="262"/>
      <c r="U113" s="262"/>
    </row>
    <row r="114" spans="1:21" s="261" customFormat="1" ht="63" customHeight="1" x14ac:dyDescent="0.25">
      <c r="A114" s="355" t="e">
        <f t="shared" si="8"/>
        <v>#REF!</v>
      </c>
      <c r="B114" s="355" t="s">
        <v>1093</v>
      </c>
      <c r="C114" s="357" t="s">
        <v>1129</v>
      </c>
      <c r="D114" s="351" t="s">
        <v>0</v>
      </c>
      <c r="E114" s="351">
        <v>0</v>
      </c>
      <c r="F114" s="351">
        <v>0</v>
      </c>
      <c r="G114" s="351">
        <f t="shared" si="7"/>
        <v>0</v>
      </c>
      <c r="H114" s="351">
        <v>1</v>
      </c>
      <c r="I114" s="355"/>
      <c r="J114" s="357" t="s">
        <v>1152</v>
      </c>
      <c r="K114" s="332"/>
      <c r="L114" s="327" t="s">
        <v>197</v>
      </c>
      <c r="Q114" s="262"/>
      <c r="R114" s="262"/>
      <c r="S114" s="262"/>
      <c r="T114" s="262"/>
      <c r="U114" s="262"/>
    </row>
    <row r="115" spans="1:21" s="262" customFormat="1" ht="45" hidden="1" customHeight="1" x14ac:dyDescent="0.25">
      <c r="A115" s="355" t="e">
        <f>#REF!+1</f>
        <v>#REF!</v>
      </c>
      <c r="B115" s="351" t="s">
        <v>715</v>
      </c>
      <c r="C115" s="357" t="s">
        <v>714</v>
      </c>
      <c r="D115" s="351" t="s">
        <v>0</v>
      </c>
      <c r="E115" s="351">
        <v>0</v>
      </c>
      <c r="F115" s="351">
        <v>0</v>
      </c>
      <c r="G115" s="351">
        <f t="shared" si="7"/>
        <v>0</v>
      </c>
      <c r="H115" s="351">
        <f>VLOOKUP(B115,'[1]Tháng 7.2025'!$B$23:$H$153,7,0)</f>
        <v>4</v>
      </c>
      <c r="I115" s="351"/>
      <c r="J115" s="357" t="s">
        <v>710</v>
      </c>
      <c r="K115" s="331"/>
      <c r="L115" s="329" t="s">
        <v>140</v>
      </c>
    </row>
    <row r="116" spans="1:21" s="261" customFormat="1" ht="51.75" customHeight="1" x14ac:dyDescent="0.25">
      <c r="A116" s="355" t="e">
        <f>#REF!+1</f>
        <v>#REF!</v>
      </c>
      <c r="B116" s="351" t="s">
        <v>615</v>
      </c>
      <c r="C116" s="357" t="s">
        <v>616</v>
      </c>
      <c r="D116" s="355" t="s">
        <v>0</v>
      </c>
      <c r="E116" s="351">
        <v>1000</v>
      </c>
      <c r="F116" s="351">
        <v>80</v>
      </c>
      <c r="G116" s="351">
        <f>E116-F116</f>
        <v>920</v>
      </c>
      <c r="H116" s="351">
        <v>100</v>
      </c>
      <c r="I116" s="363"/>
      <c r="J116" s="357" t="s">
        <v>617</v>
      </c>
      <c r="K116" s="332">
        <v>1815</v>
      </c>
      <c r="L116" s="327" t="s">
        <v>76</v>
      </c>
      <c r="M116" s="261" t="s">
        <v>895</v>
      </c>
      <c r="N116" s="261" t="s">
        <v>896</v>
      </c>
      <c r="O116" s="261" t="s">
        <v>812</v>
      </c>
      <c r="P116" s="261" t="s">
        <v>813</v>
      </c>
      <c r="Q116" s="262"/>
      <c r="R116" s="262"/>
      <c r="S116" s="262"/>
      <c r="T116" s="262"/>
      <c r="U116" s="262"/>
    </row>
    <row r="117" spans="1:21" s="261" customFormat="1" ht="51.75" customHeight="1" x14ac:dyDescent="0.25">
      <c r="A117" s="355" t="e">
        <f>A116+1</f>
        <v>#REF!</v>
      </c>
      <c r="B117" s="351" t="s">
        <v>618</v>
      </c>
      <c r="C117" s="357" t="s">
        <v>619</v>
      </c>
      <c r="D117" s="355" t="s">
        <v>0</v>
      </c>
      <c r="E117" s="351">
        <v>175</v>
      </c>
      <c r="F117" s="351">
        <v>32</v>
      </c>
      <c r="G117" s="351">
        <f>E117-F117</f>
        <v>143</v>
      </c>
      <c r="H117" s="351">
        <v>24</v>
      </c>
      <c r="I117" s="363"/>
      <c r="J117" s="357" t="s">
        <v>620</v>
      </c>
      <c r="K117" s="332"/>
      <c r="L117" s="327" t="s">
        <v>76</v>
      </c>
      <c r="M117" s="261" t="s">
        <v>895</v>
      </c>
      <c r="N117" s="261" t="s">
        <v>896</v>
      </c>
      <c r="O117" s="261" t="s">
        <v>812</v>
      </c>
      <c r="P117" s="261" t="s">
        <v>813</v>
      </c>
      <c r="Q117" s="262"/>
      <c r="R117" s="262"/>
      <c r="S117" s="262"/>
      <c r="T117" s="262"/>
      <c r="U117" s="262"/>
    </row>
    <row r="118" spans="1:21" s="326" customFormat="1" ht="15.75" x14ac:dyDescent="0.25">
      <c r="A118" s="360" t="s">
        <v>20</v>
      </c>
      <c r="B118" s="355"/>
      <c r="C118" s="356"/>
      <c r="D118" s="355"/>
      <c r="E118" s="351"/>
      <c r="F118" s="351"/>
      <c r="G118" s="351"/>
      <c r="H118" s="351"/>
      <c r="I118" s="355"/>
      <c r="J118" s="355"/>
      <c r="K118" s="328"/>
      <c r="L118" s="325"/>
      <c r="Q118" s="338"/>
      <c r="R118" s="338"/>
      <c r="S118" s="338"/>
      <c r="T118" s="338"/>
      <c r="U118" s="338"/>
    </row>
    <row r="119" spans="1:21" s="257" customFormat="1" ht="60.75" customHeight="1" x14ac:dyDescent="0.25">
      <c r="A119" s="378" t="e">
        <f>A107+1</f>
        <v>#REF!</v>
      </c>
      <c r="B119" s="388" t="s">
        <v>49</v>
      </c>
      <c r="C119" s="379" t="s">
        <v>50</v>
      </c>
      <c r="D119" s="378" t="s">
        <v>51</v>
      </c>
      <c r="E119" s="383">
        <v>0</v>
      </c>
      <c r="F119" s="380">
        <v>0</v>
      </c>
      <c r="G119" s="380">
        <f t="shared" ref="G119" si="9">E119-F119</f>
        <v>0</v>
      </c>
      <c r="H119" s="380">
        <v>30</v>
      </c>
      <c r="I119" s="378"/>
      <c r="J119" s="379" t="s">
        <v>876</v>
      </c>
      <c r="K119" s="384">
        <v>0</v>
      </c>
      <c r="L119" s="385" t="s">
        <v>140</v>
      </c>
      <c r="M119" s="386"/>
      <c r="N119" s="386" t="s">
        <v>896</v>
      </c>
      <c r="O119" s="386"/>
      <c r="Q119" s="386"/>
      <c r="R119" s="386"/>
      <c r="S119" s="386"/>
    </row>
    <row r="120" spans="1:21" s="257" customFormat="1" ht="43.5" customHeight="1" x14ac:dyDescent="0.25">
      <c r="A120" s="378" t="e">
        <f>A119+1</f>
        <v>#REF!</v>
      </c>
      <c r="B120" s="388" t="s">
        <v>166</v>
      </c>
      <c r="C120" s="379" t="s">
        <v>167</v>
      </c>
      <c r="D120" s="378" t="s">
        <v>51</v>
      </c>
      <c r="E120" s="383">
        <v>0</v>
      </c>
      <c r="F120" s="380">
        <v>81</v>
      </c>
      <c r="G120" s="380">
        <v>0</v>
      </c>
      <c r="H120" s="380">
        <v>50</v>
      </c>
      <c r="I120" s="378"/>
      <c r="J120" s="379" t="s">
        <v>168</v>
      </c>
      <c r="K120" s="384">
        <v>4</v>
      </c>
      <c r="L120" s="387" t="s">
        <v>1315</v>
      </c>
      <c r="N120" s="257" t="s">
        <v>896</v>
      </c>
    </row>
    <row r="121" spans="1:21" s="261" customFormat="1" ht="30.75" customHeight="1" x14ac:dyDescent="0.25">
      <c r="A121" s="355" t="e">
        <f t="shared" ref="A121:A147" si="10">A120+1</f>
        <v>#REF!</v>
      </c>
      <c r="B121" s="355" t="s">
        <v>174</v>
      </c>
      <c r="C121" s="356" t="s">
        <v>102</v>
      </c>
      <c r="D121" s="355" t="s">
        <v>66</v>
      </c>
      <c r="E121" s="364">
        <v>1800000</v>
      </c>
      <c r="F121" s="351">
        <v>47500</v>
      </c>
      <c r="G121" s="351">
        <v>0</v>
      </c>
      <c r="H121" s="351">
        <f>VLOOKUP(B121,'[1]Tháng 7.2025'!$B$23:$H$153,7,0)</f>
        <v>150000</v>
      </c>
      <c r="I121" s="355"/>
      <c r="J121" s="357" t="s">
        <v>103</v>
      </c>
      <c r="K121" s="331">
        <v>239581</v>
      </c>
      <c r="L121" s="327" t="s">
        <v>88</v>
      </c>
      <c r="M121" s="261" t="s">
        <v>895</v>
      </c>
      <c r="N121" s="261" t="s">
        <v>896</v>
      </c>
      <c r="Q121" s="262"/>
      <c r="R121" s="262"/>
      <c r="S121" s="262"/>
      <c r="T121" s="262"/>
      <c r="U121" s="262"/>
    </row>
    <row r="122" spans="1:21" s="261" customFormat="1" ht="30.75" customHeight="1" x14ac:dyDescent="0.25">
      <c r="A122" s="355" t="e">
        <f t="shared" si="10"/>
        <v>#REF!</v>
      </c>
      <c r="B122" s="355" t="s">
        <v>880</v>
      </c>
      <c r="C122" s="356" t="s">
        <v>881</v>
      </c>
      <c r="D122" s="355" t="s">
        <v>66</v>
      </c>
      <c r="E122" s="364">
        <v>1800000</v>
      </c>
      <c r="F122" s="351">
        <v>0</v>
      </c>
      <c r="G122" s="351">
        <v>0</v>
      </c>
      <c r="H122" s="351">
        <v>30500</v>
      </c>
      <c r="I122" s="355"/>
      <c r="J122" s="357" t="s">
        <v>862</v>
      </c>
      <c r="K122" s="331"/>
      <c r="L122" s="327" t="s">
        <v>88</v>
      </c>
      <c r="M122" s="261" t="s">
        <v>895</v>
      </c>
      <c r="N122" s="261" t="s">
        <v>896</v>
      </c>
      <c r="Q122" s="262"/>
      <c r="R122" s="262"/>
      <c r="S122" s="262"/>
      <c r="T122" s="262"/>
      <c r="U122" s="262"/>
    </row>
    <row r="123" spans="1:21" s="261" customFormat="1" ht="30.75" customHeight="1" x14ac:dyDescent="0.25">
      <c r="A123" s="355" t="e">
        <f t="shared" si="10"/>
        <v>#REF!</v>
      </c>
      <c r="B123" s="355" t="s">
        <v>147</v>
      </c>
      <c r="C123" s="357" t="s">
        <v>148</v>
      </c>
      <c r="D123" s="355" t="s">
        <v>66</v>
      </c>
      <c r="E123" s="364">
        <v>0</v>
      </c>
      <c r="F123" s="351">
        <v>0</v>
      </c>
      <c r="G123" s="351">
        <v>0</v>
      </c>
      <c r="H123" s="351">
        <f>VLOOKUP(B123,'[1]Tháng 7.2025'!$B$23:$H$153,7,0)</f>
        <v>100</v>
      </c>
      <c r="I123" s="351"/>
      <c r="J123" s="365" t="s">
        <v>374</v>
      </c>
      <c r="K123" s="332">
        <v>5379</v>
      </c>
      <c r="L123" s="327" t="s">
        <v>385</v>
      </c>
      <c r="N123" s="261" t="s">
        <v>896</v>
      </c>
      <c r="Q123" s="262"/>
      <c r="R123" s="262"/>
      <c r="S123" s="262"/>
      <c r="T123" s="262"/>
      <c r="U123" s="262"/>
    </row>
    <row r="124" spans="1:21" s="261" customFormat="1" ht="30.75" customHeight="1" x14ac:dyDescent="0.25">
      <c r="A124" s="355" t="e">
        <f t="shared" si="10"/>
        <v>#REF!</v>
      </c>
      <c r="B124" s="355" t="s">
        <v>149</v>
      </c>
      <c r="C124" s="357" t="s">
        <v>150</v>
      </c>
      <c r="D124" s="355" t="s">
        <v>0</v>
      </c>
      <c r="E124" s="364">
        <v>0</v>
      </c>
      <c r="F124" s="351">
        <v>0</v>
      </c>
      <c r="G124" s="351">
        <v>0</v>
      </c>
      <c r="H124" s="351">
        <f>VLOOKUP(B124,'[1]Tháng 7.2025'!$B$23:$H$153,7,0)</f>
        <v>8000</v>
      </c>
      <c r="I124" s="351"/>
      <c r="J124" s="365" t="s">
        <v>151</v>
      </c>
      <c r="K124" s="332">
        <v>15000</v>
      </c>
      <c r="L124" s="327" t="s">
        <v>385</v>
      </c>
      <c r="M124" s="261" t="s">
        <v>895</v>
      </c>
      <c r="N124" s="261" t="s">
        <v>896</v>
      </c>
      <c r="Q124" s="262"/>
      <c r="R124" s="262"/>
      <c r="S124" s="262"/>
      <c r="T124" s="262"/>
      <c r="U124" s="262"/>
    </row>
    <row r="125" spans="1:21" s="261" customFormat="1" ht="30.75" customHeight="1" x14ac:dyDescent="0.25">
      <c r="A125" s="355" t="e">
        <f t="shared" si="10"/>
        <v>#REF!</v>
      </c>
      <c r="B125" s="351" t="s">
        <v>883</v>
      </c>
      <c r="C125" s="357" t="s">
        <v>884</v>
      </c>
      <c r="D125" s="355" t="s">
        <v>0</v>
      </c>
      <c r="E125" s="364">
        <v>0</v>
      </c>
      <c r="F125" s="351">
        <v>0</v>
      </c>
      <c r="G125" s="351">
        <v>0</v>
      </c>
      <c r="H125" s="351">
        <v>150</v>
      </c>
      <c r="I125" s="351"/>
      <c r="J125" s="365" t="s">
        <v>906</v>
      </c>
      <c r="K125" s="332"/>
      <c r="L125" s="327" t="s">
        <v>385</v>
      </c>
      <c r="M125" s="261" t="s">
        <v>895</v>
      </c>
      <c r="N125" s="261" t="s">
        <v>896</v>
      </c>
      <c r="Q125" s="262"/>
      <c r="R125" s="262"/>
      <c r="S125" s="262"/>
      <c r="T125" s="262"/>
      <c r="U125" s="262"/>
    </row>
    <row r="126" spans="1:21" s="261" customFormat="1" ht="30.75" customHeight="1" x14ac:dyDescent="0.25">
      <c r="A126" s="355" t="e">
        <f t="shared" si="10"/>
        <v>#REF!</v>
      </c>
      <c r="B126" s="351" t="s">
        <v>885</v>
      </c>
      <c r="C126" s="357" t="s">
        <v>886</v>
      </c>
      <c r="D126" s="351" t="s">
        <v>0</v>
      </c>
      <c r="E126" s="364">
        <v>0</v>
      </c>
      <c r="F126" s="351">
        <v>0</v>
      </c>
      <c r="G126" s="351">
        <v>0</v>
      </c>
      <c r="H126" s="351">
        <v>100</v>
      </c>
      <c r="I126" s="351"/>
      <c r="J126" s="365" t="s">
        <v>906</v>
      </c>
      <c r="K126" s="332"/>
      <c r="L126" s="327" t="s">
        <v>385</v>
      </c>
      <c r="M126" s="261" t="s">
        <v>895</v>
      </c>
      <c r="N126" s="261" t="s">
        <v>896</v>
      </c>
      <c r="Q126" s="262"/>
      <c r="R126" s="262"/>
      <c r="S126" s="262"/>
      <c r="T126" s="262"/>
      <c r="U126" s="262"/>
    </row>
    <row r="127" spans="1:21" s="261" customFormat="1" ht="30.75" customHeight="1" x14ac:dyDescent="0.25">
      <c r="A127" s="355" t="e">
        <f t="shared" si="10"/>
        <v>#REF!</v>
      </c>
      <c r="B127" s="351" t="s">
        <v>887</v>
      </c>
      <c r="C127" s="357" t="s">
        <v>888</v>
      </c>
      <c r="D127" s="351" t="s">
        <v>66</v>
      </c>
      <c r="E127" s="364">
        <v>0</v>
      </c>
      <c r="F127" s="351">
        <v>0</v>
      </c>
      <c r="G127" s="351">
        <v>0</v>
      </c>
      <c r="H127" s="351">
        <v>10</v>
      </c>
      <c r="I127" s="351"/>
      <c r="J127" s="365" t="s">
        <v>906</v>
      </c>
      <c r="K127" s="332"/>
      <c r="L127" s="327" t="s">
        <v>385</v>
      </c>
      <c r="M127" s="261" t="s">
        <v>895</v>
      </c>
      <c r="N127" s="261" t="s">
        <v>896</v>
      </c>
      <c r="Q127" s="262"/>
      <c r="R127" s="262"/>
      <c r="S127" s="262"/>
      <c r="T127" s="262"/>
      <c r="U127" s="262"/>
    </row>
    <row r="128" spans="1:21" s="261" customFormat="1" ht="30.75" customHeight="1" x14ac:dyDescent="0.25">
      <c r="A128" s="355" t="e">
        <f t="shared" si="10"/>
        <v>#REF!</v>
      </c>
      <c r="B128" s="351" t="s">
        <v>552</v>
      </c>
      <c r="C128" s="357" t="s">
        <v>553</v>
      </c>
      <c r="D128" s="351" t="s">
        <v>0</v>
      </c>
      <c r="E128" s="364">
        <v>0</v>
      </c>
      <c r="F128" s="351">
        <v>0</v>
      </c>
      <c r="G128" s="351">
        <v>0</v>
      </c>
      <c r="H128" s="351">
        <v>10</v>
      </c>
      <c r="I128" s="351"/>
      <c r="J128" s="365" t="s">
        <v>906</v>
      </c>
      <c r="K128" s="332"/>
      <c r="L128" s="327" t="s">
        <v>385</v>
      </c>
      <c r="M128" s="261" t="s">
        <v>895</v>
      </c>
      <c r="N128" s="261" t="s">
        <v>896</v>
      </c>
      <c r="Q128" s="262"/>
      <c r="R128" s="262"/>
      <c r="S128" s="262"/>
      <c r="T128" s="262"/>
      <c r="U128" s="262"/>
    </row>
    <row r="129" spans="1:21" s="261" customFormat="1" ht="30.75" customHeight="1" x14ac:dyDescent="0.25">
      <c r="A129" s="355" t="e">
        <f t="shared" si="10"/>
        <v>#REF!</v>
      </c>
      <c r="B129" s="351" t="s">
        <v>889</v>
      </c>
      <c r="C129" s="357" t="s">
        <v>890</v>
      </c>
      <c r="D129" s="351" t="s">
        <v>390</v>
      </c>
      <c r="E129" s="364">
        <v>0</v>
      </c>
      <c r="F129" s="351">
        <v>0</v>
      </c>
      <c r="G129" s="351">
        <v>0</v>
      </c>
      <c r="H129" s="351">
        <v>100</v>
      </c>
      <c r="I129" s="351"/>
      <c r="J129" s="365" t="s">
        <v>906</v>
      </c>
      <c r="K129" s="332"/>
      <c r="L129" s="327" t="s">
        <v>385</v>
      </c>
      <c r="M129" s="261" t="s">
        <v>895</v>
      </c>
      <c r="N129" s="261" t="s">
        <v>896</v>
      </c>
      <c r="Q129" s="262"/>
      <c r="R129" s="262"/>
      <c r="S129" s="262"/>
      <c r="T129" s="262"/>
      <c r="U129" s="262"/>
    </row>
    <row r="130" spans="1:21" s="261" customFormat="1" ht="30.75" customHeight="1" x14ac:dyDescent="0.25">
      <c r="A130" s="355" t="e">
        <f t="shared" si="10"/>
        <v>#REF!</v>
      </c>
      <c r="B130" s="351" t="s">
        <v>891</v>
      </c>
      <c r="C130" s="357" t="s">
        <v>892</v>
      </c>
      <c r="D130" s="351" t="s">
        <v>390</v>
      </c>
      <c r="E130" s="364">
        <v>0</v>
      </c>
      <c r="F130" s="351">
        <v>0</v>
      </c>
      <c r="G130" s="351">
        <v>0</v>
      </c>
      <c r="H130" s="351">
        <v>100</v>
      </c>
      <c r="I130" s="351"/>
      <c r="J130" s="365" t="s">
        <v>906</v>
      </c>
      <c r="K130" s="332"/>
      <c r="L130" s="327" t="s">
        <v>385</v>
      </c>
      <c r="M130" s="261" t="s">
        <v>895</v>
      </c>
      <c r="N130" s="261" t="s">
        <v>896</v>
      </c>
      <c r="Q130" s="262"/>
      <c r="R130" s="262"/>
      <c r="S130" s="262"/>
      <c r="T130" s="262"/>
      <c r="U130" s="262"/>
    </row>
    <row r="131" spans="1:21" s="261" customFormat="1" ht="25.5" x14ac:dyDescent="0.25">
      <c r="A131" s="355" t="e">
        <f t="shared" si="10"/>
        <v>#REF!</v>
      </c>
      <c r="B131" s="355" t="s">
        <v>975</v>
      </c>
      <c r="C131" s="357" t="s">
        <v>1007</v>
      </c>
      <c r="D131" s="351" t="s">
        <v>0</v>
      </c>
      <c r="E131" s="351">
        <v>0</v>
      </c>
      <c r="F131" s="351">
        <v>0</v>
      </c>
      <c r="G131" s="351">
        <v>0</v>
      </c>
      <c r="H131" s="351">
        <v>200</v>
      </c>
      <c r="I131" s="355"/>
      <c r="J131" s="357" t="s">
        <v>1169</v>
      </c>
      <c r="K131" s="332"/>
      <c r="L131" s="327" t="s">
        <v>197</v>
      </c>
      <c r="Q131" s="262"/>
      <c r="R131" s="262"/>
      <c r="S131" s="262"/>
      <c r="T131" s="262"/>
      <c r="U131" s="262"/>
    </row>
    <row r="132" spans="1:21" s="261" customFormat="1" ht="15.75" x14ac:dyDescent="0.25">
      <c r="A132" s="355" t="e">
        <f t="shared" si="10"/>
        <v>#REF!</v>
      </c>
      <c r="B132" s="355" t="s">
        <v>1095</v>
      </c>
      <c r="C132" s="357" t="s">
        <v>1131</v>
      </c>
      <c r="D132" s="351" t="s">
        <v>0</v>
      </c>
      <c r="E132" s="351">
        <v>0</v>
      </c>
      <c r="F132" s="351">
        <v>0</v>
      </c>
      <c r="G132" s="351">
        <v>0</v>
      </c>
      <c r="H132" s="351">
        <v>32</v>
      </c>
      <c r="I132" s="355"/>
      <c r="J132" s="357" t="s">
        <v>1169</v>
      </c>
      <c r="K132" s="332"/>
      <c r="L132" s="327" t="s">
        <v>197</v>
      </c>
      <c r="Q132" s="262"/>
      <c r="R132" s="262"/>
      <c r="S132" s="262"/>
      <c r="T132" s="262"/>
      <c r="U132" s="262"/>
    </row>
    <row r="133" spans="1:21" s="261" customFormat="1" ht="15.75" x14ac:dyDescent="0.25">
      <c r="A133" s="355" t="e">
        <f t="shared" si="10"/>
        <v>#REF!</v>
      </c>
      <c r="B133" s="355" t="s">
        <v>1096</v>
      </c>
      <c r="C133" s="357" t="s">
        <v>1132</v>
      </c>
      <c r="D133" s="351" t="s">
        <v>0</v>
      </c>
      <c r="E133" s="351">
        <v>0</v>
      </c>
      <c r="F133" s="351">
        <v>0</v>
      </c>
      <c r="G133" s="351">
        <v>0</v>
      </c>
      <c r="H133" s="351">
        <v>32</v>
      </c>
      <c r="I133" s="355"/>
      <c r="J133" s="357" t="s">
        <v>1169</v>
      </c>
      <c r="K133" s="332"/>
      <c r="L133" s="327" t="s">
        <v>197</v>
      </c>
      <c r="Q133" s="262"/>
      <c r="R133" s="262"/>
      <c r="S133" s="262"/>
      <c r="T133" s="262"/>
      <c r="U133" s="262"/>
    </row>
    <row r="134" spans="1:21" s="261" customFormat="1" ht="25.5" x14ac:dyDescent="0.25">
      <c r="A134" s="355" t="e">
        <f t="shared" si="10"/>
        <v>#REF!</v>
      </c>
      <c r="B134" s="355" t="s">
        <v>1097</v>
      </c>
      <c r="C134" s="357" t="s">
        <v>1133</v>
      </c>
      <c r="D134" s="351" t="s">
        <v>0</v>
      </c>
      <c r="E134" s="351">
        <v>0</v>
      </c>
      <c r="F134" s="351">
        <v>0</v>
      </c>
      <c r="G134" s="351">
        <v>0</v>
      </c>
      <c r="H134" s="351">
        <v>80</v>
      </c>
      <c r="I134" s="355"/>
      <c r="J134" s="357" t="s">
        <v>1169</v>
      </c>
      <c r="K134" s="332"/>
      <c r="L134" s="327" t="s">
        <v>197</v>
      </c>
      <c r="Q134" s="262"/>
      <c r="R134" s="262"/>
      <c r="S134" s="262"/>
      <c r="T134" s="262"/>
      <c r="U134" s="262"/>
    </row>
    <row r="135" spans="1:21" s="261" customFormat="1" ht="15.75" x14ac:dyDescent="0.25">
      <c r="A135" s="355" t="e">
        <f t="shared" si="10"/>
        <v>#REF!</v>
      </c>
      <c r="B135" s="355" t="s">
        <v>1098</v>
      </c>
      <c r="C135" s="357" t="s">
        <v>1134</v>
      </c>
      <c r="D135" s="351" t="s">
        <v>0</v>
      </c>
      <c r="E135" s="351">
        <v>0</v>
      </c>
      <c r="F135" s="351">
        <v>0</v>
      </c>
      <c r="G135" s="351">
        <v>0</v>
      </c>
      <c r="H135" s="351">
        <v>30</v>
      </c>
      <c r="I135" s="355"/>
      <c r="J135" s="357" t="s">
        <v>1169</v>
      </c>
      <c r="K135" s="332"/>
      <c r="L135" s="327" t="s">
        <v>197</v>
      </c>
      <c r="Q135" s="262"/>
      <c r="R135" s="262"/>
      <c r="S135" s="262"/>
      <c r="T135" s="262"/>
      <c r="U135" s="262"/>
    </row>
    <row r="136" spans="1:21" s="261" customFormat="1" ht="15.75" x14ac:dyDescent="0.25">
      <c r="A136" s="355" t="e">
        <f t="shared" si="10"/>
        <v>#REF!</v>
      </c>
      <c r="B136" s="355" t="s">
        <v>552</v>
      </c>
      <c r="C136" s="357" t="s">
        <v>553</v>
      </c>
      <c r="D136" s="351" t="s">
        <v>0</v>
      </c>
      <c r="E136" s="351">
        <v>0</v>
      </c>
      <c r="F136" s="351">
        <v>0</v>
      </c>
      <c r="G136" s="351">
        <v>0</v>
      </c>
      <c r="H136" s="351">
        <v>36</v>
      </c>
      <c r="I136" s="355"/>
      <c r="J136" s="357" t="s">
        <v>1169</v>
      </c>
      <c r="K136" s="332"/>
      <c r="L136" s="327" t="s">
        <v>197</v>
      </c>
      <c r="Q136" s="262"/>
      <c r="R136" s="262"/>
      <c r="S136" s="262"/>
      <c r="T136" s="262"/>
      <c r="U136" s="262"/>
    </row>
    <row r="137" spans="1:21" s="261" customFormat="1" ht="15.75" x14ac:dyDescent="0.25">
      <c r="A137" s="355" t="e">
        <f t="shared" si="10"/>
        <v>#REF!</v>
      </c>
      <c r="B137" s="355" t="s">
        <v>885</v>
      </c>
      <c r="C137" s="357" t="s">
        <v>886</v>
      </c>
      <c r="D137" s="351" t="s">
        <v>0</v>
      </c>
      <c r="E137" s="351">
        <v>0</v>
      </c>
      <c r="F137" s="351">
        <v>0</v>
      </c>
      <c r="G137" s="351">
        <v>0</v>
      </c>
      <c r="H137" s="351">
        <v>200</v>
      </c>
      <c r="I137" s="355"/>
      <c r="J137" s="357" t="s">
        <v>1169</v>
      </c>
      <c r="K137" s="332"/>
      <c r="L137" s="327" t="s">
        <v>197</v>
      </c>
      <c r="P137" s="261" t="s">
        <v>813</v>
      </c>
      <c r="Q137" s="262"/>
      <c r="R137" s="262"/>
      <c r="S137" s="262"/>
      <c r="T137" s="262"/>
      <c r="U137" s="262"/>
    </row>
    <row r="138" spans="1:21" s="261" customFormat="1" ht="30.75" customHeight="1" x14ac:dyDescent="0.2">
      <c r="A138" s="355" t="e">
        <f t="shared" si="10"/>
        <v>#REF!</v>
      </c>
      <c r="B138" s="339" t="s">
        <v>199</v>
      </c>
      <c r="C138" s="366" t="s">
        <v>799</v>
      </c>
      <c r="D138" s="367" t="s">
        <v>2</v>
      </c>
      <c r="E138" s="351"/>
      <c r="F138" s="351">
        <v>0</v>
      </c>
      <c r="G138" s="351">
        <v>0</v>
      </c>
      <c r="H138" s="351">
        <v>50</v>
      </c>
      <c r="I138" s="351"/>
      <c r="J138" s="357" t="s">
        <v>802</v>
      </c>
      <c r="K138" s="332"/>
      <c r="L138" s="327" t="s">
        <v>385</v>
      </c>
      <c r="M138" s="261" t="s">
        <v>895</v>
      </c>
      <c r="N138" s="340" t="s">
        <v>896</v>
      </c>
      <c r="P138" s="261" t="s">
        <v>813</v>
      </c>
      <c r="Q138" s="262"/>
      <c r="R138" s="262"/>
      <c r="S138" s="262"/>
      <c r="T138" s="262"/>
      <c r="U138" s="262"/>
    </row>
    <row r="139" spans="1:21" s="261" customFormat="1" ht="30.75" customHeight="1" x14ac:dyDescent="0.25">
      <c r="A139" s="355" t="e">
        <f t="shared" si="10"/>
        <v>#REF!</v>
      </c>
      <c r="B139" s="355" t="s">
        <v>1055</v>
      </c>
      <c r="C139" s="357" t="s">
        <v>1056</v>
      </c>
      <c r="D139" s="355" t="s">
        <v>804</v>
      </c>
      <c r="E139" s="351">
        <v>0</v>
      </c>
      <c r="F139" s="351">
        <v>0</v>
      </c>
      <c r="G139" s="351">
        <v>0</v>
      </c>
      <c r="H139" s="351">
        <v>50</v>
      </c>
      <c r="I139" s="351"/>
      <c r="J139" s="357" t="s">
        <v>803</v>
      </c>
      <c r="K139" s="332"/>
      <c r="L139" s="327" t="s">
        <v>385</v>
      </c>
      <c r="M139" s="261" t="s">
        <v>895</v>
      </c>
      <c r="N139" s="340" t="s">
        <v>896</v>
      </c>
      <c r="Q139" s="262"/>
      <c r="R139" s="262"/>
      <c r="S139" s="262"/>
      <c r="T139" s="262"/>
      <c r="U139" s="262"/>
    </row>
    <row r="140" spans="1:21" s="261" customFormat="1" ht="30.75" customHeight="1" x14ac:dyDescent="0.25">
      <c r="A140" s="355" t="e">
        <f t="shared" si="10"/>
        <v>#REF!</v>
      </c>
      <c r="B140" s="355" t="s">
        <v>1057</v>
      </c>
      <c r="C140" s="357" t="s">
        <v>1058</v>
      </c>
      <c r="D140" s="355" t="s">
        <v>804</v>
      </c>
      <c r="E140" s="351">
        <v>0</v>
      </c>
      <c r="F140" s="351">
        <v>0</v>
      </c>
      <c r="G140" s="351">
        <v>0</v>
      </c>
      <c r="H140" s="351">
        <v>50</v>
      </c>
      <c r="I140" s="351"/>
      <c r="J140" s="357" t="s">
        <v>803</v>
      </c>
      <c r="K140" s="332"/>
      <c r="L140" s="327" t="s">
        <v>385</v>
      </c>
      <c r="M140" s="261" t="s">
        <v>895</v>
      </c>
      <c r="N140" s="340" t="s">
        <v>896</v>
      </c>
      <c r="Q140" s="262"/>
      <c r="R140" s="262"/>
      <c r="S140" s="262"/>
      <c r="T140" s="262"/>
      <c r="U140" s="262"/>
    </row>
    <row r="141" spans="1:21" s="261" customFormat="1" ht="53.25" customHeight="1" x14ac:dyDescent="0.25">
      <c r="A141" s="355" t="e">
        <f t="shared" si="10"/>
        <v>#REF!</v>
      </c>
      <c r="B141" s="351" t="s">
        <v>40</v>
      </c>
      <c r="C141" s="357" t="s">
        <v>1</v>
      </c>
      <c r="D141" s="355" t="s">
        <v>2</v>
      </c>
      <c r="E141" s="351">
        <v>16200</v>
      </c>
      <c r="F141" s="351">
        <v>2017</v>
      </c>
      <c r="G141" s="351">
        <v>0</v>
      </c>
      <c r="H141" s="351">
        <v>3000</v>
      </c>
      <c r="I141" s="351"/>
      <c r="J141" s="365" t="s">
        <v>119</v>
      </c>
      <c r="K141" s="332"/>
      <c r="L141" s="327" t="s">
        <v>76</v>
      </c>
      <c r="M141" s="261" t="s">
        <v>895</v>
      </c>
      <c r="N141" s="261" t="s">
        <v>896</v>
      </c>
      <c r="O141" s="261" t="s">
        <v>812</v>
      </c>
      <c r="P141" s="261" t="s">
        <v>813</v>
      </c>
      <c r="Q141" s="262"/>
      <c r="R141" s="262"/>
      <c r="S141" s="262"/>
      <c r="T141" s="262"/>
      <c r="U141" s="262"/>
    </row>
    <row r="142" spans="1:21" s="261" customFormat="1" ht="53.25" customHeight="1" x14ac:dyDescent="0.25">
      <c r="A142" s="355" t="e">
        <f t="shared" si="10"/>
        <v>#REF!</v>
      </c>
      <c r="B142" s="351" t="s">
        <v>130</v>
      </c>
      <c r="C142" s="357" t="s">
        <v>131</v>
      </c>
      <c r="D142" s="355" t="s">
        <v>66</v>
      </c>
      <c r="E142" s="351">
        <v>206904.96973333333</v>
      </c>
      <c r="F142" s="351">
        <v>206904.96973333333</v>
      </c>
      <c r="G142" s="351">
        <v>0</v>
      </c>
      <c r="H142" s="351">
        <v>20000</v>
      </c>
      <c r="I142" s="351"/>
      <c r="J142" s="365" t="s">
        <v>808</v>
      </c>
      <c r="K142" s="332"/>
      <c r="L142" s="327" t="s">
        <v>76</v>
      </c>
      <c r="M142" s="261" t="s">
        <v>895</v>
      </c>
      <c r="N142" s="340" t="s">
        <v>896</v>
      </c>
      <c r="O142" s="261" t="s">
        <v>812</v>
      </c>
      <c r="P142" s="261" t="s">
        <v>813</v>
      </c>
      <c r="Q142" s="262"/>
      <c r="R142" s="262"/>
      <c r="S142" s="262"/>
      <c r="T142" s="262"/>
      <c r="U142" s="262"/>
    </row>
    <row r="143" spans="1:21" s="261" customFormat="1" ht="53.25" customHeight="1" x14ac:dyDescent="0.25">
      <c r="A143" s="355" t="e">
        <f t="shared" si="10"/>
        <v>#REF!</v>
      </c>
      <c r="B143" s="351" t="s">
        <v>67</v>
      </c>
      <c r="C143" s="357" t="s">
        <v>68</v>
      </c>
      <c r="D143" s="355" t="s">
        <v>66</v>
      </c>
      <c r="E143" s="351">
        <v>64958.94</v>
      </c>
      <c r="F143" s="351">
        <v>64958.94</v>
      </c>
      <c r="G143" s="351">
        <v>0</v>
      </c>
      <c r="H143" s="351">
        <v>13000</v>
      </c>
      <c r="I143" s="351"/>
      <c r="J143" s="356" t="s">
        <v>134</v>
      </c>
      <c r="K143" s="332"/>
      <c r="L143" s="327" t="s">
        <v>76</v>
      </c>
      <c r="M143" s="261" t="s">
        <v>895</v>
      </c>
      <c r="N143" s="340" t="s">
        <v>896</v>
      </c>
      <c r="O143" s="261" t="s">
        <v>812</v>
      </c>
      <c r="P143" s="261" t="s">
        <v>813</v>
      </c>
      <c r="Q143" s="262"/>
      <c r="R143" s="262"/>
      <c r="S143" s="262"/>
      <c r="T143" s="262"/>
      <c r="U143" s="262"/>
    </row>
    <row r="144" spans="1:21" s="261" customFormat="1" ht="53.25" customHeight="1" x14ac:dyDescent="0.25">
      <c r="A144" s="355" t="e">
        <f t="shared" si="10"/>
        <v>#REF!</v>
      </c>
      <c r="B144" s="355" t="s">
        <v>69</v>
      </c>
      <c r="C144" s="357" t="s">
        <v>774</v>
      </c>
      <c r="D144" s="355" t="s">
        <v>66</v>
      </c>
      <c r="E144" s="351">
        <v>5922674.0470867204</v>
      </c>
      <c r="F144" s="351">
        <v>0</v>
      </c>
      <c r="G144" s="351">
        <v>0</v>
      </c>
      <c r="H144" s="351">
        <f>VLOOKUP(B144,'[1]Tháng 7.2025'!$B$23:$H$153,7,0)</f>
        <v>900000</v>
      </c>
      <c r="I144" s="351"/>
      <c r="J144" s="365" t="s">
        <v>772</v>
      </c>
      <c r="K144" s="332"/>
      <c r="L144" s="327" t="s">
        <v>76</v>
      </c>
      <c r="M144" s="261" t="s">
        <v>895</v>
      </c>
      <c r="N144" s="340" t="s">
        <v>896</v>
      </c>
      <c r="O144" s="261" t="s">
        <v>812</v>
      </c>
      <c r="P144" s="261" t="s">
        <v>813</v>
      </c>
      <c r="Q144" s="262"/>
      <c r="R144" s="262"/>
      <c r="S144" s="262"/>
      <c r="T144" s="262"/>
      <c r="U144" s="262"/>
    </row>
    <row r="145" spans="1:21" s="261" customFormat="1" ht="53.25" customHeight="1" x14ac:dyDescent="0.25">
      <c r="A145" s="355" t="e">
        <f t="shared" si="10"/>
        <v>#REF!</v>
      </c>
      <c r="B145" s="351" t="s">
        <v>72</v>
      </c>
      <c r="C145" s="357" t="s">
        <v>73</v>
      </c>
      <c r="D145" s="355" t="s">
        <v>66</v>
      </c>
      <c r="E145" s="351">
        <v>235630.41759999999</v>
      </c>
      <c r="F145" s="351">
        <v>235630.41759999999</v>
      </c>
      <c r="G145" s="351">
        <v>0</v>
      </c>
      <c r="H145" s="351">
        <v>26000</v>
      </c>
      <c r="I145" s="351"/>
      <c r="J145" s="365" t="s">
        <v>809</v>
      </c>
      <c r="K145" s="332"/>
      <c r="L145" s="327" t="s">
        <v>76</v>
      </c>
      <c r="M145" s="261" t="s">
        <v>895</v>
      </c>
      <c r="N145" s="261" t="s">
        <v>896</v>
      </c>
      <c r="O145" s="261" t="s">
        <v>812</v>
      </c>
      <c r="P145" s="261" t="s">
        <v>813</v>
      </c>
      <c r="Q145" s="262"/>
      <c r="R145" s="262"/>
      <c r="S145" s="262"/>
      <c r="T145" s="262"/>
      <c r="U145" s="262"/>
    </row>
    <row r="146" spans="1:21" s="261" customFormat="1" ht="53.25" customHeight="1" x14ac:dyDescent="0.25">
      <c r="A146" s="355" t="e">
        <f t="shared" si="10"/>
        <v>#REF!</v>
      </c>
      <c r="B146" s="351" t="s">
        <v>137</v>
      </c>
      <c r="C146" s="357" t="s">
        <v>138</v>
      </c>
      <c r="D146" s="355" t="s">
        <v>66</v>
      </c>
      <c r="E146" s="351">
        <v>100920.97651851852</v>
      </c>
      <c r="F146" s="351">
        <v>0</v>
      </c>
      <c r="G146" s="351">
        <v>0</v>
      </c>
      <c r="H146" s="351">
        <v>16000</v>
      </c>
      <c r="I146" s="351"/>
      <c r="J146" s="365" t="s">
        <v>810</v>
      </c>
      <c r="K146" s="332"/>
      <c r="L146" s="327" t="s">
        <v>76</v>
      </c>
      <c r="M146" s="261" t="s">
        <v>895</v>
      </c>
      <c r="N146" s="340" t="s">
        <v>896</v>
      </c>
      <c r="O146" s="261" t="s">
        <v>812</v>
      </c>
      <c r="P146" s="261" t="s">
        <v>813</v>
      </c>
      <c r="Q146" s="262"/>
      <c r="R146" s="262"/>
      <c r="S146" s="262"/>
      <c r="T146" s="262"/>
      <c r="U146" s="262"/>
    </row>
    <row r="147" spans="1:21" s="261" customFormat="1" ht="53.25" customHeight="1" x14ac:dyDescent="0.25">
      <c r="A147" s="355" t="e">
        <f t="shared" si="10"/>
        <v>#REF!</v>
      </c>
      <c r="B147" s="355" t="s">
        <v>144</v>
      </c>
      <c r="C147" s="357" t="s">
        <v>145</v>
      </c>
      <c r="D147" s="355" t="s">
        <v>66</v>
      </c>
      <c r="E147" s="351">
        <v>218080</v>
      </c>
      <c r="F147" s="351">
        <v>0</v>
      </c>
      <c r="G147" s="351">
        <v>0</v>
      </c>
      <c r="H147" s="351">
        <v>18000</v>
      </c>
      <c r="I147" s="351"/>
      <c r="J147" s="365" t="s">
        <v>811</v>
      </c>
      <c r="K147" s="332"/>
      <c r="L147" s="327" t="s">
        <v>76</v>
      </c>
      <c r="M147" s="261" t="s">
        <v>895</v>
      </c>
      <c r="N147" s="340" t="s">
        <v>896</v>
      </c>
      <c r="O147" s="261" t="s">
        <v>812</v>
      </c>
      <c r="P147" s="261" t="s">
        <v>813</v>
      </c>
      <c r="Q147" s="262"/>
      <c r="R147" s="262"/>
      <c r="S147" s="262"/>
      <c r="T147" s="262"/>
      <c r="U147" s="262"/>
    </row>
    <row r="148" spans="1:21" x14ac:dyDescent="0.25">
      <c r="B148" s="389" t="s">
        <v>970</v>
      </c>
      <c r="C148" s="389" t="s">
        <v>1246</v>
      </c>
      <c r="D148" s="389" t="s">
        <v>1247</v>
      </c>
      <c r="E148" s="390">
        <v>200</v>
      </c>
      <c r="F148" s="223"/>
      <c r="G148" s="223"/>
      <c r="H148" s="390">
        <v>139</v>
      </c>
      <c r="I148" s="223"/>
      <c r="J148" s="389" t="s">
        <v>1030</v>
      </c>
      <c r="K148" s="403"/>
      <c r="L148" s="402" t="s">
        <v>136</v>
      </c>
      <c r="P148" s="261" t="s">
        <v>813</v>
      </c>
    </row>
    <row r="149" spans="1:21" x14ac:dyDescent="0.25">
      <c r="B149" s="389" t="s">
        <v>256</v>
      </c>
      <c r="C149" s="389" t="s">
        <v>267</v>
      </c>
      <c r="D149" s="389" t="s">
        <v>0</v>
      </c>
      <c r="E149" s="390">
        <v>200</v>
      </c>
      <c r="F149" s="223"/>
      <c r="G149" s="223"/>
      <c r="H149" s="390">
        <v>30</v>
      </c>
      <c r="I149" s="223"/>
      <c r="J149" s="389" t="s">
        <v>1030</v>
      </c>
      <c r="K149" s="403"/>
      <c r="L149" s="402" t="s">
        <v>136</v>
      </c>
      <c r="P149" s="261" t="s">
        <v>813</v>
      </c>
    </row>
    <row r="150" spans="1:21" x14ac:dyDescent="0.25">
      <c r="B150" s="389" t="s">
        <v>985</v>
      </c>
      <c r="C150" s="389" t="s">
        <v>1017</v>
      </c>
      <c r="D150" s="389" t="s">
        <v>66</v>
      </c>
      <c r="E150" s="390">
        <v>10</v>
      </c>
      <c r="F150" s="223"/>
      <c r="G150" s="223"/>
      <c r="H150" s="390">
        <v>4</v>
      </c>
      <c r="I150" s="223"/>
      <c r="J150" s="389" t="s">
        <v>1030</v>
      </c>
      <c r="K150" s="403"/>
      <c r="L150" s="402" t="s">
        <v>136</v>
      </c>
      <c r="P150" s="261" t="s">
        <v>813</v>
      </c>
    </row>
    <row r="151" spans="1:21" x14ac:dyDescent="0.25">
      <c r="B151" s="389" t="s">
        <v>253</v>
      </c>
      <c r="C151" s="389" t="s">
        <v>264</v>
      </c>
      <c r="D151" s="389" t="s">
        <v>0</v>
      </c>
      <c r="E151" s="390">
        <v>200</v>
      </c>
      <c r="F151" s="223"/>
      <c r="G151" s="223"/>
      <c r="H151" s="390">
        <v>30</v>
      </c>
      <c r="I151" s="223"/>
      <c r="J151" s="389" t="s">
        <v>1030</v>
      </c>
      <c r="K151" s="403"/>
      <c r="L151" s="402" t="s">
        <v>136</v>
      </c>
      <c r="P151" s="261" t="s">
        <v>813</v>
      </c>
    </row>
    <row r="152" spans="1:21" x14ac:dyDescent="0.25">
      <c r="B152" s="391" t="s">
        <v>254</v>
      </c>
      <c r="C152" s="391" t="s">
        <v>265</v>
      </c>
      <c r="D152" s="389" t="s">
        <v>0</v>
      </c>
      <c r="E152" s="390">
        <v>200</v>
      </c>
      <c r="F152" s="223"/>
      <c r="G152" s="223"/>
      <c r="H152" s="390">
        <v>30</v>
      </c>
      <c r="I152" s="223"/>
      <c r="J152" s="389" t="s">
        <v>1030</v>
      </c>
      <c r="K152" s="403"/>
      <c r="L152" s="402" t="s">
        <v>136</v>
      </c>
      <c r="P152" s="261" t="s">
        <v>813</v>
      </c>
    </row>
    <row r="153" spans="1:21" ht="30" x14ac:dyDescent="0.25">
      <c r="B153" s="391" t="s">
        <v>1248</v>
      </c>
      <c r="C153" s="391" t="s">
        <v>1249</v>
      </c>
      <c r="D153" s="389" t="s">
        <v>0</v>
      </c>
      <c r="E153" s="390">
        <v>200</v>
      </c>
      <c r="F153" s="223"/>
      <c r="G153" s="223"/>
      <c r="H153" s="390">
        <v>60</v>
      </c>
      <c r="I153" s="223"/>
      <c r="J153" s="389" t="s">
        <v>1030</v>
      </c>
      <c r="K153" s="403"/>
      <c r="L153" s="402" t="s">
        <v>136</v>
      </c>
      <c r="P153" s="261" t="s">
        <v>813</v>
      </c>
    </row>
    <row r="154" spans="1:21" x14ac:dyDescent="0.25">
      <c r="B154" s="391" t="s">
        <v>1250</v>
      </c>
      <c r="C154" s="391" t="s">
        <v>1251</v>
      </c>
      <c r="D154" s="389" t="s">
        <v>1252</v>
      </c>
      <c r="E154" s="390">
        <v>200</v>
      </c>
      <c r="F154" s="223"/>
      <c r="G154" s="223"/>
      <c r="H154" s="390">
        <v>10</v>
      </c>
      <c r="I154" s="223"/>
      <c r="J154" s="389" t="s">
        <v>1030</v>
      </c>
      <c r="K154" s="403"/>
      <c r="L154" s="402" t="s">
        <v>136</v>
      </c>
      <c r="P154" s="261" t="s">
        <v>813</v>
      </c>
    </row>
    <row r="155" spans="1:21" x14ac:dyDescent="0.25">
      <c r="B155" s="391" t="s">
        <v>1253</v>
      </c>
      <c r="C155" s="391" t="s">
        <v>1013</v>
      </c>
      <c r="D155" s="389" t="s">
        <v>1254</v>
      </c>
      <c r="E155" s="390">
        <v>200</v>
      </c>
      <c r="F155" s="223"/>
      <c r="G155" s="223"/>
      <c r="H155" s="390">
        <v>50</v>
      </c>
      <c r="I155" s="223"/>
      <c r="J155" s="389" t="s">
        <v>1030</v>
      </c>
      <c r="K155" s="403"/>
      <c r="L155" s="402" t="s">
        <v>136</v>
      </c>
      <c r="P155" s="261" t="s">
        <v>813</v>
      </c>
    </row>
    <row r="156" spans="1:21" x14ac:dyDescent="0.25">
      <c r="B156" s="391" t="s">
        <v>1255</v>
      </c>
      <c r="C156" s="391" t="s">
        <v>1012</v>
      </c>
      <c r="D156" s="389" t="s">
        <v>1254</v>
      </c>
      <c r="E156" s="390">
        <v>200</v>
      </c>
      <c r="F156" s="223"/>
      <c r="G156" s="223"/>
      <c r="H156" s="390">
        <v>50</v>
      </c>
      <c r="I156" s="223"/>
      <c r="J156" s="389" t="s">
        <v>1030</v>
      </c>
      <c r="K156" s="403"/>
      <c r="L156" s="402" t="s">
        <v>136</v>
      </c>
      <c r="P156" s="261" t="s">
        <v>813</v>
      </c>
    </row>
    <row r="157" spans="1:21" ht="25.5" x14ac:dyDescent="0.25">
      <c r="B157" s="389" t="s">
        <v>1256</v>
      </c>
      <c r="C157" s="389" t="s">
        <v>1257</v>
      </c>
      <c r="D157" s="389" t="s">
        <v>0</v>
      </c>
      <c r="E157" s="390">
        <v>200</v>
      </c>
      <c r="F157" s="223"/>
      <c r="G157" s="223"/>
      <c r="H157" s="390">
        <v>30</v>
      </c>
      <c r="I157" s="223"/>
      <c r="J157" s="389" t="s">
        <v>1030</v>
      </c>
      <c r="K157" s="403"/>
      <c r="L157" s="402" t="s">
        <v>136</v>
      </c>
      <c r="P157" s="261" t="s">
        <v>813</v>
      </c>
    </row>
    <row r="158" spans="1:21" x14ac:dyDescent="0.25">
      <c r="B158" s="389" t="s">
        <v>1258</v>
      </c>
      <c r="C158" s="404" t="s">
        <v>1259</v>
      </c>
      <c r="D158" s="405" t="s">
        <v>1019</v>
      </c>
      <c r="E158" s="390">
        <v>100</v>
      </c>
      <c r="F158" s="223"/>
      <c r="G158" s="223"/>
      <c r="H158" s="390">
        <v>10</v>
      </c>
      <c r="I158" s="223"/>
      <c r="J158" s="389" t="s">
        <v>1030</v>
      </c>
      <c r="K158" s="403"/>
      <c r="L158" s="402" t="s">
        <v>136</v>
      </c>
      <c r="P158" s="261" t="s">
        <v>813</v>
      </c>
    </row>
    <row r="159" spans="1:21" ht="25.5" x14ac:dyDescent="0.25">
      <c r="B159" s="389" t="s">
        <v>965</v>
      </c>
      <c r="C159" s="389" t="s">
        <v>994</v>
      </c>
      <c r="D159" s="389" t="s">
        <v>1019</v>
      </c>
      <c r="E159" s="390">
        <v>100</v>
      </c>
      <c r="F159" s="223"/>
      <c r="G159" s="223"/>
      <c r="H159" s="390">
        <v>10</v>
      </c>
      <c r="I159" s="223"/>
      <c r="J159" s="389" t="s">
        <v>1030</v>
      </c>
      <c r="K159" s="403"/>
      <c r="L159" s="402" t="s">
        <v>136</v>
      </c>
      <c r="P159" s="261" t="s">
        <v>813</v>
      </c>
    </row>
    <row r="160" spans="1:21" x14ac:dyDescent="0.25">
      <c r="B160" s="389" t="s">
        <v>1260</v>
      </c>
      <c r="C160" s="389" t="s">
        <v>277</v>
      </c>
      <c r="D160" s="389" t="s">
        <v>1247</v>
      </c>
      <c r="E160" s="390">
        <v>100</v>
      </c>
      <c r="F160" s="223"/>
      <c r="G160" s="223"/>
      <c r="H160" s="390">
        <v>50</v>
      </c>
      <c r="I160" s="223"/>
      <c r="J160" s="389" t="s">
        <v>1030</v>
      </c>
      <c r="K160" s="403"/>
      <c r="L160" s="402" t="s">
        <v>136</v>
      </c>
      <c r="P160" s="261" t="s">
        <v>813</v>
      </c>
    </row>
    <row r="161" spans="2:16" x14ac:dyDescent="0.25">
      <c r="B161" s="389" t="s">
        <v>1261</v>
      </c>
      <c r="C161" s="389" t="s">
        <v>1015</v>
      </c>
      <c r="D161" s="389" t="s">
        <v>66</v>
      </c>
      <c r="E161" s="390">
        <v>10</v>
      </c>
      <c r="F161" s="223"/>
      <c r="G161" s="223"/>
      <c r="H161" s="390">
        <v>2</v>
      </c>
      <c r="I161" s="223"/>
      <c r="J161" s="389" t="s">
        <v>1030</v>
      </c>
      <c r="K161" s="403"/>
      <c r="L161" s="402" t="s">
        <v>136</v>
      </c>
      <c r="P161" s="261" t="s">
        <v>813</v>
      </c>
    </row>
    <row r="162" spans="2:16" ht="31.5" x14ac:dyDescent="0.25">
      <c r="B162" s="393" t="s">
        <v>964</v>
      </c>
      <c r="C162" s="406" t="s">
        <v>1262</v>
      </c>
      <c r="D162" s="394" t="s">
        <v>66</v>
      </c>
      <c r="E162" s="394">
        <v>200</v>
      </c>
      <c r="F162" s="223"/>
      <c r="G162" s="223"/>
      <c r="H162" s="394">
        <v>100</v>
      </c>
      <c r="I162" s="223"/>
      <c r="J162" s="389" t="s">
        <v>1030</v>
      </c>
      <c r="K162" s="403"/>
      <c r="L162" s="402" t="s">
        <v>136</v>
      </c>
      <c r="P162" s="261" t="s">
        <v>813</v>
      </c>
    </row>
    <row r="163" spans="2:16" ht="47.25" x14ac:dyDescent="0.25">
      <c r="B163" s="395" t="s">
        <v>1185</v>
      </c>
      <c r="C163" s="395" t="s">
        <v>1186</v>
      </c>
      <c r="D163" s="396" t="s">
        <v>428</v>
      </c>
      <c r="E163" s="397">
        <v>5</v>
      </c>
      <c r="F163" s="223"/>
      <c r="G163" s="223"/>
      <c r="H163" s="390">
        <f t="shared" ref="H163:H167" si="11">E163</f>
        <v>5</v>
      </c>
      <c r="I163" s="223"/>
      <c r="J163" s="389" t="s">
        <v>1030</v>
      </c>
      <c r="K163" s="403"/>
      <c r="L163" s="402" t="s">
        <v>136</v>
      </c>
      <c r="P163" s="261" t="s">
        <v>813</v>
      </c>
    </row>
    <row r="164" spans="2:16" ht="31.5" x14ac:dyDescent="0.25">
      <c r="B164" s="395" t="s">
        <v>1187</v>
      </c>
      <c r="C164" s="395" t="s">
        <v>1188</v>
      </c>
      <c r="D164" s="396" t="s">
        <v>0</v>
      </c>
      <c r="E164" s="397">
        <v>2</v>
      </c>
      <c r="F164" s="223"/>
      <c r="G164" s="223"/>
      <c r="H164" s="390">
        <f t="shared" si="11"/>
        <v>2</v>
      </c>
      <c r="I164" s="223"/>
      <c r="J164" s="389" t="s">
        <v>1030</v>
      </c>
      <c r="K164" s="403"/>
      <c r="L164" s="402" t="s">
        <v>136</v>
      </c>
      <c r="P164" s="261" t="s">
        <v>813</v>
      </c>
    </row>
    <row r="165" spans="2:16" ht="63" x14ac:dyDescent="0.25">
      <c r="B165" s="395" t="s">
        <v>1189</v>
      </c>
      <c r="C165" s="395" t="s">
        <v>1190</v>
      </c>
      <c r="D165" s="396" t="s">
        <v>0</v>
      </c>
      <c r="E165" s="397">
        <v>2</v>
      </c>
      <c r="F165" s="223"/>
      <c r="G165" s="223"/>
      <c r="H165" s="390">
        <f t="shared" si="11"/>
        <v>2</v>
      </c>
      <c r="I165" s="223"/>
      <c r="J165" s="389" t="s">
        <v>1030</v>
      </c>
      <c r="K165" s="403"/>
      <c r="L165" s="402" t="s">
        <v>136</v>
      </c>
      <c r="P165" s="261" t="s">
        <v>813</v>
      </c>
    </row>
    <row r="166" spans="2:16" ht="63" x14ac:dyDescent="0.25">
      <c r="B166" s="395" t="s">
        <v>1193</v>
      </c>
      <c r="C166" s="395" t="s">
        <v>1194</v>
      </c>
      <c r="D166" s="396" t="s">
        <v>0</v>
      </c>
      <c r="E166" s="397">
        <v>1</v>
      </c>
      <c r="F166" s="223"/>
      <c r="G166" s="223"/>
      <c r="H166" s="390">
        <f t="shared" si="11"/>
        <v>1</v>
      </c>
      <c r="I166" s="223"/>
      <c r="J166" s="389" t="s">
        <v>1030</v>
      </c>
      <c r="K166" s="403"/>
      <c r="L166" s="402" t="s">
        <v>136</v>
      </c>
      <c r="P166" s="261" t="s">
        <v>813</v>
      </c>
    </row>
    <row r="167" spans="2:16" ht="63" x14ac:dyDescent="0.25">
      <c r="B167" s="398" t="s">
        <v>1195</v>
      </c>
      <c r="C167" s="399" t="s">
        <v>1196</v>
      </c>
      <c r="D167" s="396" t="s">
        <v>0</v>
      </c>
      <c r="E167" s="397">
        <v>3</v>
      </c>
      <c r="F167" s="223"/>
      <c r="G167" s="223"/>
      <c r="H167" s="390">
        <f t="shared" si="11"/>
        <v>3</v>
      </c>
      <c r="I167" s="223"/>
      <c r="J167" s="389" t="s">
        <v>1030</v>
      </c>
      <c r="K167" s="403"/>
      <c r="L167" s="402" t="s">
        <v>136</v>
      </c>
      <c r="P167" s="261" t="s">
        <v>813</v>
      </c>
    </row>
    <row r="168" spans="2:16" ht="25.5" x14ac:dyDescent="0.25">
      <c r="B168" s="389" t="s">
        <v>929</v>
      </c>
      <c r="C168" s="389" t="s">
        <v>930</v>
      </c>
      <c r="D168" s="389" t="s">
        <v>1019</v>
      </c>
      <c r="E168" s="389">
        <v>1</v>
      </c>
      <c r="F168" s="223"/>
      <c r="G168" s="223"/>
      <c r="H168" s="389">
        <v>1</v>
      </c>
      <c r="I168" s="223"/>
      <c r="J168" s="389" t="s">
        <v>1030</v>
      </c>
      <c r="K168" s="403"/>
      <c r="L168" s="402" t="s">
        <v>136</v>
      </c>
      <c r="P168" s="261" t="s">
        <v>813</v>
      </c>
    </row>
    <row r="169" spans="2:16" ht="25.5" x14ac:dyDescent="0.25">
      <c r="B169" s="389" t="s">
        <v>1263</v>
      </c>
      <c r="C169" s="389" t="s">
        <v>1264</v>
      </c>
      <c r="D169" s="389" t="s">
        <v>1019</v>
      </c>
      <c r="E169" s="389">
        <v>2</v>
      </c>
      <c r="F169" s="223"/>
      <c r="G169" s="223"/>
      <c r="H169" s="389">
        <v>2</v>
      </c>
      <c r="I169" s="223"/>
      <c r="J169" s="389" t="s">
        <v>1030</v>
      </c>
      <c r="K169" s="403"/>
      <c r="L169" s="402" t="s">
        <v>136</v>
      </c>
      <c r="P169" s="261" t="s">
        <v>813</v>
      </c>
    </row>
    <row r="170" spans="2:16" ht="25.5" x14ac:dyDescent="0.25">
      <c r="B170" s="389" t="s">
        <v>1265</v>
      </c>
      <c r="C170" s="389" t="s">
        <v>1266</v>
      </c>
      <c r="D170" s="389" t="s">
        <v>1019</v>
      </c>
      <c r="E170" s="389">
        <v>4</v>
      </c>
      <c r="F170" s="223"/>
      <c r="G170" s="223"/>
      <c r="H170" s="389">
        <v>4</v>
      </c>
      <c r="I170" s="223"/>
      <c r="J170" s="389" t="s">
        <v>1030</v>
      </c>
      <c r="K170" s="403"/>
      <c r="L170" s="402" t="s">
        <v>136</v>
      </c>
      <c r="P170" s="261" t="s">
        <v>813</v>
      </c>
    </row>
    <row r="171" spans="2:16" ht="25.5" x14ac:dyDescent="0.25">
      <c r="B171" s="389" t="s">
        <v>1267</v>
      </c>
      <c r="C171" s="389" t="s">
        <v>1268</v>
      </c>
      <c r="D171" s="389" t="s">
        <v>1019</v>
      </c>
      <c r="E171" s="389">
        <v>4</v>
      </c>
      <c r="F171" s="223"/>
      <c r="G171" s="223"/>
      <c r="H171" s="389">
        <v>4</v>
      </c>
      <c r="I171" s="223"/>
      <c r="J171" s="389" t="s">
        <v>1030</v>
      </c>
      <c r="K171" s="403"/>
      <c r="L171" s="402" t="s">
        <v>136</v>
      </c>
      <c r="P171" s="261" t="s">
        <v>813</v>
      </c>
    </row>
    <row r="172" spans="2:16" ht="25.5" x14ac:dyDescent="0.25">
      <c r="B172" s="389" t="s">
        <v>1269</v>
      </c>
      <c r="C172" s="389" t="s">
        <v>1270</v>
      </c>
      <c r="D172" s="389" t="s">
        <v>1019</v>
      </c>
      <c r="E172" s="389">
        <v>4</v>
      </c>
      <c r="F172" s="223"/>
      <c r="G172" s="223"/>
      <c r="H172" s="389">
        <v>4</v>
      </c>
      <c r="I172" s="223"/>
      <c r="J172" s="389" t="s">
        <v>1030</v>
      </c>
      <c r="K172" s="403"/>
      <c r="L172" s="402" t="s">
        <v>136</v>
      </c>
      <c r="P172" s="261" t="s">
        <v>813</v>
      </c>
    </row>
    <row r="173" spans="2:16" x14ac:dyDescent="0.25">
      <c r="B173" s="389" t="s">
        <v>931</v>
      </c>
      <c r="C173" s="389" t="s">
        <v>932</v>
      </c>
      <c r="D173" s="389" t="s">
        <v>1019</v>
      </c>
      <c r="E173" s="389">
        <v>4</v>
      </c>
      <c r="F173" s="223"/>
      <c r="G173" s="223"/>
      <c r="H173" s="389">
        <v>4</v>
      </c>
      <c r="I173" s="223"/>
      <c r="J173" s="389" t="s">
        <v>1030</v>
      </c>
      <c r="K173" s="403"/>
      <c r="L173" s="402" t="s">
        <v>136</v>
      </c>
      <c r="P173" s="261" t="s">
        <v>813</v>
      </c>
    </row>
    <row r="174" spans="2:16" ht="25.5" x14ac:dyDescent="0.25">
      <c r="B174" s="389" t="s">
        <v>1271</v>
      </c>
      <c r="C174" s="389" t="s">
        <v>1272</v>
      </c>
      <c r="D174" s="389" t="s">
        <v>1019</v>
      </c>
      <c r="E174" s="389">
        <v>12</v>
      </c>
      <c r="F174" s="223"/>
      <c r="G174" s="223"/>
      <c r="H174" s="389">
        <v>12</v>
      </c>
      <c r="I174" s="223"/>
      <c r="J174" s="389" t="s">
        <v>1030</v>
      </c>
      <c r="K174" s="403"/>
      <c r="L174" s="402" t="s">
        <v>136</v>
      </c>
      <c r="P174" s="261" t="s">
        <v>813</v>
      </c>
    </row>
    <row r="175" spans="2:16" ht="25.5" x14ac:dyDescent="0.25">
      <c r="B175" s="389" t="s">
        <v>1273</v>
      </c>
      <c r="C175" s="389" t="s">
        <v>1274</v>
      </c>
      <c r="D175" s="389" t="s">
        <v>1019</v>
      </c>
      <c r="E175" s="389">
        <v>12</v>
      </c>
      <c r="F175" s="223"/>
      <c r="G175" s="223"/>
      <c r="H175" s="389">
        <v>12</v>
      </c>
      <c r="I175" s="223"/>
      <c r="J175" s="389" t="s">
        <v>1030</v>
      </c>
      <c r="K175" s="403"/>
      <c r="L175" s="402" t="s">
        <v>136</v>
      </c>
      <c r="P175" s="261" t="s">
        <v>813</v>
      </c>
    </row>
    <row r="176" spans="2:16" ht="25.5" x14ac:dyDescent="0.25">
      <c r="B176" s="389" t="s">
        <v>1275</v>
      </c>
      <c r="C176" s="389" t="s">
        <v>1276</v>
      </c>
      <c r="D176" s="389" t="s">
        <v>1019</v>
      </c>
      <c r="E176" s="389">
        <v>8</v>
      </c>
      <c r="F176" s="223"/>
      <c r="G176" s="223"/>
      <c r="H176" s="389">
        <v>8</v>
      </c>
      <c r="I176" s="223"/>
      <c r="J176" s="413" t="s">
        <v>1030</v>
      </c>
      <c r="K176" s="403"/>
      <c r="L176" s="402" t="s">
        <v>136</v>
      </c>
      <c r="P176" s="261" t="s">
        <v>813</v>
      </c>
    </row>
    <row r="177" spans="2:16" ht="102" x14ac:dyDescent="0.2">
      <c r="B177" s="407" t="s">
        <v>1277</v>
      </c>
      <c r="C177" s="408" t="s">
        <v>1278</v>
      </c>
      <c r="D177" s="407" t="s">
        <v>0</v>
      </c>
      <c r="E177" s="409">
        <v>1</v>
      </c>
      <c r="F177" s="223"/>
      <c r="G177" s="223"/>
      <c r="H177" s="409">
        <v>1</v>
      </c>
      <c r="I177" s="223"/>
      <c r="J177" s="413" t="s">
        <v>1030</v>
      </c>
      <c r="K177" s="403"/>
      <c r="L177" s="402" t="s">
        <v>136</v>
      </c>
      <c r="P177" s="261" t="s">
        <v>813</v>
      </c>
    </row>
    <row r="178" spans="2:16" ht="38.25" x14ac:dyDescent="0.2">
      <c r="B178" s="407"/>
      <c r="C178" s="408" t="s">
        <v>1279</v>
      </c>
      <c r="D178" s="407" t="s">
        <v>0</v>
      </c>
      <c r="E178" s="409">
        <v>1</v>
      </c>
      <c r="F178" s="223"/>
      <c r="G178" s="223"/>
      <c r="H178" s="409">
        <v>1</v>
      </c>
      <c r="I178" s="223"/>
      <c r="J178" s="413" t="s">
        <v>1030</v>
      </c>
      <c r="K178" s="403"/>
      <c r="L178" s="402" t="s">
        <v>136</v>
      </c>
      <c r="P178" s="261" t="s">
        <v>813</v>
      </c>
    </row>
    <row r="179" spans="2:16" ht="199.5" x14ac:dyDescent="0.2">
      <c r="B179" s="407"/>
      <c r="C179" s="410" t="s">
        <v>1280</v>
      </c>
      <c r="D179" s="407" t="s">
        <v>0</v>
      </c>
      <c r="E179" s="409">
        <v>3</v>
      </c>
      <c r="F179" s="223"/>
      <c r="G179" s="223"/>
      <c r="H179" s="409">
        <v>3</v>
      </c>
      <c r="I179" s="223"/>
      <c r="J179" s="413" t="s">
        <v>1030</v>
      </c>
      <c r="K179" s="403"/>
      <c r="L179" s="402" t="s">
        <v>136</v>
      </c>
      <c r="P179" s="261" t="s">
        <v>813</v>
      </c>
    </row>
    <row r="180" spans="2:16" ht="71.25" x14ac:dyDescent="0.2">
      <c r="B180" s="407"/>
      <c r="C180" s="410" t="s">
        <v>1281</v>
      </c>
      <c r="D180" s="407" t="s">
        <v>0</v>
      </c>
      <c r="E180" s="409">
        <v>9</v>
      </c>
      <c r="F180" s="223"/>
      <c r="G180" s="223"/>
      <c r="H180" s="409">
        <v>9</v>
      </c>
      <c r="I180" s="223"/>
      <c r="J180" s="413" t="s">
        <v>1030</v>
      </c>
      <c r="K180" s="403"/>
      <c r="L180" s="402" t="s">
        <v>136</v>
      </c>
      <c r="P180" s="261" t="s">
        <v>813</v>
      </c>
    </row>
    <row r="181" spans="2:16" ht="102" x14ac:dyDescent="0.2">
      <c r="B181" s="407"/>
      <c r="C181" s="408" t="s">
        <v>1282</v>
      </c>
      <c r="D181" s="407" t="s">
        <v>0</v>
      </c>
      <c r="E181" s="409">
        <v>4</v>
      </c>
      <c r="F181" s="223"/>
      <c r="G181" s="223"/>
      <c r="H181" s="409">
        <v>4</v>
      </c>
      <c r="I181" s="223"/>
      <c r="J181" s="413" t="s">
        <v>1030</v>
      </c>
      <c r="K181" s="403"/>
      <c r="L181" s="402" t="s">
        <v>136</v>
      </c>
      <c r="P181" s="261" t="s">
        <v>813</v>
      </c>
    </row>
    <row r="182" spans="2:16" ht="114.75" x14ac:dyDescent="0.2">
      <c r="B182" s="407" t="s">
        <v>1283</v>
      </c>
      <c r="C182" s="408" t="s">
        <v>1284</v>
      </c>
      <c r="D182" s="407" t="s">
        <v>0</v>
      </c>
      <c r="E182" s="409">
        <v>10</v>
      </c>
      <c r="F182" s="223"/>
      <c r="G182" s="223"/>
      <c r="H182" s="409">
        <v>10</v>
      </c>
      <c r="I182" s="223"/>
      <c r="J182" s="413" t="s">
        <v>1030</v>
      </c>
      <c r="K182" s="403"/>
      <c r="L182" s="402" t="s">
        <v>136</v>
      </c>
      <c r="P182" s="261" t="s">
        <v>813</v>
      </c>
    </row>
    <row r="183" spans="2:16" ht="102" x14ac:dyDescent="0.2">
      <c r="B183" s="407" t="s">
        <v>1283</v>
      </c>
      <c r="C183" s="408" t="s">
        <v>1282</v>
      </c>
      <c r="D183" s="407" t="s">
        <v>0</v>
      </c>
      <c r="E183" s="409">
        <v>2</v>
      </c>
      <c r="F183" s="223"/>
      <c r="G183" s="223"/>
      <c r="H183" s="409">
        <v>2</v>
      </c>
      <c r="I183" s="223"/>
      <c r="J183" s="413" t="s">
        <v>1030</v>
      </c>
      <c r="K183" s="403"/>
      <c r="L183" s="402" t="s">
        <v>136</v>
      </c>
      <c r="P183" s="261" t="s">
        <v>813</v>
      </c>
    </row>
    <row r="184" spans="2:16" ht="42.75" x14ac:dyDescent="0.2">
      <c r="B184" s="411" t="s">
        <v>1285</v>
      </c>
      <c r="C184" s="410" t="s">
        <v>1286</v>
      </c>
      <c r="D184" s="411" t="s">
        <v>0</v>
      </c>
      <c r="E184" s="412">
        <v>5</v>
      </c>
      <c r="F184" s="223"/>
      <c r="G184" s="223"/>
      <c r="H184" s="412">
        <v>5</v>
      </c>
      <c r="I184" s="223"/>
      <c r="J184" s="413" t="s">
        <v>1030</v>
      </c>
      <c r="K184" s="403"/>
      <c r="L184" s="402" t="s">
        <v>136</v>
      </c>
      <c r="P184" s="261" t="s">
        <v>813</v>
      </c>
    </row>
    <row r="185" spans="2:16" ht="25.5" x14ac:dyDescent="0.2">
      <c r="B185" s="407" t="s">
        <v>1287</v>
      </c>
      <c r="C185" s="408" t="s">
        <v>1288</v>
      </c>
      <c r="D185" s="407" t="s">
        <v>0</v>
      </c>
      <c r="E185" s="409">
        <v>1</v>
      </c>
      <c r="F185" s="223"/>
      <c r="G185" s="223"/>
      <c r="H185" s="409">
        <v>1</v>
      </c>
      <c r="I185" s="223"/>
      <c r="J185" s="413" t="s">
        <v>1030</v>
      </c>
      <c r="K185" s="403"/>
      <c r="L185" s="402" t="s">
        <v>136</v>
      </c>
      <c r="P185" s="261" t="s">
        <v>813</v>
      </c>
    </row>
    <row r="186" spans="2:16" ht="28.5" x14ac:dyDescent="0.2">
      <c r="B186" s="407"/>
      <c r="C186" s="411" t="s">
        <v>1289</v>
      </c>
      <c r="D186" s="411" t="s">
        <v>0</v>
      </c>
      <c r="E186" s="412">
        <v>4</v>
      </c>
      <c r="F186" s="223"/>
      <c r="G186" s="223"/>
      <c r="H186" s="412">
        <v>4</v>
      </c>
      <c r="I186" s="223"/>
      <c r="J186" s="413" t="s">
        <v>1030</v>
      </c>
      <c r="K186" s="403"/>
      <c r="L186" s="402" t="s">
        <v>136</v>
      </c>
      <c r="P186" s="261" t="s">
        <v>813</v>
      </c>
    </row>
    <row r="187" spans="2:16" ht="38.25" x14ac:dyDescent="0.2">
      <c r="B187" s="407" t="s">
        <v>1290</v>
      </c>
      <c r="C187" s="408" t="s">
        <v>1291</v>
      </c>
      <c r="D187" s="407" t="s">
        <v>0</v>
      </c>
      <c r="E187" s="409">
        <v>2</v>
      </c>
      <c r="F187" s="223"/>
      <c r="G187" s="223"/>
      <c r="H187" s="409">
        <v>2</v>
      </c>
      <c r="I187" s="223"/>
      <c r="J187" s="413" t="s">
        <v>1030</v>
      </c>
      <c r="K187" s="403"/>
      <c r="L187" s="402" t="s">
        <v>136</v>
      </c>
      <c r="P187" s="261" t="s">
        <v>813</v>
      </c>
    </row>
    <row r="188" spans="2:16" ht="51" x14ac:dyDescent="0.2">
      <c r="B188" s="407"/>
      <c r="C188" s="408" t="s">
        <v>1292</v>
      </c>
      <c r="D188" s="407" t="s">
        <v>0</v>
      </c>
      <c r="E188" s="409">
        <v>1</v>
      </c>
      <c r="F188" s="223"/>
      <c r="G188" s="223"/>
      <c r="H188" s="409">
        <v>1</v>
      </c>
      <c r="I188" s="223"/>
      <c r="J188" s="413" t="s">
        <v>1030</v>
      </c>
      <c r="K188" s="403"/>
      <c r="L188" s="402" t="s">
        <v>136</v>
      </c>
      <c r="P188" s="261" t="s">
        <v>813</v>
      </c>
    </row>
    <row r="189" spans="2:16" ht="51" x14ac:dyDescent="0.2">
      <c r="B189" s="407"/>
      <c r="C189" s="408" t="s">
        <v>1293</v>
      </c>
      <c r="D189" s="407" t="s">
        <v>0</v>
      </c>
      <c r="E189" s="409">
        <v>1</v>
      </c>
      <c r="F189" s="223"/>
      <c r="G189" s="223"/>
      <c r="H189" s="409">
        <v>1</v>
      </c>
      <c r="I189" s="223"/>
      <c r="J189" s="413" t="s">
        <v>1030</v>
      </c>
      <c r="K189" s="403"/>
      <c r="L189" s="402" t="s">
        <v>136</v>
      </c>
      <c r="P189" s="261" t="s">
        <v>813</v>
      </c>
    </row>
    <row r="190" spans="2:16" x14ac:dyDescent="0.2">
      <c r="B190" s="407"/>
      <c r="C190" s="407" t="s">
        <v>1294</v>
      </c>
      <c r="D190" s="407" t="s">
        <v>0</v>
      </c>
      <c r="E190" s="409">
        <v>1</v>
      </c>
      <c r="F190" s="223"/>
      <c r="G190" s="223"/>
      <c r="H190" s="409">
        <v>1</v>
      </c>
      <c r="I190" s="223"/>
      <c r="J190" s="413" t="s">
        <v>1030</v>
      </c>
      <c r="K190" s="403"/>
      <c r="L190" s="402" t="s">
        <v>136</v>
      </c>
      <c r="P190" s="261" t="s">
        <v>813</v>
      </c>
    </row>
    <row r="191" spans="2:16" ht="63.75" x14ac:dyDescent="0.2">
      <c r="B191" s="407"/>
      <c r="C191" s="408" t="s">
        <v>1295</v>
      </c>
      <c r="D191" s="407" t="s">
        <v>0</v>
      </c>
      <c r="E191" s="409">
        <v>1</v>
      </c>
      <c r="F191" s="223"/>
      <c r="G191" s="223"/>
      <c r="H191" s="409">
        <v>1</v>
      </c>
      <c r="I191" s="223"/>
      <c r="J191" s="413" t="s">
        <v>1030</v>
      </c>
      <c r="K191" s="403"/>
      <c r="L191" s="402" t="s">
        <v>136</v>
      </c>
      <c r="P191" s="261" t="s">
        <v>813</v>
      </c>
    </row>
    <row r="192" spans="2:16" ht="89.25" x14ac:dyDescent="0.2">
      <c r="B192" s="407" t="s">
        <v>1296</v>
      </c>
      <c r="C192" s="408" t="s">
        <v>1297</v>
      </c>
      <c r="D192" s="407" t="s">
        <v>0</v>
      </c>
      <c r="E192" s="409">
        <v>1</v>
      </c>
      <c r="F192" s="223"/>
      <c r="G192" s="223"/>
      <c r="H192" s="409">
        <v>1</v>
      </c>
      <c r="I192" s="223"/>
      <c r="J192" s="413" t="s">
        <v>1030</v>
      </c>
      <c r="K192" s="403"/>
      <c r="L192" s="402" t="s">
        <v>136</v>
      </c>
      <c r="P192" s="261" t="s">
        <v>813</v>
      </c>
    </row>
    <row r="193" spans="2:16" ht="102" x14ac:dyDescent="0.2">
      <c r="B193" s="407"/>
      <c r="C193" s="408" t="s">
        <v>1298</v>
      </c>
      <c r="D193" s="407" t="s">
        <v>0</v>
      </c>
      <c r="E193" s="409">
        <v>1</v>
      </c>
      <c r="F193" s="223"/>
      <c r="G193" s="223"/>
      <c r="H193" s="409">
        <v>1</v>
      </c>
      <c r="I193" s="223"/>
      <c r="J193" s="413" t="s">
        <v>1030</v>
      </c>
      <c r="K193" s="403"/>
      <c r="L193" s="402" t="s">
        <v>136</v>
      </c>
      <c r="P193" s="261" t="s">
        <v>813</v>
      </c>
    </row>
    <row r="194" spans="2:16" ht="102" x14ac:dyDescent="0.2">
      <c r="B194" s="407"/>
      <c r="C194" s="408" t="s">
        <v>1299</v>
      </c>
      <c r="D194" s="407" t="s">
        <v>0</v>
      </c>
      <c r="E194" s="409">
        <v>1</v>
      </c>
      <c r="F194" s="223"/>
      <c r="G194" s="223"/>
      <c r="H194" s="409">
        <v>1</v>
      </c>
      <c r="I194" s="223"/>
      <c r="J194" s="413" t="s">
        <v>1030</v>
      </c>
      <c r="K194" s="403"/>
      <c r="L194" s="402" t="s">
        <v>136</v>
      </c>
      <c r="P194" s="261" t="s">
        <v>813</v>
      </c>
    </row>
    <row r="195" spans="2:16" ht="102" x14ac:dyDescent="0.2">
      <c r="B195" s="407"/>
      <c r="C195" s="408" t="s">
        <v>1300</v>
      </c>
      <c r="D195" s="407" t="s">
        <v>0</v>
      </c>
      <c r="E195" s="409">
        <v>1</v>
      </c>
      <c r="F195" s="223"/>
      <c r="G195" s="223"/>
      <c r="H195" s="409">
        <v>1</v>
      </c>
      <c r="I195" s="223"/>
      <c r="J195" s="413" t="s">
        <v>1030</v>
      </c>
      <c r="K195" s="403"/>
      <c r="L195" s="402" t="s">
        <v>136</v>
      </c>
      <c r="P195" s="261" t="s">
        <v>813</v>
      </c>
    </row>
    <row r="196" spans="2:16" x14ac:dyDescent="0.2">
      <c r="B196" s="407"/>
      <c r="C196" s="407"/>
      <c r="D196" s="407"/>
      <c r="E196" s="407"/>
      <c r="F196" s="223"/>
      <c r="G196" s="223"/>
      <c r="H196" s="407"/>
      <c r="I196" s="223"/>
      <c r="J196" s="413" t="s">
        <v>1030</v>
      </c>
      <c r="K196" s="403"/>
      <c r="L196" s="402" t="s">
        <v>136</v>
      </c>
      <c r="P196" s="261" t="s">
        <v>813</v>
      </c>
    </row>
    <row r="197" spans="2:16" ht="102" x14ac:dyDescent="0.2">
      <c r="B197" s="407" t="s">
        <v>1301</v>
      </c>
      <c r="C197" s="408" t="s">
        <v>1302</v>
      </c>
      <c r="D197" s="407" t="s">
        <v>0</v>
      </c>
      <c r="E197" s="409">
        <v>1</v>
      </c>
      <c r="F197" s="223"/>
      <c r="G197" s="223"/>
      <c r="H197" s="409">
        <v>1</v>
      </c>
      <c r="I197" s="223"/>
      <c r="J197" s="413" t="s">
        <v>1030</v>
      </c>
      <c r="K197" s="403"/>
      <c r="L197" s="402" t="s">
        <v>136</v>
      </c>
      <c r="P197" s="261" t="s">
        <v>813</v>
      </c>
    </row>
    <row r="198" spans="2:16" ht="25.5" x14ac:dyDescent="0.2">
      <c r="B198" s="407" t="s">
        <v>1303</v>
      </c>
      <c r="C198" s="407" t="s">
        <v>1304</v>
      </c>
      <c r="D198" s="407" t="s">
        <v>0</v>
      </c>
      <c r="E198" s="409">
        <v>1</v>
      </c>
      <c r="F198" s="223"/>
      <c r="G198" s="223"/>
      <c r="H198" s="409">
        <v>1</v>
      </c>
      <c r="I198" s="223"/>
      <c r="J198" s="413" t="s">
        <v>1030</v>
      </c>
      <c r="K198" s="403"/>
      <c r="L198" s="402" t="s">
        <v>136</v>
      </c>
      <c r="P198" s="261" t="s">
        <v>813</v>
      </c>
    </row>
    <row r="199" spans="2:16" ht="25.5" x14ac:dyDescent="0.2">
      <c r="B199" s="407"/>
      <c r="C199" s="407" t="s">
        <v>1305</v>
      </c>
      <c r="D199" s="407" t="s">
        <v>0</v>
      </c>
      <c r="E199" s="409">
        <v>3</v>
      </c>
      <c r="F199" s="223"/>
      <c r="G199" s="223"/>
      <c r="H199" s="409">
        <v>3</v>
      </c>
      <c r="I199" s="223"/>
      <c r="J199" s="413" t="s">
        <v>1030</v>
      </c>
      <c r="K199" s="403"/>
      <c r="L199" s="402" t="s">
        <v>136</v>
      </c>
      <c r="P199" s="261" t="s">
        <v>813</v>
      </c>
    </row>
    <row r="200" spans="2:16" ht="76.5" x14ac:dyDescent="0.2">
      <c r="B200" s="407"/>
      <c r="C200" s="408" t="s">
        <v>1306</v>
      </c>
      <c r="D200" s="407" t="s">
        <v>0</v>
      </c>
      <c r="E200" s="409">
        <v>1</v>
      </c>
      <c r="F200" s="223"/>
      <c r="G200" s="223"/>
      <c r="H200" s="409">
        <v>1</v>
      </c>
      <c r="I200" s="223"/>
      <c r="J200" s="413" t="s">
        <v>1030</v>
      </c>
      <c r="K200" s="403"/>
      <c r="L200" s="402" t="s">
        <v>136</v>
      </c>
      <c r="P200" s="261" t="s">
        <v>813</v>
      </c>
    </row>
    <row r="201" spans="2:16" ht="25.5" x14ac:dyDescent="0.2">
      <c r="B201" s="407"/>
      <c r="C201" s="407" t="s">
        <v>1307</v>
      </c>
      <c r="D201" s="407" t="s">
        <v>0</v>
      </c>
      <c r="E201" s="409">
        <v>1</v>
      </c>
      <c r="F201" s="223"/>
      <c r="G201" s="223"/>
      <c r="H201" s="409">
        <v>1</v>
      </c>
      <c r="I201" s="223"/>
      <c r="J201" s="413" t="s">
        <v>1030</v>
      </c>
      <c r="K201" s="403"/>
      <c r="L201" s="402" t="s">
        <v>136</v>
      </c>
      <c r="P201" s="261" t="s">
        <v>813</v>
      </c>
    </row>
    <row r="202" spans="2:16" ht="25.5" x14ac:dyDescent="0.2">
      <c r="B202" s="407"/>
      <c r="C202" s="407" t="s">
        <v>1308</v>
      </c>
      <c r="D202" s="407" t="s">
        <v>0</v>
      </c>
      <c r="E202" s="409">
        <v>1</v>
      </c>
      <c r="F202" s="223"/>
      <c r="G202" s="223"/>
      <c r="H202" s="409">
        <v>1</v>
      </c>
      <c r="I202" s="223"/>
      <c r="J202" s="413" t="s">
        <v>1030</v>
      </c>
      <c r="K202" s="403"/>
      <c r="L202" s="402" t="s">
        <v>136</v>
      </c>
      <c r="P202" s="261" t="s">
        <v>813</v>
      </c>
    </row>
    <row r="203" spans="2:16" x14ac:dyDescent="0.25">
      <c r="B203" s="400"/>
      <c r="C203" s="401"/>
      <c r="D203" s="392"/>
      <c r="E203" s="392"/>
      <c r="P203" s="261" t="s">
        <v>813</v>
      </c>
    </row>
    <row r="204" spans="2:16" ht="30" x14ac:dyDescent="0.25">
      <c r="B204" s="417" t="s">
        <v>959</v>
      </c>
      <c r="C204" s="414" t="s">
        <v>1316</v>
      </c>
      <c r="D204" s="417" t="s">
        <v>51</v>
      </c>
      <c r="E204" s="429">
        <v>60</v>
      </c>
      <c r="H204" s="429">
        <v>60</v>
      </c>
      <c r="J204" s="347" t="s">
        <v>1346</v>
      </c>
      <c r="L204" s="308" t="s">
        <v>197</v>
      </c>
      <c r="P204" s="261" t="s">
        <v>813</v>
      </c>
    </row>
    <row r="205" spans="2:16" x14ac:dyDescent="0.2">
      <c r="B205" s="430" t="s">
        <v>250</v>
      </c>
      <c r="C205" s="431" t="s">
        <v>261</v>
      </c>
      <c r="D205" s="421" t="s">
        <v>1018</v>
      </c>
      <c r="E205" s="429">
        <v>100</v>
      </c>
      <c r="H205" s="429">
        <v>100</v>
      </c>
      <c r="J205" s="347" t="s">
        <v>1346</v>
      </c>
      <c r="L205" s="308" t="s">
        <v>197</v>
      </c>
      <c r="P205" s="261" t="s">
        <v>813</v>
      </c>
    </row>
    <row r="206" spans="2:16" ht="30" x14ac:dyDescent="0.25">
      <c r="B206" s="419" t="s">
        <v>962</v>
      </c>
      <c r="C206" s="416" t="s">
        <v>989</v>
      </c>
      <c r="D206" s="422" t="s">
        <v>1018</v>
      </c>
      <c r="E206" s="429">
        <v>200</v>
      </c>
      <c r="H206" s="429">
        <v>200</v>
      </c>
      <c r="J206" s="347" t="s">
        <v>1346</v>
      </c>
      <c r="L206" s="308" t="s">
        <v>197</v>
      </c>
      <c r="P206" s="261" t="s">
        <v>813</v>
      </c>
    </row>
    <row r="207" spans="2:16" x14ac:dyDescent="0.2">
      <c r="B207" s="430" t="s">
        <v>149</v>
      </c>
      <c r="C207" s="431" t="s">
        <v>150</v>
      </c>
      <c r="D207" s="417" t="s">
        <v>0</v>
      </c>
      <c r="E207" s="429">
        <v>15000</v>
      </c>
      <c r="H207" s="429">
        <v>15000</v>
      </c>
      <c r="J207" s="347" t="s">
        <v>1346</v>
      </c>
      <c r="L207" s="308" t="s">
        <v>197</v>
      </c>
      <c r="P207" s="261" t="s">
        <v>813</v>
      </c>
    </row>
    <row r="208" spans="2:16" ht="22.5" x14ac:dyDescent="0.2">
      <c r="B208" s="427" t="s">
        <v>1330</v>
      </c>
      <c r="C208" s="428" t="s">
        <v>1331</v>
      </c>
      <c r="D208" s="423" t="s">
        <v>428</v>
      </c>
      <c r="E208" s="429">
        <v>100</v>
      </c>
      <c r="H208" s="429">
        <v>100</v>
      </c>
      <c r="J208" s="347" t="s">
        <v>1346</v>
      </c>
      <c r="L208" s="308" t="s">
        <v>197</v>
      </c>
      <c r="P208" s="261" t="s">
        <v>813</v>
      </c>
    </row>
    <row r="209" spans="2:16" x14ac:dyDescent="0.2">
      <c r="B209" s="427" t="s">
        <v>258</v>
      </c>
      <c r="C209" s="428" t="s">
        <v>269</v>
      </c>
      <c r="D209" s="417" t="s">
        <v>0</v>
      </c>
      <c r="E209" s="429">
        <v>100</v>
      </c>
      <c r="H209" s="429">
        <v>100</v>
      </c>
      <c r="J209" s="347" t="s">
        <v>1346</v>
      </c>
      <c r="L209" s="308" t="s">
        <v>197</v>
      </c>
      <c r="P209" s="261" t="s">
        <v>813</v>
      </c>
    </row>
    <row r="210" spans="2:16" x14ac:dyDescent="0.2">
      <c r="B210" s="427" t="s">
        <v>964</v>
      </c>
      <c r="C210" s="428" t="s">
        <v>1262</v>
      </c>
      <c r="D210" s="422" t="s">
        <v>66</v>
      </c>
      <c r="E210" s="429">
        <v>200</v>
      </c>
      <c r="H210" s="429">
        <v>200</v>
      </c>
      <c r="J210" s="347" t="s">
        <v>1346</v>
      </c>
      <c r="L210" s="308" t="s">
        <v>197</v>
      </c>
      <c r="P210" s="261" t="s">
        <v>813</v>
      </c>
    </row>
    <row r="211" spans="2:16" ht="30" x14ac:dyDescent="0.25">
      <c r="B211" s="419" t="s">
        <v>966</v>
      </c>
      <c r="C211" s="416" t="s">
        <v>995</v>
      </c>
      <c r="D211" s="422" t="s">
        <v>1020</v>
      </c>
      <c r="E211" s="429">
        <v>30</v>
      </c>
      <c r="H211" s="429">
        <v>30</v>
      </c>
      <c r="J211" s="347" t="s">
        <v>1346</v>
      </c>
      <c r="L211" s="308" t="s">
        <v>197</v>
      </c>
      <c r="P211" s="261" t="s">
        <v>813</v>
      </c>
    </row>
    <row r="212" spans="2:16" ht="30" x14ac:dyDescent="0.25">
      <c r="B212" s="417" t="s">
        <v>967</v>
      </c>
      <c r="C212" s="415" t="s">
        <v>996</v>
      </c>
      <c r="D212" s="417" t="s">
        <v>765</v>
      </c>
      <c r="E212" s="429">
        <v>35</v>
      </c>
      <c r="H212" s="429">
        <v>35</v>
      </c>
      <c r="J212" s="347" t="s">
        <v>1346</v>
      </c>
      <c r="L212" s="308" t="s">
        <v>197</v>
      </c>
      <c r="P212" s="261" t="s">
        <v>813</v>
      </c>
    </row>
    <row r="213" spans="2:16" x14ac:dyDescent="0.2">
      <c r="B213" s="377" t="s">
        <v>1332</v>
      </c>
      <c r="C213" s="377" t="s">
        <v>1333</v>
      </c>
      <c r="D213" s="424" t="s">
        <v>0</v>
      </c>
      <c r="E213" s="429">
        <v>10</v>
      </c>
      <c r="H213" s="429">
        <v>10</v>
      </c>
      <c r="J213" s="347" t="s">
        <v>1346</v>
      </c>
      <c r="P213" s="261" t="s">
        <v>813</v>
      </c>
    </row>
    <row r="214" spans="2:16" ht="30" x14ac:dyDescent="0.25">
      <c r="B214" s="432" t="s">
        <v>970</v>
      </c>
      <c r="C214" s="414" t="s">
        <v>999</v>
      </c>
      <c r="D214" s="422" t="s">
        <v>51</v>
      </c>
      <c r="E214" s="429">
        <v>191</v>
      </c>
      <c r="H214" s="429">
        <v>191</v>
      </c>
      <c r="J214" s="347" t="s">
        <v>1346</v>
      </c>
      <c r="L214" s="308" t="s">
        <v>197</v>
      </c>
      <c r="P214" s="261" t="s">
        <v>813</v>
      </c>
    </row>
    <row r="215" spans="2:16" ht="60" x14ac:dyDescent="0.25">
      <c r="B215" s="414" t="s">
        <v>1334</v>
      </c>
      <c r="C215" s="416" t="s">
        <v>1318</v>
      </c>
      <c r="D215" s="422" t="s">
        <v>51</v>
      </c>
      <c r="E215" s="429">
        <v>50</v>
      </c>
      <c r="H215" s="429">
        <v>50</v>
      </c>
      <c r="J215" s="347" t="s">
        <v>1346</v>
      </c>
      <c r="L215" s="308" t="s">
        <v>197</v>
      </c>
      <c r="P215" s="261" t="s">
        <v>813</v>
      </c>
    </row>
    <row r="216" spans="2:16" ht="30" x14ac:dyDescent="0.25">
      <c r="B216" s="420" t="s">
        <v>1335</v>
      </c>
      <c r="C216" s="416" t="s">
        <v>1001</v>
      </c>
      <c r="D216" s="417" t="s">
        <v>51</v>
      </c>
      <c r="E216" s="429">
        <v>60</v>
      </c>
      <c r="H216" s="429">
        <v>60</v>
      </c>
      <c r="J216" s="347" t="s">
        <v>1346</v>
      </c>
      <c r="L216" s="308" t="s">
        <v>197</v>
      </c>
      <c r="P216" s="261" t="s">
        <v>813</v>
      </c>
    </row>
    <row r="217" spans="2:16" ht="195" x14ac:dyDescent="0.25">
      <c r="B217" s="414" t="s">
        <v>1336</v>
      </c>
      <c r="C217" s="416" t="s">
        <v>1320</v>
      </c>
      <c r="D217" s="422" t="s">
        <v>428</v>
      </c>
      <c r="E217" s="429">
        <v>200</v>
      </c>
      <c r="H217" s="429">
        <v>200</v>
      </c>
      <c r="J217" s="347" t="s">
        <v>1346</v>
      </c>
      <c r="L217" s="308" t="s">
        <v>197</v>
      </c>
      <c r="P217" s="261" t="s">
        <v>813</v>
      </c>
    </row>
    <row r="218" spans="2:16" ht="30" x14ac:dyDescent="0.25">
      <c r="B218" s="417" t="s">
        <v>555</v>
      </c>
      <c r="C218" s="414" t="s">
        <v>556</v>
      </c>
      <c r="D218" s="417" t="s">
        <v>551</v>
      </c>
      <c r="E218" s="429">
        <v>200</v>
      </c>
      <c r="H218" s="429">
        <v>200</v>
      </c>
      <c r="J218" s="347" t="s">
        <v>1346</v>
      </c>
      <c r="L218" s="308" t="s">
        <v>197</v>
      </c>
      <c r="P218" s="261" t="s">
        <v>813</v>
      </c>
    </row>
    <row r="219" spans="2:16" ht="30" x14ac:dyDescent="0.25">
      <c r="B219" s="417" t="s">
        <v>974</v>
      </c>
      <c r="C219" s="415" t="s">
        <v>1006</v>
      </c>
      <c r="D219" s="417" t="s">
        <v>551</v>
      </c>
      <c r="E219" s="429">
        <v>200</v>
      </c>
      <c r="H219" s="429">
        <v>200</v>
      </c>
      <c r="J219" s="347" t="s">
        <v>1346</v>
      </c>
      <c r="L219" s="308" t="s">
        <v>197</v>
      </c>
      <c r="P219" s="261" t="s">
        <v>813</v>
      </c>
    </row>
    <row r="220" spans="2:16" ht="30" x14ac:dyDescent="0.25">
      <c r="B220" s="417" t="s">
        <v>975</v>
      </c>
      <c r="C220" s="415" t="s">
        <v>1007</v>
      </c>
      <c r="D220" s="417" t="s">
        <v>551</v>
      </c>
      <c r="E220" s="429">
        <v>200</v>
      </c>
      <c r="H220" s="429">
        <v>200</v>
      </c>
      <c r="J220" s="347" t="s">
        <v>1346</v>
      </c>
      <c r="L220" s="308" t="s">
        <v>197</v>
      </c>
      <c r="P220" s="261" t="s">
        <v>813</v>
      </c>
    </row>
    <row r="221" spans="2:16" ht="30" x14ac:dyDescent="0.25">
      <c r="B221" s="417" t="s">
        <v>976</v>
      </c>
      <c r="C221" s="415" t="s">
        <v>1008</v>
      </c>
      <c r="D221" s="417" t="s">
        <v>551</v>
      </c>
      <c r="E221" s="429">
        <v>200</v>
      </c>
      <c r="H221" s="429">
        <v>200</v>
      </c>
      <c r="J221" s="347" t="s">
        <v>1346</v>
      </c>
      <c r="L221" s="308" t="s">
        <v>197</v>
      </c>
      <c r="P221" s="261" t="s">
        <v>813</v>
      </c>
    </row>
    <row r="222" spans="2:16" ht="45" x14ac:dyDescent="0.25">
      <c r="B222" s="417" t="s">
        <v>977</v>
      </c>
      <c r="C222" s="414" t="s">
        <v>1009</v>
      </c>
      <c r="D222" s="417" t="s">
        <v>551</v>
      </c>
      <c r="E222" s="429">
        <v>200</v>
      </c>
      <c r="H222" s="429">
        <v>200</v>
      </c>
      <c r="J222" s="347" t="s">
        <v>1346</v>
      </c>
      <c r="L222" s="308" t="s">
        <v>197</v>
      </c>
      <c r="P222" s="261" t="s">
        <v>813</v>
      </c>
    </row>
    <row r="223" spans="2:16" ht="45" x14ac:dyDescent="0.25">
      <c r="B223" s="417" t="s">
        <v>978</v>
      </c>
      <c r="C223" s="415" t="s">
        <v>1010</v>
      </c>
      <c r="D223" s="417" t="s">
        <v>551</v>
      </c>
      <c r="E223" s="429">
        <v>200</v>
      </c>
      <c r="H223" s="429">
        <v>200</v>
      </c>
      <c r="J223" s="347" t="s">
        <v>1346</v>
      </c>
      <c r="L223" s="308" t="s">
        <v>197</v>
      </c>
      <c r="P223" s="261" t="s">
        <v>813</v>
      </c>
    </row>
    <row r="224" spans="2:16" ht="60" x14ac:dyDescent="0.25">
      <c r="B224" s="433" t="s">
        <v>979</v>
      </c>
      <c r="C224" s="415" t="s">
        <v>1325</v>
      </c>
      <c r="D224" s="417" t="s">
        <v>390</v>
      </c>
      <c r="E224" s="429">
        <v>15000</v>
      </c>
      <c r="H224" s="429">
        <v>15000</v>
      </c>
      <c r="J224" s="347" t="s">
        <v>1346</v>
      </c>
      <c r="L224" s="308" t="s">
        <v>197</v>
      </c>
      <c r="P224" s="261" t="s">
        <v>813</v>
      </c>
    </row>
    <row r="225" spans="2:16" ht="30" x14ac:dyDescent="0.25">
      <c r="B225" s="420" t="s">
        <v>552</v>
      </c>
      <c r="C225" s="415" t="s">
        <v>553</v>
      </c>
      <c r="D225" s="417" t="s">
        <v>0</v>
      </c>
      <c r="E225" s="429">
        <v>50</v>
      </c>
      <c r="H225" s="429">
        <v>50</v>
      </c>
      <c r="J225" s="347" t="s">
        <v>1346</v>
      </c>
      <c r="L225" s="308" t="s">
        <v>197</v>
      </c>
      <c r="P225" s="261" t="s">
        <v>813</v>
      </c>
    </row>
    <row r="226" spans="2:16" x14ac:dyDescent="0.25">
      <c r="B226" s="415" t="s">
        <v>1255</v>
      </c>
      <c r="C226" s="414" t="s">
        <v>1012</v>
      </c>
      <c r="D226" s="422" t="s">
        <v>428</v>
      </c>
      <c r="E226" s="429">
        <v>300</v>
      </c>
      <c r="H226" s="429">
        <v>300</v>
      </c>
      <c r="J226" s="347" t="s">
        <v>1346</v>
      </c>
      <c r="L226" s="308" t="s">
        <v>197</v>
      </c>
      <c r="P226" s="261" t="s">
        <v>813</v>
      </c>
    </row>
    <row r="227" spans="2:16" x14ac:dyDescent="0.25">
      <c r="B227" s="415" t="s">
        <v>1253</v>
      </c>
      <c r="C227" s="414" t="s">
        <v>1013</v>
      </c>
      <c r="D227" s="422" t="s">
        <v>428</v>
      </c>
      <c r="E227" s="429">
        <v>300</v>
      </c>
      <c r="H227" s="429">
        <v>300</v>
      </c>
      <c r="J227" s="347" t="s">
        <v>1346</v>
      </c>
      <c r="L227" s="308" t="s">
        <v>197</v>
      </c>
      <c r="P227" s="261" t="s">
        <v>813</v>
      </c>
    </row>
    <row r="228" spans="2:16" ht="45" x14ac:dyDescent="0.25">
      <c r="B228" s="415" t="s">
        <v>1337</v>
      </c>
      <c r="C228" s="414" t="s">
        <v>1338</v>
      </c>
      <c r="D228" s="422" t="s">
        <v>74</v>
      </c>
      <c r="E228" s="429">
        <v>100</v>
      </c>
      <c r="H228" s="429">
        <v>100</v>
      </c>
      <c r="J228" s="347" t="s">
        <v>1346</v>
      </c>
      <c r="L228" s="308" t="s">
        <v>197</v>
      </c>
      <c r="P228" s="261" t="s">
        <v>813</v>
      </c>
    </row>
    <row r="229" spans="2:16" ht="30" x14ac:dyDescent="0.25">
      <c r="B229" s="415" t="s">
        <v>983</v>
      </c>
      <c r="C229" s="414" t="s">
        <v>1339</v>
      </c>
      <c r="D229" s="422" t="s">
        <v>66</v>
      </c>
      <c r="E229" s="429">
        <v>2</v>
      </c>
      <c r="H229" s="429">
        <v>2</v>
      </c>
      <c r="J229" s="347" t="s">
        <v>1346</v>
      </c>
      <c r="L229" s="308" t="s">
        <v>197</v>
      </c>
      <c r="P229" s="261" t="s">
        <v>813</v>
      </c>
    </row>
    <row r="230" spans="2:16" ht="30" x14ac:dyDescent="0.25">
      <c r="B230" s="415" t="s">
        <v>1340</v>
      </c>
      <c r="C230" s="414" t="s">
        <v>1015</v>
      </c>
      <c r="D230" s="422" t="s">
        <v>66</v>
      </c>
      <c r="E230" s="429">
        <v>9</v>
      </c>
      <c r="H230" s="429">
        <v>9</v>
      </c>
      <c r="J230" s="347" t="s">
        <v>1346</v>
      </c>
      <c r="L230" s="308" t="s">
        <v>197</v>
      </c>
      <c r="P230" s="261" t="s">
        <v>813</v>
      </c>
    </row>
    <row r="231" spans="2:16" ht="60" x14ac:dyDescent="0.25">
      <c r="B231" s="419" t="s">
        <v>1341</v>
      </c>
      <c r="C231" s="414" t="s">
        <v>1342</v>
      </c>
      <c r="D231" s="422" t="s">
        <v>66</v>
      </c>
      <c r="E231" s="429">
        <v>3</v>
      </c>
      <c r="H231" s="429">
        <v>3</v>
      </c>
      <c r="J231" s="347" t="s">
        <v>1346</v>
      </c>
      <c r="L231" s="308" t="s">
        <v>197</v>
      </c>
      <c r="P231" s="261" t="s">
        <v>813</v>
      </c>
    </row>
    <row r="232" spans="2:16" ht="60" x14ac:dyDescent="0.25">
      <c r="B232" s="419" t="s">
        <v>984</v>
      </c>
      <c r="C232" s="414" t="s">
        <v>1016</v>
      </c>
      <c r="D232" s="422" t="s">
        <v>66</v>
      </c>
      <c r="E232" s="429">
        <v>5</v>
      </c>
      <c r="H232" s="429">
        <v>5</v>
      </c>
      <c r="J232" s="347" t="s">
        <v>1346</v>
      </c>
      <c r="L232" s="308" t="s">
        <v>197</v>
      </c>
      <c r="P232" s="261" t="s">
        <v>813</v>
      </c>
    </row>
    <row r="233" spans="2:16" ht="30" x14ac:dyDescent="0.25">
      <c r="B233" s="415" t="s">
        <v>985</v>
      </c>
      <c r="C233" s="414" t="s">
        <v>1017</v>
      </c>
      <c r="D233" s="422" t="s">
        <v>66</v>
      </c>
      <c r="E233" s="429">
        <v>4</v>
      </c>
      <c r="H233" s="429">
        <v>4</v>
      </c>
      <c r="J233" s="347" t="s">
        <v>1346</v>
      </c>
      <c r="L233" s="308" t="s">
        <v>197</v>
      </c>
      <c r="P233" s="261" t="s">
        <v>813</v>
      </c>
    </row>
    <row r="234" spans="2:16" ht="30" x14ac:dyDescent="0.25">
      <c r="B234" s="415" t="s">
        <v>1343</v>
      </c>
      <c r="C234" s="414" t="s">
        <v>1344</v>
      </c>
      <c r="D234" s="422" t="s">
        <v>66</v>
      </c>
      <c r="E234" s="429">
        <v>30</v>
      </c>
      <c r="H234" s="429">
        <v>30</v>
      </c>
      <c r="J234" s="347" t="s">
        <v>1346</v>
      </c>
      <c r="L234" s="308" t="s">
        <v>197</v>
      </c>
      <c r="P234" s="261" t="s">
        <v>813</v>
      </c>
    </row>
    <row r="238" spans="2:16" ht="45" x14ac:dyDescent="0.25">
      <c r="B238" s="418" t="s">
        <v>1327</v>
      </c>
      <c r="C238" s="415" t="s">
        <v>1317</v>
      </c>
      <c r="D238" s="417" t="s">
        <v>0</v>
      </c>
      <c r="E238" s="426">
        <v>100</v>
      </c>
      <c r="H238" s="426">
        <v>100</v>
      </c>
      <c r="L238" s="308" t="s">
        <v>197</v>
      </c>
      <c r="P238" s="308" t="s">
        <v>1345</v>
      </c>
    </row>
    <row r="239" spans="2:16" ht="30" x14ac:dyDescent="0.25">
      <c r="B239" s="420" t="s">
        <v>393</v>
      </c>
      <c r="C239" s="416" t="s">
        <v>394</v>
      </c>
      <c r="D239" s="424" t="s">
        <v>386</v>
      </c>
      <c r="E239" s="426">
        <v>800</v>
      </c>
      <c r="H239" s="426">
        <v>800</v>
      </c>
      <c r="L239" s="308" t="s">
        <v>197</v>
      </c>
    </row>
    <row r="240" spans="2:16" ht="135" x14ac:dyDescent="0.25">
      <c r="B240" s="414"/>
      <c r="C240" s="416" t="s">
        <v>1319</v>
      </c>
      <c r="D240" s="422" t="s">
        <v>51</v>
      </c>
      <c r="E240" s="426">
        <v>100</v>
      </c>
      <c r="H240" s="426">
        <v>100</v>
      </c>
      <c r="L240" s="308" t="s">
        <v>197</v>
      </c>
    </row>
    <row r="241" spans="2:12" x14ac:dyDescent="0.25">
      <c r="B241" s="419" t="s">
        <v>960</v>
      </c>
      <c r="C241" s="414" t="s">
        <v>987</v>
      </c>
      <c r="D241" s="421" t="s">
        <v>1018</v>
      </c>
      <c r="E241" s="426">
        <v>200</v>
      </c>
      <c r="H241" s="426">
        <v>200</v>
      </c>
      <c r="L241" s="308" t="s">
        <v>197</v>
      </c>
    </row>
    <row r="242" spans="2:12" ht="45" x14ac:dyDescent="0.25">
      <c r="B242" s="417" t="s">
        <v>166</v>
      </c>
      <c r="C242" s="415" t="s">
        <v>1321</v>
      </c>
      <c r="D242" s="417" t="s">
        <v>51</v>
      </c>
      <c r="E242" s="426">
        <v>350</v>
      </c>
      <c r="H242" s="426">
        <v>350</v>
      </c>
      <c r="L242" s="308" t="s">
        <v>197</v>
      </c>
    </row>
    <row r="243" spans="2:12" ht="45" x14ac:dyDescent="0.25">
      <c r="B243" s="417" t="s">
        <v>1328</v>
      </c>
      <c r="C243" s="415" t="s">
        <v>1322</v>
      </c>
      <c r="D243" s="425" t="s">
        <v>51</v>
      </c>
      <c r="E243" s="426">
        <v>100</v>
      </c>
      <c r="H243" s="426">
        <v>100</v>
      </c>
      <c r="L243" s="308" t="s">
        <v>197</v>
      </c>
    </row>
    <row r="244" spans="2:12" ht="45" x14ac:dyDescent="0.25">
      <c r="B244" s="420" t="s">
        <v>972</v>
      </c>
      <c r="C244" s="416" t="s">
        <v>1004</v>
      </c>
      <c r="D244" s="424" t="s">
        <v>0</v>
      </c>
      <c r="E244" s="426">
        <v>10</v>
      </c>
      <c r="H244" s="426">
        <v>10</v>
      </c>
      <c r="L244" s="308" t="s">
        <v>197</v>
      </c>
    </row>
    <row r="245" spans="2:12" x14ac:dyDescent="0.25">
      <c r="B245" s="420" t="s">
        <v>1329</v>
      </c>
      <c r="C245" s="416" t="s">
        <v>1323</v>
      </c>
      <c r="D245" s="417" t="s">
        <v>428</v>
      </c>
      <c r="E245" s="426">
        <v>10</v>
      </c>
      <c r="H245" s="426">
        <v>10</v>
      </c>
      <c r="L245" s="308" t="s">
        <v>197</v>
      </c>
    </row>
    <row r="246" spans="2:12" x14ac:dyDescent="0.25">
      <c r="B246" s="417" t="s">
        <v>973</v>
      </c>
      <c r="C246" s="415" t="s">
        <v>1324</v>
      </c>
      <c r="D246" s="417" t="s">
        <v>551</v>
      </c>
      <c r="E246" s="426">
        <v>200</v>
      </c>
      <c r="H246" s="426">
        <v>200</v>
      </c>
      <c r="L246" s="308" t="s">
        <v>197</v>
      </c>
    </row>
    <row r="247" spans="2:12" x14ac:dyDescent="0.25">
      <c r="B247" s="415" t="s">
        <v>981</v>
      </c>
      <c r="C247" s="414" t="s">
        <v>1012</v>
      </c>
      <c r="D247" s="422" t="s">
        <v>428</v>
      </c>
      <c r="E247" s="426">
        <v>300</v>
      </c>
      <c r="H247" s="426">
        <v>300</v>
      </c>
      <c r="L247" s="308" t="s">
        <v>197</v>
      </c>
    </row>
    <row r="248" spans="2:12" x14ac:dyDescent="0.25">
      <c r="B248" s="415" t="s">
        <v>982</v>
      </c>
      <c r="C248" s="414" t="s">
        <v>1013</v>
      </c>
      <c r="D248" s="422" t="s">
        <v>428</v>
      </c>
      <c r="E248" s="426">
        <v>300</v>
      </c>
      <c r="H248" s="426">
        <v>300</v>
      </c>
      <c r="L248" s="308" t="s">
        <v>197</v>
      </c>
    </row>
    <row r="249" spans="2:12" ht="75" x14ac:dyDescent="0.25">
      <c r="B249" s="415"/>
      <c r="C249" s="414" t="s">
        <v>1326</v>
      </c>
      <c r="D249" s="422" t="s">
        <v>74</v>
      </c>
      <c r="E249" s="426">
        <v>100</v>
      </c>
      <c r="H249" s="426">
        <v>100</v>
      </c>
      <c r="L249" s="308" t="s">
        <v>197</v>
      </c>
    </row>
    <row r="1046154" spans="3:11" s="232" customFormat="1" ht="26.25" customHeight="1" x14ac:dyDescent="0.25">
      <c r="C1046154" s="126"/>
      <c r="H1046154" s="346"/>
      <c r="J1046154" s="347"/>
      <c r="K1046154" s="311"/>
    </row>
  </sheetData>
  <autoFilter ref="A21:AF234" xr:uid="{00000000-0009-0000-0000-000004000000}"/>
  <sortState xmlns:xlrd2="http://schemas.microsoft.com/office/spreadsheetml/2017/richdata2" ref="A23:T53">
    <sortCondition descending="1" ref="T53"/>
  </sortState>
  <mergeCells count="6">
    <mergeCell ref="B15:J15"/>
    <mergeCell ref="A10:B10"/>
    <mergeCell ref="A11:B11"/>
    <mergeCell ref="A12:B12"/>
    <mergeCell ref="H12:I12"/>
    <mergeCell ref="B14:J14"/>
  </mergeCells>
  <phoneticPr fontId="3" type="noConversion"/>
  <conditionalFormatting sqref="B205">
    <cfRule type="duplicateValues" dxfId="15" priority="7" stopIfTrue="1"/>
    <cfRule type="duplicateValues" dxfId="14" priority="8" stopIfTrue="1"/>
  </conditionalFormatting>
  <conditionalFormatting sqref="B228">
    <cfRule type="duplicateValues" dxfId="13" priority="5"/>
  </conditionalFormatting>
  <conditionalFormatting sqref="B229:B230">
    <cfRule type="duplicateValues" dxfId="12" priority="4"/>
  </conditionalFormatting>
  <conditionalFormatting sqref="B231:B232">
    <cfRule type="duplicateValues" dxfId="11" priority="3"/>
  </conditionalFormatting>
  <conditionalFormatting sqref="B233">
    <cfRule type="duplicateValues" dxfId="10" priority="2"/>
  </conditionalFormatting>
  <conditionalFormatting sqref="B234">
    <cfRule type="duplicateValues" dxfId="9" priority="15"/>
  </conditionalFormatting>
  <conditionalFormatting sqref="B238:B248 B204:B227">
    <cfRule type="duplicateValues" dxfId="8" priority="16"/>
  </conditionalFormatting>
  <conditionalFormatting sqref="B249">
    <cfRule type="duplicateValues" dxfId="7" priority="6"/>
  </conditionalFormatting>
  <conditionalFormatting sqref="C229:C230">
    <cfRule type="duplicateValues" dxfId="6" priority="13"/>
  </conditionalFormatting>
  <conditionalFormatting sqref="C231:C232">
    <cfRule type="duplicateValues" dxfId="5" priority="12"/>
  </conditionalFormatting>
  <conditionalFormatting sqref="C233">
    <cfRule type="duplicateValues" dxfId="4" priority="11"/>
  </conditionalFormatting>
  <conditionalFormatting sqref="C234">
    <cfRule type="duplicateValues" dxfId="3" priority="14"/>
  </conditionalFormatting>
  <dataValidations disablePrompts="1" count="1">
    <dataValidation type="list" allowBlank="1" showErrorMessage="1" sqref="D229:D234" xr:uid="{00000000-0002-0000-0400-000000000000}">
      <formula1>"Cái,Mét,Bộ,Ống,Kg,Cây,Lít,Cuộn,Gram,M3,Tấm,Người,Bịch,2,1,3,20,Bộ ,Sợi "</formula1>
    </dataValidation>
  </dataValidations>
  <printOptions horizontalCentered="1"/>
  <pageMargins left="0" right="0" top="0.25" bottom="0.25" header="0.3" footer="0.3"/>
  <pageSetup scale="5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46242"/>
  <sheetViews>
    <sheetView topLeftCell="A119" zoomScale="80" zoomScaleNormal="80" workbookViewId="0">
      <selection activeCell="C130" sqref="C130"/>
    </sheetView>
  </sheetViews>
  <sheetFormatPr defaultColWidth="9.140625" defaultRowHeight="16.5" x14ac:dyDescent="0.25"/>
  <cols>
    <col min="1" max="1" width="7.85546875" style="232" customWidth="1"/>
    <col min="2" max="2" width="35.5703125" style="232" customWidth="1"/>
    <col min="3" max="3" width="51.7109375" style="347" customWidth="1"/>
    <col min="4" max="4" width="10.42578125" style="232" customWidth="1"/>
    <col min="5" max="5" width="11" style="232" customWidth="1"/>
    <col min="6" max="7" width="11.7109375" style="232" customWidth="1"/>
    <col min="8" max="8" width="9.85546875" style="346" customWidth="1"/>
    <col min="9" max="9" width="9.5703125" style="232" hidden="1" customWidth="1"/>
    <col min="10" max="10" width="61.28515625" style="347" customWidth="1"/>
    <col min="11" max="11" width="19.5703125" style="311" hidden="1" customWidth="1"/>
    <col min="12" max="12" width="26.42578125" style="308" customWidth="1"/>
    <col min="13" max="14" width="5.5703125" style="308" hidden="1" customWidth="1"/>
    <col min="15" max="24" width="5.5703125" style="308" customWidth="1"/>
    <col min="25" max="16384" width="9.140625" style="308"/>
  </cols>
  <sheetData>
    <row r="1" spans="1:20" ht="28.5" hidden="1" customHeight="1" x14ac:dyDescent="0.25">
      <c r="A1" s="232" t="s">
        <v>8</v>
      </c>
      <c r="C1" s="304"/>
      <c r="D1" s="305"/>
      <c r="E1" s="305"/>
      <c r="F1" s="305"/>
      <c r="G1" s="305"/>
      <c r="H1" s="305"/>
      <c r="I1" s="305"/>
      <c r="J1" s="304"/>
      <c r="K1" s="306"/>
      <c r="L1" s="307"/>
      <c r="M1" s="307"/>
      <c r="N1" s="307"/>
      <c r="O1" s="307"/>
      <c r="P1" s="307"/>
      <c r="Q1" s="307"/>
      <c r="R1" s="307"/>
      <c r="S1" s="307"/>
      <c r="T1" s="307"/>
    </row>
    <row r="2" spans="1:20" ht="28.5" hidden="1" customHeight="1" x14ac:dyDescent="0.25">
      <c r="A2" s="309" t="s">
        <v>9</v>
      </c>
      <c r="B2" s="309"/>
      <c r="C2" s="304"/>
      <c r="D2" s="305"/>
      <c r="E2" s="305"/>
      <c r="F2" s="305"/>
      <c r="G2" s="305"/>
      <c r="H2" s="305"/>
      <c r="I2" s="305"/>
      <c r="J2" s="304"/>
      <c r="K2" s="306"/>
      <c r="L2" s="307"/>
      <c r="M2" s="307"/>
      <c r="N2" s="307"/>
      <c r="O2" s="307"/>
      <c r="P2" s="307"/>
      <c r="Q2" s="307"/>
      <c r="R2" s="307"/>
      <c r="S2" s="307"/>
      <c r="T2" s="307"/>
    </row>
    <row r="3" spans="1:20" ht="19.5" hidden="1" customHeight="1" x14ac:dyDescent="0.25">
      <c r="C3" s="304"/>
      <c r="D3" s="305"/>
      <c r="E3" s="305"/>
      <c r="F3" s="305"/>
      <c r="G3" s="305"/>
      <c r="H3" s="305"/>
      <c r="I3" s="305"/>
      <c r="J3" s="304"/>
      <c r="K3" s="306"/>
      <c r="L3" s="307"/>
      <c r="M3" s="307"/>
      <c r="N3" s="307"/>
      <c r="O3" s="307"/>
      <c r="P3" s="307"/>
      <c r="Q3" s="307"/>
      <c r="R3" s="307"/>
      <c r="S3" s="307"/>
      <c r="T3" s="307"/>
    </row>
    <row r="4" spans="1:20" ht="14.25" hidden="1" customHeight="1" x14ac:dyDescent="0.25">
      <c r="C4" s="304"/>
      <c r="D4" s="305"/>
      <c r="E4" s="305"/>
      <c r="F4" s="305"/>
      <c r="G4" s="305"/>
      <c r="H4" s="305"/>
      <c r="I4" s="305"/>
      <c r="J4" s="304"/>
      <c r="K4" s="306"/>
      <c r="L4" s="307"/>
      <c r="M4" s="307"/>
      <c r="N4" s="307"/>
      <c r="O4" s="307"/>
      <c r="P4" s="307"/>
      <c r="Q4" s="307"/>
      <c r="R4" s="307"/>
      <c r="S4" s="307"/>
      <c r="T4" s="307"/>
    </row>
    <row r="5" spans="1:20" ht="14.25" hidden="1" customHeight="1" x14ac:dyDescent="0.25">
      <c r="B5" s="232" t="s">
        <v>14</v>
      </c>
      <c r="C5" s="304"/>
      <c r="D5" s="305"/>
      <c r="E5" s="305"/>
      <c r="F5" s="305"/>
      <c r="G5" s="305"/>
      <c r="H5" s="305"/>
      <c r="I5" s="305"/>
      <c r="J5" s="304"/>
      <c r="K5" s="306"/>
      <c r="L5" s="307"/>
      <c r="M5" s="307"/>
      <c r="N5" s="307"/>
      <c r="O5" s="307"/>
      <c r="P5" s="307"/>
      <c r="Q5" s="307"/>
      <c r="R5" s="307"/>
      <c r="S5" s="307"/>
      <c r="T5" s="307"/>
    </row>
    <row r="6" spans="1:20" ht="14.25" hidden="1" customHeight="1" x14ac:dyDescent="0.25">
      <c r="B6" s="232" t="s">
        <v>12</v>
      </c>
      <c r="C6" s="304"/>
      <c r="D6" s="305"/>
      <c r="E6" s="305"/>
      <c r="F6" s="305"/>
      <c r="G6" s="305"/>
      <c r="H6" s="305"/>
      <c r="I6" s="305"/>
      <c r="J6" s="304"/>
      <c r="K6" s="306"/>
      <c r="L6" s="307"/>
      <c r="M6" s="307"/>
      <c r="N6" s="307"/>
      <c r="O6" s="307"/>
      <c r="P6" s="307"/>
      <c r="Q6" s="307"/>
      <c r="R6" s="307"/>
      <c r="S6" s="307"/>
      <c r="T6" s="307"/>
    </row>
    <row r="7" spans="1:20" ht="14.25" hidden="1" customHeight="1" x14ac:dyDescent="0.25">
      <c r="B7" s="232" t="s">
        <v>15</v>
      </c>
      <c r="C7" s="304"/>
      <c r="D7" s="305"/>
      <c r="E7" s="305"/>
      <c r="F7" s="305"/>
      <c r="G7" s="305"/>
      <c r="H7" s="305"/>
      <c r="I7" s="305"/>
      <c r="J7" s="304"/>
      <c r="K7" s="306"/>
      <c r="L7" s="307"/>
      <c r="M7" s="307"/>
      <c r="N7" s="307"/>
      <c r="O7" s="307"/>
      <c r="P7" s="307"/>
      <c r="Q7" s="307"/>
      <c r="R7" s="307"/>
      <c r="S7" s="307"/>
      <c r="T7" s="307"/>
    </row>
    <row r="8" spans="1:20" ht="14.25" hidden="1" customHeight="1" x14ac:dyDescent="0.25">
      <c r="B8" s="232" t="s">
        <v>13</v>
      </c>
      <c r="C8" s="304"/>
      <c r="D8" s="305"/>
      <c r="E8" s="305"/>
      <c r="F8" s="305"/>
      <c r="G8" s="305"/>
      <c r="H8" s="305"/>
      <c r="I8" s="305"/>
      <c r="J8" s="304"/>
      <c r="K8" s="306"/>
      <c r="L8" s="307"/>
      <c r="M8" s="307"/>
      <c r="N8" s="307"/>
      <c r="O8" s="307"/>
      <c r="P8" s="307"/>
      <c r="Q8" s="307"/>
      <c r="R8" s="307"/>
      <c r="S8" s="307"/>
      <c r="T8" s="307"/>
    </row>
    <row r="9" spans="1:20" ht="14.25" hidden="1" customHeight="1" x14ac:dyDescent="0.25">
      <c r="C9" s="304"/>
      <c r="D9" s="305"/>
      <c r="E9" s="305"/>
      <c r="F9" s="305"/>
      <c r="G9" s="305"/>
      <c r="H9" s="305"/>
      <c r="I9" s="305"/>
      <c r="J9" s="304"/>
      <c r="K9" s="306"/>
      <c r="L9" s="307"/>
      <c r="M9" s="307"/>
      <c r="N9" s="307"/>
      <c r="O9" s="307"/>
      <c r="P9" s="307"/>
      <c r="Q9" s="307"/>
      <c r="R9" s="307"/>
      <c r="S9" s="307"/>
      <c r="T9" s="307"/>
    </row>
    <row r="10" spans="1:20" ht="45" customHeight="1" x14ac:dyDescent="0.25">
      <c r="A10" s="492" t="s">
        <v>109</v>
      </c>
      <c r="B10" s="492"/>
      <c r="C10" s="304"/>
      <c r="D10" s="305"/>
      <c r="E10" s="305"/>
      <c r="F10" s="305"/>
      <c r="G10" s="305"/>
      <c r="H10" s="305"/>
      <c r="I10" s="305"/>
      <c r="J10" s="310" t="s">
        <v>371</v>
      </c>
      <c r="L10" s="307"/>
      <c r="M10" s="307"/>
      <c r="N10" s="307"/>
      <c r="O10" s="307"/>
      <c r="P10" s="307"/>
      <c r="Q10" s="307"/>
      <c r="R10" s="307"/>
      <c r="S10" s="307"/>
      <c r="T10" s="307"/>
    </row>
    <row r="11" spans="1:20" ht="18.75" x14ac:dyDescent="0.25">
      <c r="A11" s="493" t="s">
        <v>9</v>
      </c>
      <c r="B11" s="493"/>
      <c r="C11" s="312"/>
      <c r="D11" s="313"/>
      <c r="E11" s="313"/>
      <c r="F11" s="313"/>
      <c r="G11" s="313"/>
      <c r="H11" s="313"/>
      <c r="I11" s="313"/>
      <c r="J11" s="312"/>
      <c r="K11" s="314"/>
      <c r="L11" s="315"/>
      <c r="M11" s="315"/>
      <c r="N11" s="315"/>
      <c r="O11" s="315"/>
      <c r="P11" s="315"/>
      <c r="Q11" s="315"/>
      <c r="R11" s="315"/>
      <c r="S11" s="315"/>
      <c r="T11" s="315"/>
    </row>
    <row r="12" spans="1:20" x14ac:dyDescent="0.25">
      <c r="A12" s="491" t="s">
        <v>893</v>
      </c>
      <c r="B12" s="491"/>
      <c r="C12" s="226"/>
      <c r="H12" s="494"/>
      <c r="I12" s="494"/>
      <c r="J12" s="226"/>
    </row>
    <row r="13" spans="1:20" x14ac:dyDescent="0.25">
      <c r="C13" s="226"/>
      <c r="H13" s="232"/>
      <c r="J13" s="226"/>
    </row>
    <row r="14" spans="1:20" s="317" customFormat="1" ht="25.5" x14ac:dyDescent="0.25">
      <c r="A14" s="316"/>
      <c r="B14" s="495" t="s">
        <v>368</v>
      </c>
      <c r="C14" s="495"/>
      <c r="D14" s="495"/>
      <c r="E14" s="495"/>
      <c r="F14" s="495"/>
      <c r="G14" s="495"/>
      <c r="H14" s="495"/>
      <c r="I14" s="495"/>
      <c r="J14" s="495"/>
      <c r="K14" s="306"/>
    </row>
    <row r="15" spans="1:20" x14ac:dyDescent="0.25">
      <c r="B15" s="491" t="s">
        <v>1237</v>
      </c>
      <c r="C15" s="491"/>
      <c r="D15" s="491"/>
      <c r="E15" s="491"/>
      <c r="F15" s="491"/>
      <c r="G15" s="491"/>
      <c r="H15" s="491"/>
      <c r="I15" s="491"/>
      <c r="J15" s="491"/>
      <c r="K15" s="318"/>
    </row>
    <row r="16" spans="1:20" x14ac:dyDescent="0.25">
      <c r="C16" s="226"/>
      <c r="H16" s="232"/>
      <c r="J16" s="226"/>
      <c r="K16" s="318"/>
    </row>
    <row r="17" spans="1:24" x14ac:dyDescent="0.25">
      <c r="B17" s="232" t="s">
        <v>220</v>
      </c>
      <c r="C17" s="226"/>
      <c r="H17" s="232"/>
      <c r="J17" s="226" t="s">
        <v>797</v>
      </c>
      <c r="K17" s="318"/>
    </row>
    <row r="18" spans="1:24" x14ac:dyDescent="0.25">
      <c r="B18" s="232" t="s">
        <v>947</v>
      </c>
      <c r="C18" s="226"/>
      <c r="H18" s="232"/>
      <c r="J18" s="226" t="s">
        <v>513</v>
      </c>
      <c r="K18" s="318"/>
    </row>
    <row r="19" spans="1:24" x14ac:dyDescent="0.25">
      <c r="C19" s="226"/>
      <c r="H19" s="232"/>
      <c r="J19" s="226" t="s">
        <v>514</v>
      </c>
      <c r="K19" s="318"/>
    </row>
    <row r="20" spans="1:24" x14ac:dyDescent="0.25">
      <c r="A20" s="319"/>
      <c r="B20" s="319"/>
      <c r="C20" s="320"/>
      <c r="D20" s="319"/>
      <c r="E20" s="319"/>
      <c r="F20" s="319"/>
      <c r="G20" s="319"/>
      <c r="H20" s="319"/>
      <c r="I20" s="319"/>
      <c r="J20" s="320"/>
      <c r="K20" s="321"/>
      <c r="L20" s="322"/>
    </row>
    <row r="21" spans="1:24" s="261" customFormat="1" ht="101.25" customHeight="1" x14ac:dyDescent="0.25">
      <c r="A21" s="348" t="s">
        <v>5</v>
      </c>
      <c r="B21" s="348" t="s">
        <v>10</v>
      </c>
      <c r="C21" s="349" t="s">
        <v>11</v>
      </c>
      <c r="D21" s="348" t="s">
        <v>6</v>
      </c>
      <c r="E21" s="348" t="s">
        <v>373</v>
      </c>
      <c r="F21" s="348" t="s">
        <v>404</v>
      </c>
      <c r="G21" s="348" t="s">
        <v>946</v>
      </c>
      <c r="H21" s="350" t="s">
        <v>406</v>
      </c>
      <c r="I21" s="351" t="s">
        <v>407</v>
      </c>
      <c r="J21" s="348" t="s">
        <v>408</v>
      </c>
      <c r="K21" s="324" t="s">
        <v>35</v>
      </c>
      <c r="L21" s="325" t="s">
        <v>108</v>
      </c>
      <c r="M21" s="326"/>
      <c r="N21" s="326"/>
      <c r="O21" s="326"/>
      <c r="P21" s="326"/>
      <c r="Q21" s="326"/>
      <c r="R21" s="262"/>
      <c r="S21" s="326"/>
      <c r="T21" s="326"/>
      <c r="U21" s="262"/>
    </row>
    <row r="22" spans="1:24" s="326" customFormat="1" ht="33" customHeight="1" x14ac:dyDescent="0.25">
      <c r="A22" s="352" t="s">
        <v>18</v>
      </c>
      <c r="B22" s="353"/>
      <c r="C22" s="354"/>
      <c r="D22" s="355"/>
      <c r="E22" s="355"/>
      <c r="F22" s="355"/>
      <c r="G22" s="355"/>
      <c r="H22" s="355"/>
      <c r="I22" s="355"/>
      <c r="J22" s="355"/>
      <c r="K22" s="328"/>
      <c r="L22" s="325"/>
      <c r="M22" s="326" t="s">
        <v>895</v>
      </c>
      <c r="N22" s="326" t="s">
        <v>896</v>
      </c>
      <c r="O22" s="326" t="s">
        <v>812</v>
      </c>
      <c r="P22" s="326" t="s">
        <v>813</v>
      </c>
      <c r="Q22" s="326" t="s">
        <v>827</v>
      </c>
      <c r="R22" s="326" t="s">
        <v>840</v>
      </c>
      <c r="S22" s="326" t="s">
        <v>897</v>
      </c>
      <c r="T22" s="326" t="s">
        <v>849</v>
      </c>
      <c r="U22" s="326" t="s">
        <v>852</v>
      </c>
      <c r="V22" s="326" t="s">
        <v>854</v>
      </c>
      <c r="W22" s="326" t="s">
        <v>858</v>
      </c>
      <c r="X22" s="326" t="s">
        <v>870</v>
      </c>
    </row>
    <row r="23" spans="1:24" s="261" customFormat="1" ht="21.75" customHeight="1" x14ac:dyDescent="0.25">
      <c r="A23" s="355">
        <v>1</v>
      </c>
      <c r="B23" s="355" t="s">
        <v>153</v>
      </c>
      <c r="C23" s="356" t="s">
        <v>54</v>
      </c>
      <c r="D23" s="355" t="s">
        <v>2</v>
      </c>
      <c r="E23" s="351">
        <v>2123.181537552</v>
      </c>
      <c r="F23" s="351">
        <v>1369</v>
      </c>
      <c r="G23" s="351">
        <f>E23-F23</f>
        <v>754.18153755200001</v>
      </c>
      <c r="H23" s="351">
        <v>200</v>
      </c>
      <c r="I23" s="355" t="s">
        <v>905</v>
      </c>
      <c r="J23" s="357" t="s">
        <v>814</v>
      </c>
      <c r="K23" s="331">
        <v>0</v>
      </c>
      <c r="L23" s="327" t="s">
        <v>88</v>
      </c>
      <c r="M23" s="261" t="s">
        <v>895</v>
      </c>
      <c r="N23" s="261" t="s">
        <v>896</v>
      </c>
      <c r="Q23" s="262"/>
      <c r="R23" s="262"/>
      <c r="S23" s="262"/>
      <c r="T23" s="262"/>
      <c r="U23" s="262"/>
    </row>
    <row r="24" spans="1:24" s="262" customFormat="1" ht="21.75" customHeight="1" x14ac:dyDescent="0.25">
      <c r="A24" s="355">
        <f>A23+1</f>
        <v>2</v>
      </c>
      <c r="B24" s="355" t="s">
        <v>153</v>
      </c>
      <c r="C24" s="356" t="s">
        <v>54</v>
      </c>
      <c r="D24" s="355" t="s">
        <v>2</v>
      </c>
      <c r="E24" s="351">
        <v>0</v>
      </c>
      <c r="F24" s="351">
        <v>0</v>
      </c>
      <c r="G24" s="351">
        <f t="shared" ref="G24:G50" si="0">E24-F24</f>
        <v>0</v>
      </c>
      <c r="H24" s="351">
        <v>60</v>
      </c>
      <c r="I24" s="355"/>
      <c r="J24" s="357" t="s">
        <v>161</v>
      </c>
      <c r="K24" s="331">
        <v>0</v>
      </c>
      <c r="L24" s="329" t="s">
        <v>140</v>
      </c>
      <c r="M24" s="262" t="s">
        <v>895</v>
      </c>
      <c r="N24" s="261" t="s">
        <v>896</v>
      </c>
      <c r="O24" s="262" t="s">
        <v>812</v>
      </c>
    </row>
    <row r="25" spans="1:24" s="262" customFormat="1" ht="21.75" customHeight="1" x14ac:dyDescent="0.25">
      <c r="A25" s="355">
        <f t="shared" ref="A25:A50" si="1">A24+1</f>
        <v>3</v>
      </c>
      <c r="B25" s="351" t="s">
        <v>141</v>
      </c>
      <c r="C25" s="357" t="s">
        <v>142</v>
      </c>
      <c r="D25" s="355" t="s">
        <v>2</v>
      </c>
      <c r="E25" s="351">
        <v>0</v>
      </c>
      <c r="F25" s="351">
        <v>0</v>
      </c>
      <c r="G25" s="351">
        <f t="shared" si="0"/>
        <v>0</v>
      </c>
      <c r="H25" s="351">
        <v>1664</v>
      </c>
      <c r="I25" s="355"/>
      <c r="J25" s="357" t="s">
        <v>143</v>
      </c>
      <c r="K25" s="332"/>
      <c r="L25" s="329" t="s">
        <v>140</v>
      </c>
      <c r="M25" s="262" t="s">
        <v>895</v>
      </c>
      <c r="N25" s="261" t="s">
        <v>896</v>
      </c>
      <c r="O25" s="262" t="s">
        <v>812</v>
      </c>
    </row>
    <row r="26" spans="1:24" s="262" customFormat="1" ht="21.75" customHeight="1" x14ac:dyDescent="0.25">
      <c r="A26" s="355">
        <f t="shared" si="1"/>
        <v>4</v>
      </c>
      <c r="B26" s="351" t="s">
        <v>158</v>
      </c>
      <c r="C26" s="357" t="s">
        <v>159</v>
      </c>
      <c r="D26" s="355" t="s">
        <v>2</v>
      </c>
      <c r="E26" s="351">
        <v>0</v>
      </c>
      <c r="F26" s="351">
        <v>0</v>
      </c>
      <c r="G26" s="351">
        <f t="shared" si="0"/>
        <v>0</v>
      </c>
      <c r="H26" s="351">
        <f>VLOOKUP(B26,'[1]Tháng 7.2025'!$B$23:$H$153,7,0)</f>
        <v>60</v>
      </c>
      <c r="I26" s="355"/>
      <c r="J26" s="357" t="s">
        <v>160</v>
      </c>
      <c r="K26" s="332"/>
      <c r="L26" s="329" t="s">
        <v>140</v>
      </c>
      <c r="M26" s="262" t="s">
        <v>895</v>
      </c>
      <c r="N26" s="261" t="s">
        <v>896</v>
      </c>
      <c r="O26" s="262" t="s">
        <v>812</v>
      </c>
    </row>
    <row r="27" spans="1:24" s="261" customFormat="1" ht="21.75" customHeight="1" x14ac:dyDescent="0.25">
      <c r="A27" s="355">
        <f t="shared" si="1"/>
        <v>5</v>
      </c>
      <c r="B27" s="351" t="s">
        <v>515</v>
      </c>
      <c r="C27" s="357" t="s">
        <v>516</v>
      </c>
      <c r="D27" s="355" t="s">
        <v>2</v>
      </c>
      <c r="E27" s="351">
        <v>0</v>
      </c>
      <c r="F27" s="351">
        <v>0</v>
      </c>
      <c r="G27" s="351">
        <f t="shared" si="0"/>
        <v>0</v>
      </c>
      <c r="H27" s="351">
        <v>0</v>
      </c>
      <c r="I27" s="355"/>
      <c r="J27" s="357" t="s">
        <v>517</v>
      </c>
      <c r="K27" s="331"/>
      <c r="L27" s="323" t="s">
        <v>88</v>
      </c>
      <c r="M27" s="333" t="s">
        <v>895</v>
      </c>
      <c r="N27" s="333"/>
      <c r="O27" s="333"/>
      <c r="P27" s="333"/>
      <c r="Q27" s="334"/>
      <c r="R27" s="334"/>
      <c r="S27" s="334"/>
      <c r="T27" s="262"/>
      <c r="U27" s="262"/>
    </row>
    <row r="28" spans="1:24" s="261" customFormat="1" ht="21.75" customHeight="1" x14ac:dyDescent="0.25">
      <c r="A28" s="355">
        <f t="shared" si="1"/>
        <v>6</v>
      </c>
      <c r="B28" s="351" t="s">
        <v>850</v>
      </c>
      <c r="C28" s="357" t="s">
        <v>633</v>
      </c>
      <c r="D28" s="355" t="s">
        <v>2</v>
      </c>
      <c r="E28" s="351">
        <v>0</v>
      </c>
      <c r="F28" s="351">
        <v>0</v>
      </c>
      <c r="G28" s="351">
        <f t="shared" si="0"/>
        <v>0</v>
      </c>
      <c r="H28" s="358">
        <v>50</v>
      </c>
      <c r="I28" s="355"/>
      <c r="J28" s="356" t="s">
        <v>851</v>
      </c>
      <c r="K28" s="331"/>
      <c r="L28" s="323" t="s">
        <v>88</v>
      </c>
      <c r="M28" s="333" t="s">
        <v>895</v>
      </c>
      <c r="N28" s="333" t="s">
        <v>896</v>
      </c>
      <c r="O28" s="333"/>
      <c r="P28" s="333"/>
      <c r="Q28" s="334"/>
      <c r="R28" s="334"/>
      <c r="S28" s="334"/>
      <c r="T28" s="262"/>
      <c r="U28" s="262"/>
    </row>
    <row r="29" spans="1:24" s="261" customFormat="1" ht="21.75" customHeight="1" x14ac:dyDescent="0.25">
      <c r="A29" s="355">
        <f t="shared" si="1"/>
        <v>7</v>
      </c>
      <c r="B29" s="351" t="s">
        <v>850</v>
      </c>
      <c r="C29" s="357" t="s">
        <v>633</v>
      </c>
      <c r="D29" s="355" t="s">
        <v>2</v>
      </c>
      <c r="E29" s="351">
        <v>0</v>
      </c>
      <c r="F29" s="351">
        <v>0</v>
      </c>
      <c r="G29" s="351">
        <f t="shared" si="0"/>
        <v>0</v>
      </c>
      <c r="H29" s="358">
        <v>250</v>
      </c>
      <c r="I29" s="355"/>
      <c r="J29" s="356" t="s">
        <v>1177</v>
      </c>
      <c r="K29" s="331"/>
      <c r="L29" s="323" t="s">
        <v>140</v>
      </c>
      <c r="M29" s="333" t="s">
        <v>895</v>
      </c>
      <c r="N29" s="333" t="s">
        <v>896</v>
      </c>
      <c r="O29" s="333" t="s">
        <v>812</v>
      </c>
      <c r="P29" s="333"/>
      <c r="Q29" s="334"/>
      <c r="R29" s="334"/>
      <c r="S29" s="334"/>
      <c r="T29" s="262"/>
      <c r="U29" s="262"/>
    </row>
    <row r="30" spans="1:24" s="261" customFormat="1" ht="45.75" customHeight="1" x14ac:dyDescent="0.25">
      <c r="A30" s="355">
        <f t="shared" si="1"/>
        <v>8</v>
      </c>
      <c r="B30" s="351" t="s">
        <v>806</v>
      </c>
      <c r="C30" s="357" t="s">
        <v>807</v>
      </c>
      <c r="D30" s="351" t="s">
        <v>2</v>
      </c>
      <c r="E30" s="351">
        <v>0</v>
      </c>
      <c r="F30" s="351">
        <v>0</v>
      </c>
      <c r="G30" s="351">
        <f t="shared" si="0"/>
        <v>0</v>
      </c>
      <c r="H30" s="351">
        <f>VLOOKUP(B30,'[1]Tháng 7.2025'!$B$23:$H$153,7,0)</f>
        <v>208</v>
      </c>
      <c r="I30" s="355"/>
      <c r="J30" s="357" t="s">
        <v>833</v>
      </c>
      <c r="K30" s="332">
        <v>1076</v>
      </c>
      <c r="L30" s="327" t="s">
        <v>88</v>
      </c>
      <c r="M30" s="261" t="s">
        <v>895</v>
      </c>
      <c r="N30" s="261" t="s">
        <v>896</v>
      </c>
      <c r="Q30" s="262"/>
      <c r="R30" s="262"/>
      <c r="S30" s="262"/>
      <c r="T30" s="262"/>
      <c r="U30" s="262"/>
    </row>
    <row r="31" spans="1:24" s="261" customFormat="1" ht="56.25" customHeight="1" x14ac:dyDescent="0.25">
      <c r="A31" s="355">
        <f t="shared" si="1"/>
        <v>9</v>
      </c>
      <c r="B31" s="351" t="s">
        <v>3</v>
      </c>
      <c r="C31" s="357" t="s">
        <v>4</v>
      </c>
      <c r="D31" s="355" t="s">
        <v>2</v>
      </c>
      <c r="E31" s="351">
        <v>0</v>
      </c>
      <c r="F31" s="351">
        <v>0</v>
      </c>
      <c r="G31" s="351">
        <f t="shared" si="0"/>
        <v>0</v>
      </c>
      <c r="H31" s="351">
        <v>400</v>
      </c>
      <c r="I31" s="355"/>
      <c r="J31" s="357" t="s">
        <v>823</v>
      </c>
      <c r="K31" s="332" t="s">
        <v>843</v>
      </c>
      <c r="L31" s="327" t="s">
        <v>88</v>
      </c>
      <c r="M31" s="261" t="s">
        <v>895</v>
      </c>
      <c r="N31" s="261" t="s">
        <v>896</v>
      </c>
      <c r="Q31" s="262"/>
      <c r="R31" s="262"/>
      <c r="S31" s="262"/>
      <c r="T31" s="262"/>
      <c r="U31" s="262"/>
    </row>
    <row r="32" spans="1:24" s="261" customFormat="1" ht="57.75" customHeight="1" x14ac:dyDescent="0.25">
      <c r="A32" s="355">
        <f t="shared" si="1"/>
        <v>10</v>
      </c>
      <c r="B32" s="351" t="s">
        <v>85</v>
      </c>
      <c r="C32" s="357" t="s">
        <v>86</v>
      </c>
      <c r="D32" s="355" t="s">
        <v>2</v>
      </c>
      <c r="E32" s="351">
        <v>0</v>
      </c>
      <c r="F32" s="351">
        <v>0</v>
      </c>
      <c r="G32" s="351">
        <f t="shared" si="0"/>
        <v>0</v>
      </c>
      <c r="H32" s="351">
        <v>600</v>
      </c>
      <c r="I32" s="355"/>
      <c r="J32" s="357" t="s">
        <v>219</v>
      </c>
      <c r="K32" s="332">
        <v>6843</v>
      </c>
      <c r="L32" s="327" t="s">
        <v>140</v>
      </c>
      <c r="M32" s="261" t="s">
        <v>895</v>
      </c>
      <c r="N32" s="261" t="s">
        <v>896</v>
      </c>
      <c r="O32" s="261" t="s">
        <v>812</v>
      </c>
      <c r="Q32" s="262"/>
      <c r="R32" s="262"/>
      <c r="S32" s="262"/>
      <c r="T32" s="262"/>
      <c r="U32" s="262"/>
    </row>
    <row r="33" spans="1:21" s="261" customFormat="1" ht="21.75" customHeight="1" x14ac:dyDescent="0.25">
      <c r="A33" s="355">
        <f t="shared" si="1"/>
        <v>11</v>
      </c>
      <c r="B33" s="351" t="s">
        <v>1064</v>
      </c>
      <c r="C33" s="357" t="s">
        <v>1065</v>
      </c>
      <c r="D33" s="355" t="s">
        <v>2</v>
      </c>
      <c r="E33" s="351">
        <v>0</v>
      </c>
      <c r="F33" s="351">
        <v>0</v>
      </c>
      <c r="G33" s="351">
        <f t="shared" si="0"/>
        <v>0</v>
      </c>
      <c r="H33" s="351">
        <v>1253</v>
      </c>
      <c r="I33" s="355"/>
      <c r="J33" s="357" t="s">
        <v>824</v>
      </c>
      <c r="K33" s="332"/>
      <c r="L33" s="327" t="s">
        <v>88</v>
      </c>
      <c r="M33" s="261" t="s">
        <v>895</v>
      </c>
      <c r="N33" s="261" t="s">
        <v>896</v>
      </c>
      <c r="Q33" s="262"/>
      <c r="R33" s="262"/>
      <c r="S33" s="262"/>
      <c r="T33" s="262"/>
      <c r="U33" s="262"/>
    </row>
    <row r="34" spans="1:21" s="261" customFormat="1" ht="21.75" customHeight="1" x14ac:dyDescent="0.25">
      <c r="A34" s="355">
        <f t="shared" si="1"/>
        <v>12</v>
      </c>
      <c r="B34" s="351" t="s">
        <v>56</v>
      </c>
      <c r="C34" s="357" t="s">
        <v>57</v>
      </c>
      <c r="D34" s="355" t="s">
        <v>2</v>
      </c>
      <c r="E34" s="351">
        <v>3904.1383977600008</v>
      </c>
      <c r="F34" s="351">
        <v>0</v>
      </c>
      <c r="G34" s="351">
        <f t="shared" si="0"/>
        <v>3904.1383977600008</v>
      </c>
      <c r="H34" s="351">
        <v>360</v>
      </c>
      <c r="I34" s="355"/>
      <c r="J34" s="357" t="s">
        <v>1178</v>
      </c>
      <c r="K34" s="332"/>
      <c r="L34" s="327" t="s">
        <v>140</v>
      </c>
      <c r="M34" s="261" t="s">
        <v>895</v>
      </c>
      <c r="N34" s="261" t="s">
        <v>896</v>
      </c>
      <c r="O34" s="261" t="s">
        <v>812</v>
      </c>
      <c r="Q34" s="262"/>
      <c r="R34" s="262"/>
      <c r="S34" s="262"/>
      <c r="T34" s="262"/>
      <c r="U34" s="262"/>
    </row>
    <row r="35" spans="1:21" s="261" customFormat="1" ht="34.5" customHeight="1" x14ac:dyDescent="0.25">
      <c r="A35" s="355">
        <f t="shared" si="1"/>
        <v>13</v>
      </c>
      <c r="B35" s="351" t="s">
        <v>46</v>
      </c>
      <c r="C35" s="357" t="s">
        <v>1179</v>
      </c>
      <c r="D35" s="355" t="s">
        <v>2</v>
      </c>
      <c r="E35" s="351"/>
      <c r="F35" s="351"/>
      <c r="G35" s="351"/>
      <c r="H35" s="351">
        <v>50</v>
      </c>
      <c r="I35" s="355"/>
      <c r="J35" s="357" t="s">
        <v>1180</v>
      </c>
      <c r="K35" s="332"/>
      <c r="L35" s="327" t="s">
        <v>140</v>
      </c>
      <c r="M35" s="261" t="s">
        <v>895</v>
      </c>
      <c r="N35" s="261" t="s">
        <v>896</v>
      </c>
      <c r="O35" s="261" t="s">
        <v>812</v>
      </c>
      <c r="Q35" s="262"/>
      <c r="R35" s="262"/>
      <c r="S35" s="262"/>
      <c r="T35" s="262"/>
      <c r="U35" s="262"/>
    </row>
    <row r="36" spans="1:21" s="261" customFormat="1" ht="21.75" customHeight="1" x14ac:dyDescent="0.25">
      <c r="A36" s="355">
        <f t="shared" si="1"/>
        <v>14</v>
      </c>
      <c r="B36" s="351" t="s">
        <v>566</v>
      </c>
      <c r="C36" s="357" t="s">
        <v>1181</v>
      </c>
      <c r="D36" s="355" t="s">
        <v>2</v>
      </c>
      <c r="E36" s="351"/>
      <c r="F36" s="351"/>
      <c r="G36" s="351"/>
      <c r="H36" s="351">
        <v>1253</v>
      </c>
      <c r="I36" s="355"/>
      <c r="J36" s="357" t="s">
        <v>1182</v>
      </c>
      <c r="K36" s="332"/>
      <c r="L36" s="327" t="s">
        <v>140</v>
      </c>
      <c r="M36" s="261" t="s">
        <v>895</v>
      </c>
      <c r="N36" s="261" t="s">
        <v>896</v>
      </c>
      <c r="O36" s="261" t="s">
        <v>812</v>
      </c>
      <c r="Q36" s="262"/>
      <c r="R36" s="262"/>
      <c r="S36" s="262"/>
      <c r="T36" s="262"/>
      <c r="U36" s="262"/>
    </row>
    <row r="37" spans="1:21" s="261" customFormat="1" ht="21.75" customHeight="1" x14ac:dyDescent="0.25">
      <c r="A37" s="355">
        <f t="shared" si="1"/>
        <v>15</v>
      </c>
      <c r="B37" s="351" t="s">
        <v>56</v>
      </c>
      <c r="C37" s="357" t="s">
        <v>57</v>
      </c>
      <c r="D37" s="355" t="s">
        <v>2</v>
      </c>
      <c r="E37" s="351">
        <v>3904.1383977600008</v>
      </c>
      <c r="F37" s="351">
        <v>0</v>
      </c>
      <c r="G37" s="351">
        <f t="shared" ref="G37" si="2">E37-F37</f>
        <v>3904.1383977600008</v>
      </c>
      <c r="H37" s="351">
        <v>20</v>
      </c>
      <c r="I37" s="355"/>
      <c r="J37" s="357" t="s">
        <v>1170</v>
      </c>
      <c r="K37" s="332"/>
      <c r="L37" s="327" t="s">
        <v>76</v>
      </c>
      <c r="Q37" s="262"/>
      <c r="R37" s="262"/>
      <c r="S37" s="262"/>
      <c r="T37" s="262"/>
      <c r="U37" s="262"/>
    </row>
    <row r="38" spans="1:21" s="261" customFormat="1" ht="21.75" customHeight="1" x14ac:dyDescent="0.25">
      <c r="A38" s="355">
        <f t="shared" si="1"/>
        <v>16</v>
      </c>
      <c r="B38" s="351" t="s">
        <v>79</v>
      </c>
      <c r="C38" s="357" t="s">
        <v>80</v>
      </c>
      <c r="D38" s="355" t="s">
        <v>2</v>
      </c>
      <c r="E38" s="351">
        <v>0</v>
      </c>
      <c r="F38" s="351">
        <v>0</v>
      </c>
      <c r="G38" s="351">
        <f t="shared" si="0"/>
        <v>0</v>
      </c>
      <c r="H38" s="351">
        <v>200</v>
      </c>
      <c r="I38" s="355"/>
      <c r="J38" s="357" t="s">
        <v>511</v>
      </c>
      <c r="K38" s="332" t="s">
        <v>88</v>
      </c>
      <c r="L38" s="327" t="s">
        <v>88</v>
      </c>
      <c r="N38" s="261" t="s">
        <v>896</v>
      </c>
      <c r="Q38" s="262"/>
      <c r="R38" s="262"/>
      <c r="S38" s="262"/>
      <c r="T38" s="262"/>
      <c r="U38" s="262"/>
    </row>
    <row r="39" spans="1:21" s="261" customFormat="1" ht="21.75" customHeight="1" x14ac:dyDescent="0.25">
      <c r="A39" s="355">
        <f t="shared" si="1"/>
        <v>17</v>
      </c>
      <c r="B39" s="351" t="s">
        <v>447</v>
      </c>
      <c r="C39" s="357" t="s">
        <v>701</v>
      </c>
      <c r="D39" s="355" t="s">
        <v>2</v>
      </c>
      <c r="E39" s="351">
        <v>0</v>
      </c>
      <c r="F39" s="351">
        <v>0</v>
      </c>
      <c r="G39" s="351">
        <f t="shared" si="0"/>
        <v>0</v>
      </c>
      <c r="H39" s="351">
        <v>300</v>
      </c>
      <c r="I39" s="355"/>
      <c r="J39" s="356" t="s">
        <v>778</v>
      </c>
      <c r="K39" s="332"/>
      <c r="L39" s="327" t="s">
        <v>88</v>
      </c>
      <c r="M39" s="261" t="s">
        <v>895</v>
      </c>
      <c r="N39" s="261" t="s">
        <v>896</v>
      </c>
      <c r="Q39" s="262"/>
      <c r="R39" s="262"/>
      <c r="S39" s="262"/>
      <c r="T39" s="262"/>
      <c r="U39" s="262"/>
    </row>
    <row r="40" spans="1:21" s="262" customFormat="1" ht="21.75" customHeight="1" x14ac:dyDescent="0.25">
      <c r="A40" s="355">
        <f t="shared" si="1"/>
        <v>18</v>
      </c>
      <c r="B40" s="351" t="s">
        <v>83</v>
      </c>
      <c r="C40" s="357" t="s">
        <v>1022</v>
      </c>
      <c r="D40" s="355" t="s">
        <v>2</v>
      </c>
      <c r="E40" s="351">
        <v>0</v>
      </c>
      <c r="F40" s="351">
        <v>0</v>
      </c>
      <c r="G40" s="351">
        <f t="shared" si="0"/>
        <v>0</v>
      </c>
      <c r="H40" s="358">
        <v>200</v>
      </c>
      <c r="I40" s="355"/>
      <c r="J40" s="356" t="s">
        <v>778</v>
      </c>
      <c r="K40" s="332"/>
      <c r="L40" s="327" t="s">
        <v>88</v>
      </c>
      <c r="N40" s="335" t="s">
        <v>896</v>
      </c>
    </row>
    <row r="41" spans="1:21" s="262" customFormat="1" ht="21.75" customHeight="1" x14ac:dyDescent="0.25">
      <c r="A41" s="355">
        <f t="shared" si="1"/>
        <v>19</v>
      </c>
      <c r="B41" s="351" t="s">
        <v>816</v>
      </c>
      <c r="C41" s="357" t="s">
        <v>817</v>
      </c>
      <c r="D41" s="355" t="s">
        <v>2</v>
      </c>
      <c r="E41" s="351">
        <v>0</v>
      </c>
      <c r="F41" s="351">
        <v>0</v>
      </c>
      <c r="G41" s="351">
        <f t="shared" si="0"/>
        <v>0</v>
      </c>
      <c r="H41" s="351">
        <v>300</v>
      </c>
      <c r="I41" s="355"/>
      <c r="J41" s="357" t="s">
        <v>957</v>
      </c>
      <c r="K41" s="332"/>
      <c r="L41" s="329" t="s">
        <v>140</v>
      </c>
      <c r="N41" s="335" t="s">
        <v>896</v>
      </c>
    </row>
    <row r="42" spans="1:21" s="262" customFormat="1" ht="21.75" customHeight="1" x14ac:dyDescent="0.25">
      <c r="A42" s="355">
        <f t="shared" si="1"/>
        <v>20</v>
      </c>
      <c r="B42" s="351" t="s">
        <v>25</v>
      </c>
      <c r="C42" s="357" t="s">
        <v>703</v>
      </c>
      <c r="D42" s="355" t="s">
        <v>2</v>
      </c>
      <c r="E42" s="351">
        <v>0</v>
      </c>
      <c r="F42" s="351">
        <v>0</v>
      </c>
      <c r="G42" s="351">
        <f t="shared" si="0"/>
        <v>0</v>
      </c>
      <c r="H42" s="351">
        <f>VLOOKUP(B42,'[1]Tháng 7.2025'!$B$23:$H$153,7,0)</f>
        <v>200</v>
      </c>
      <c r="I42" s="355"/>
      <c r="J42" s="357" t="s">
        <v>815</v>
      </c>
      <c r="K42" s="332"/>
      <c r="L42" s="329" t="s">
        <v>88</v>
      </c>
      <c r="M42" s="262" t="s">
        <v>895</v>
      </c>
      <c r="N42" s="262" t="s">
        <v>896</v>
      </c>
    </row>
    <row r="43" spans="1:21" s="261" customFormat="1" ht="57.75" customHeight="1" x14ac:dyDescent="0.25">
      <c r="A43" s="355">
        <f t="shared" si="1"/>
        <v>21</v>
      </c>
      <c r="B43" s="355" t="s">
        <v>841</v>
      </c>
      <c r="C43" s="357" t="s">
        <v>842</v>
      </c>
      <c r="D43" s="351" t="s">
        <v>2</v>
      </c>
      <c r="E43" s="351">
        <v>2491.5585329840001</v>
      </c>
      <c r="F43" s="351">
        <v>0</v>
      </c>
      <c r="G43" s="351">
        <f t="shared" si="0"/>
        <v>2491.5585329840001</v>
      </c>
      <c r="H43" s="351">
        <v>300</v>
      </c>
      <c r="I43" s="355"/>
      <c r="J43" s="359" t="s">
        <v>949</v>
      </c>
      <c r="K43" s="336" t="s">
        <v>110</v>
      </c>
      <c r="L43" s="327" t="s">
        <v>76</v>
      </c>
      <c r="M43" s="261" t="s">
        <v>895</v>
      </c>
      <c r="N43" s="261" t="s">
        <v>896</v>
      </c>
      <c r="O43" s="261" t="s">
        <v>812</v>
      </c>
      <c r="Q43" s="262"/>
      <c r="R43" s="262"/>
      <c r="S43" s="262"/>
      <c r="T43" s="262"/>
      <c r="U43" s="262"/>
    </row>
    <row r="44" spans="1:21" s="261" customFormat="1" ht="82.5" customHeight="1" x14ac:dyDescent="0.25">
      <c r="A44" s="355">
        <f t="shared" si="1"/>
        <v>22</v>
      </c>
      <c r="B44" s="351" t="s">
        <v>81</v>
      </c>
      <c r="C44" s="357" t="s">
        <v>82</v>
      </c>
      <c r="D44" s="355" t="s">
        <v>66</v>
      </c>
      <c r="E44" s="351">
        <v>0</v>
      </c>
      <c r="F44" s="351">
        <v>0</v>
      </c>
      <c r="G44" s="351">
        <f t="shared" si="0"/>
        <v>0</v>
      </c>
      <c r="H44" s="351">
        <v>540</v>
      </c>
      <c r="I44" s="355"/>
      <c r="J44" s="357" t="s">
        <v>1059</v>
      </c>
      <c r="K44" s="337">
        <v>9385</v>
      </c>
      <c r="L44" s="327" t="s">
        <v>88</v>
      </c>
      <c r="Q44" s="262"/>
      <c r="R44" s="262"/>
      <c r="S44" s="262"/>
      <c r="T44" s="262"/>
      <c r="U44" s="262"/>
    </row>
    <row r="45" spans="1:21" s="261" customFormat="1" ht="38.25" customHeight="1" x14ac:dyDescent="0.25">
      <c r="A45" s="355">
        <f t="shared" si="1"/>
        <v>23</v>
      </c>
      <c r="B45" s="351" t="s">
        <v>945</v>
      </c>
      <c r="C45" s="357" t="s">
        <v>878</v>
      </c>
      <c r="D45" s="355" t="s">
        <v>66</v>
      </c>
      <c r="E45" s="351">
        <v>0</v>
      </c>
      <c r="F45" s="351">
        <v>880</v>
      </c>
      <c r="G45" s="351"/>
      <c r="H45" s="351">
        <v>2400</v>
      </c>
      <c r="I45" s="355"/>
      <c r="J45" s="357" t="s">
        <v>853</v>
      </c>
      <c r="K45" s="337">
        <v>9385</v>
      </c>
      <c r="L45" s="323" t="s">
        <v>1171</v>
      </c>
      <c r="M45" s="261" t="s">
        <v>895</v>
      </c>
      <c r="N45" s="261" t="s">
        <v>896</v>
      </c>
      <c r="O45" s="261" t="s">
        <v>812</v>
      </c>
      <c r="Q45" s="262"/>
      <c r="R45" s="262"/>
      <c r="S45" s="262"/>
      <c r="T45" s="262"/>
      <c r="U45" s="262"/>
    </row>
    <row r="46" spans="1:21" s="261" customFormat="1" ht="41.25" customHeight="1" x14ac:dyDescent="0.25">
      <c r="A46" s="355">
        <f t="shared" si="1"/>
        <v>24</v>
      </c>
      <c r="B46" s="351" t="s">
        <v>415</v>
      </c>
      <c r="C46" s="357" t="s">
        <v>950</v>
      </c>
      <c r="D46" s="355" t="s">
        <v>66</v>
      </c>
      <c r="E46" s="351">
        <v>3553.5790576240001</v>
      </c>
      <c r="F46" s="351">
        <v>0</v>
      </c>
      <c r="G46" s="351">
        <f t="shared" si="0"/>
        <v>3553.5790576240001</v>
      </c>
      <c r="H46" s="351">
        <v>510</v>
      </c>
      <c r="I46" s="355"/>
      <c r="J46" s="357" t="s">
        <v>951</v>
      </c>
      <c r="K46" s="337"/>
      <c r="L46" s="327" t="s">
        <v>76</v>
      </c>
      <c r="N46" s="261" t="s">
        <v>896</v>
      </c>
      <c r="O46" s="261" t="s">
        <v>812</v>
      </c>
      <c r="Q46" s="262"/>
      <c r="R46" s="262"/>
      <c r="S46" s="262"/>
      <c r="T46" s="262"/>
      <c r="U46" s="262"/>
    </row>
    <row r="47" spans="1:21" s="261" customFormat="1" ht="45" customHeight="1" x14ac:dyDescent="0.25">
      <c r="A47" s="355">
        <f t="shared" si="1"/>
        <v>25</v>
      </c>
      <c r="B47" s="351" t="s">
        <v>24</v>
      </c>
      <c r="C47" s="357" t="s">
        <v>43</v>
      </c>
      <c r="D47" s="355" t="s">
        <v>2</v>
      </c>
      <c r="E47" s="351">
        <v>0</v>
      </c>
      <c r="F47" s="351">
        <v>0</v>
      </c>
      <c r="G47" s="351">
        <f t="shared" si="0"/>
        <v>0</v>
      </c>
      <c r="H47" s="351">
        <v>0</v>
      </c>
      <c r="I47" s="355"/>
      <c r="J47" s="357" t="s">
        <v>815</v>
      </c>
      <c r="K47" s="332"/>
      <c r="L47" s="329" t="s">
        <v>88</v>
      </c>
      <c r="M47" s="262" t="s">
        <v>895</v>
      </c>
      <c r="Q47" s="262"/>
      <c r="R47" s="262"/>
      <c r="S47" s="262"/>
      <c r="T47" s="262"/>
      <c r="U47" s="262"/>
    </row>
    <row r="48" spans="1:21" s="261" customFormat="1" ht="39" customHeight="1" x14ac:dyDescent="0.25">
      <c r="A48" s="355">
        <f t="shared" si="1"/>
        <v>26</v>
      </c>
      <c r="B48" s="351" t="s">
        <v>705</v>
      </c>
      <c r="C48" s="357" t="s">
        <v>706</v>
      </c>
      <c r="D48" s="355" t="s">
        <v>2</v>
      </c>
      <c r="E48" s="351">
        <f>VLOOKUP(B48,'[1]Tháng 7.2025'!$B$23:$H$153,4,0)</f>
        <v>0</v>
      </c>
      <c r="F48" s="351">
        <f>VLOOKUP(B48,'[1]Tháng 7.2025'!$B$23:$H$153,5,0)</f>
        <v>0</v>
      </c>
      <c r="G48" s="351">
        <f t="shared" si="0"/>
        <v>0</v>
      </c>
      <c r="H48" s="351">
        <v>0</v>
      </c>
      <c r="I48" s="355"/>
      <c r="J48" s="357" t="s">
        <v>707</v>
      </c>
      <c r="K48" s="332"/>
      <c r="L48" s="327" t="s">
        <v>88</v>
      </c>
      <c r="Q48" s="262"/>
      <c r="R48" s="262"/>
      <c r="S48" s="262"/>
      <c r="T48" s="262"/>
      <c r="U48" s="262"/>
    </row>
    <row r="49" spans="1:21" s="261" customFormat="1" ht="46.5" customHeight="1" x14ac:dyDescent="0.25">
      <c r="A49" s="355">
        <f t="shared" si="1"/>
        <v>27</v>
      </c>
      <c r="B49" s="351" t="s">
        <v>447</v>
      </c>
      <c r="C49" s="357" t="s">
        <v>448</v>
      </c>
      <c r="D49" s="355" t="s">
        <v>2</v>
      </c>
      <c r="E49" s="351">
        <v>0</v>
      </c>
      <c r="F49" s="351">
        <v>0</v>
      </c>
      <c r="G49" s="351">
        <f t="shared" si="0"/>
        <v>0</v>
      </c>
      <c r="H49" s="351">
        <v>0</v>
      </c>
      <c r="I49" s="355"/>
      <c r="J49" s="357" t="s">
        <v>869</v>
      </c>
      <c r="K49" s="332"/>
      <c r="L49" s="327" t="s">
        <v>88</v>
      </c>
      <c r="Q49" s="262"/>
      <c r="R49" s="262"/>
      <c r="S49" s="262"/>
      <c r="T49" s="262"/>
      <c r="U49" s="262"/>
    </row>
    <row r="50" spans="1:21" s="261" customFormat="1" ht="46.5" customHeight="1" x14ac:dyDescent="0.25">
      <c r="A50" s="355">
        <f t="shared" si="1"/>
        <v>28</v>
      </c>
      <c r="B50" s="351" t="s">
        <v>866</v>
      </c>
      <c r="C50" s="357" t="s">
        <v>867</v>
      </c>
      <c r="D50" s="355" t="s">
        <v>2</v>
      </c>
      <c r="E50" s="351">
        <v>0</v>
      </c>
      <c r="F50" s="351">
        <v>0</v>
      </c>
      <c r="G50" s="351">
        <f t="shared" si="0"/>
        <v>0</v>
      </c>
      <c r="H50" s="351">
        <v>150</v>
      </c>
      <c r="I50" s="355"/>
      <c r="J50" s="357" t="s">
        <v>958</v>
      </c>
      <c r="K50" s="332"/>
      <c r="L50" s="327" t="s">
        <v>76</v>
      </c>
      <c r="N50" s="261" t="s">
        <v>896</v>
      </c>
      <c r="Q50" s="262"/>
      <c r="R50" s="262"/>
      <c r="S50" s="262"/>
      <c r="T50" s="262"/>
      <c r="U50" s="262"/>
    </row>
    <row r="51" spans="1:21" s="326" customFormat="1" ht="48.75" customHeight="1" x14ac:dyDescent="0.25">
      <c r="A51" s="360" t="s">
        <v>19</v>
      </c>
      <c r="B51" s="356"/>
      <c r="C51" s="356"/>
      <c r="D51" s="355"/>
      <c r="E51" s="351"/>
      <c r="F51" s="351"/>
      <c r="G51" s="351"/>
      <c r="H51" s="351"/>
      <c r="I51" s="355"/>
      <c r="J51" s="355"/>
      <c r="K51" s="328"/>
      <c r="L51" s="325"/>
      <c r="O51" s="261"/>
      <c r="Q51" s="338"/>
      <c r="R51" s="338"/>
      <c r="S51" s="338"/>
      <c r="T51" s="338"/>
      <c r="U51" s="338"/>
    </row>
    <row r="52" spans="1:21" s="261" customFormat="1" ht="48.75" customHeight="1" x14ac:dyDescent="0.25">
      <c r="A52" s="355">
        <f>A50+1</f>
        <v>29</v>
      </c>
      <c r="B52" s="351" t="s">
        <v>819</v>
      </c>
      <c r="C52" s="357" t="s">
        <v>820</v>
      </c>
      <c r="D52" s="355" t="s">
        <v>0</v>
      </c>
      <c r="E52" s="351">
        <v>28</v>
      </c>
      <c r="F52" s="351">
        <f>VLOOKUP(B52,'[1]Tháng 7.2025'!$B$23:$H$153,5,0)</f>
        <v>0</v>
      </c>
      <c r="G52" s="351">
        <f t="shared" ref="G52:G137" si="3">E52-F52</f>
        <v>28</v>
      </c>
      <c r="H52" s="351">
        <v>12</v>
      </c>
      <c r="I52" s="355"/>
      <c r="J52" s="357" t="s">
        <v>1172</v>
      </c>
      <c r="K52" s="331">
        <v>50</v>
      </c>
      <c r="L52" s="327" t="s">
        <v>76</v>
      </c>
      <c r="O52" s="261" t="s">
        <v>812</v>
      </c>
      <c r="Q52" s="262"/>
      <c r="R52" s="262"/>
      <c r="S52" s="262"/>
      <c r="T52" s="262"/>
      <c r="U52" s="262"/>
    </row>
    <row r="53" spans="1:21" s="261" customFormat="1" ht="40.5" customHeight="1" x14ac:dyDescent="0.25">
      <c r="A53" s="355">
        <f>A52+1</f>
        <v>30</v>
      </c>
      <c r="B53" s="351" t="s">
        <v>821</v>
      </c>
      <c r="C53" s="357" t="s">
        <v>822</v>
      </c>
      <c r="D53" s="355" t="s">
        <v>0</v>
      </c>
      <c r="E53" s="351">
        <v>10</v>
      </c>
      <c r="F53" s="351">
        <v>0</v>
      </c>
      <c r="G53" s="351">
        <f t="shared" si="3"/>
        <v>10</v>
      </c>
      <c r="H53" s="351">
        <v>2</v>
      </c>
      <c r="I53" s="355"/>
      <c r="J53" s="357" t="s">
        <v>956</v>
      </c>
      <c r="K53" s="332">
        <v>18</v>
      </c>
      <c r="L53" s="327" t="s">
        <v>76</v>
      </c>
      <c r="M53" s="261" t="s">
        <v>895</v>
      </c>
      <c r="N53" s="261" t="s">
        <v>896</v>
      </c>
      <c r="Q53" s="262"/>
      <c r="R53" s="262"/>
      <c r="S53" s="262"/>
      <c r="T53" s="262"/>
      <c r="U53" s="262"/>
    </row>
    <row r="54" spans="1:21" s="261" customFormat="1" ht="40.5" customHeight="1" x14ac:dyDescent="0.25">
      <c r="A54" s="355">
        <f t="shared" ref="A54:A118" si="4">A53+1</f>
        <v>31</v>
      </c>
      <c r="B54" s="351" t="s">
        <v>954</v>
      </c>
      <c r="C54" s="357" t="s">
        <v>860</v>
      </c>
      <c r="D54" s="355" t="s">
        <v>0</v>
      </c>
      <c r="E54" s="351">
        <v>8</v>
      </c>
      <c r="F54" s="351">
        <v>0</v>
      </c>
      <c r="G54" s="351">
        <f t="shared" si="3"/>
        <v>8</v>
      </c>
      <c r="H54" s="351">
        <v>1</v>
      </c>
      <c r="I54" s="355"/>
      <c r="J54" s="357" t="s">
        <v>955</v>
      </c>
      <c r="K54" s="332"/>
      <c r="L54" s="327" t="s">
        <v>76</v>
      </c>
      <c r="N54" s="261" t="s">
        <v>896</v>
      </c>
      <c r="Q54" s="262"/>
      <c r="R54" s="262"/>
      <c r="S54" s="262"/>
      <c r="T54" s="262"/>
      <c r="U54" s="262"/>
    </row>
    <row r="55" spans="1:21" s="261" customFormat="1" ht="40.5" customHeight="1" x14ac:dyDescent="0.25">
      <c r="A55" s="355">
        <f t="shared" si="4"/>
        <v>32</v>
      </c>
      <c r="B55" s="351" t="s">
        <v>828</v>
      </c>
      <c r="C55" s="357" t="s">
        <v>832</v>
      </c>
      <c r="D55" s="355" t="s">
        <v>0</v>
      </c>
      <c r="E55" s="351">
        <v>20</v>
      </c>
      <c r="F55" s="351">
        <v>0</v>
      </c>
      <c r="G55" s="351">
        <f t="shared" si="3"/>
        <v>20</v>
      </c>
      <c r="H55" s="351">
        <v>1</v>
      </c>
      <c r="I55" s="355"/>
      <c r="J55" s="357" t="s">
        <v>953</v>
      </c>
      <c r="K55" s="332"/>
      <c r="L55" s="327" t="s">
        <v>76</v>
      </c>
      <c r="M55" s="261" t="s">
        <v>895</v>
      </c>
      <c r="N55" s="261" t="s">
        <v>896</v>
      </c>
      <c r="Q55" s="262"/>
      <c r="R55" s="262"/>
      <c r="S55" s="262"/>
      <c r="T55" s="262"/>
      <c r="U55" s="262"/>
    </row>
    <row r="56" spans="1:21" s="262" customFormat="1" ht="40.5" customHeight="1" x14ac:dyDescent="0.25">
      <c r="A56" s="355">
        <f t="shared" si="4"/>
        <v>33</v>
      </c>
      <c r="B56" s="351" t="s">
        <v>829</v>
      </c>
      <c r="C56" s="357" t="s">
        <v>830</v>
      </c>
      <c r="D56" s="355" t="s">
        <v>0</v>
      </c>
      <c r="E56" s="351">
        <v>28</v>
      </c>
      <c r="F56" s="351">
        <v>0</v>
      </c>
      <c r="G56" s="351">
        <f t="shared" si="3"/>
        <v>28</v>
      </c>
      <c r="H56" s="351">
        <v>8</v>
      </c>
      <c r="I56" s="355"/>
      <c r="J56" s="357" t="s">
        <v>952</v>
      </c>
      <c r="K56" s="332"/>
      <c r="L56" s="327" t="s">
        <v>76</v>
      </c>
      <c r="M56" s="262" t="s">
        <v>895</v>
      </c>
      <c r="N56" s="262" t="s">
        <v>896</v>
      </c>
    </row>
    <row r="57" spans="1:21" s="262" customFormat="1" ht="88.5" customHeight="1" x14ac:dyDescent="0.25">
      <c r="A57" s="355">
        <f t="shared" si="4"/>
        <v>34</v>
      </c>
      <c r="B57" s="351"/>
      <c r="C57" s="357" t="s">
        <v>64</v>
      </c>
      <c r="D57" s="355" t="s">
        <v>0</v>
      </c>
      <c r="E57" s="351">
        <v>48</v>
      </c>
      <c r="F57" s="351">
        <v>0</v>
      </c>
      <c r="G57" s="351">
        <f t="shared" si="3"/>
        <v>48</v>
      </c>
      <c r="H57" s="351">
        <v>36</v>
      </c>
      <c r="I57" s="355"/>
      <c r="J57" s="357" t="s">
        <v>904</v>
      </c>
      <c r="K57" s="332"/>
      <c r="L57" s="327" t="s">
        <v>76</v>
      </c>
      <c r="M57" s="262" t="s">
        <v>895</v>
      </c>
      <c r="N57" s="262" t="s">
        <v>896</v>
      </c>
    </row>
    <row r="58" spans="1:21" s="262" customFormat="1" ht="88.5" customHeight="1" x14ac:dyDescent="0.25">
      <c r="A58" s="355"/>
      <c r="B58" s="381"/>
      <c r="C58" s="382"/>
      <c r="D58" s="355"/>
      <c r="E58" s="351"/>
      <c r="F58" s="351"/>
      <c r="G58" s="351"/>
      <c r="H58" s="351"/>
      <c r="I58" s="355"/>
      <c r="J58" s="382"/>
      <c r="K58" s="332"/>
      <c r="L58" s="327"/>
    </row>
    <row r="59" spans="1:21" s="262" customFormat="1" ht="57" customHeight="1" x14ac:dyDescent="0.25">
      <c r="A59" s="355">
        <f>A57+1</f>
        <v>35</v>
      </c>
      <c r="B59" s="361" t="s">
        <v>112</v>
      </c>
      <c r="C59" s="359" t="s">
        <v>60</v>
      </c>
      <c r="D59" s="355" t="s">
        <v>0</v>
      </c>
      <c r="E59" s="351">
        <v>18</v>
      </c>
      <c r="F59" s="351">
        <v>0</v>
      </c>
      <c r="G59" s="351">
        <f t="shared" si="3"/>
        <v>18</v>
      </c>
      <c r="H59" s="351">
        <v>0</v>
      </c>
      <c r="I59" s="355"/>
      <c r="J59" s="362" t="s">
        <v>900</v>
      </c>
      <c r="K59" s="332"/>
      <c r="L59" s="327" t="s">
        <v>76</v>
      </c>
      <c r="M59" s="262" t="s">
        <v>895</v>
      </c>
      <c r="N59" s="262" t="s">
        <v>896</v>
      </c>
    </row>
    <row r="60" spans="1:21" s="261" customFormat="1" ht="81" customHeight="1" x14ac:dyDescent="0.25">
      <c r="A60" s="355">
        <f t="shared" si="4"/>
        <v>36</v>
      </c>
      <c r="B60" s="351" t="s">
        <v>295</v>
      </c>
      <c r="C60" s="357" t="s">
        <v>296</v>
      </c>
      <c r="D60" s="355" t="s">
        <v>0</v>
      </c>
      <c r="E60" s="351">
        <v>0</v>
      </c>
      <c r="F60" s="351">
        <v>0</v>
      </c>
      <c r="G60" s="351">
        <f t="shared" si="3"/>
        <v>0</v>
      </c>
      <c r="H60" s="351">
        <v>6</v>
      </c>
      <c r="I60" s="363"/>
      <c r="J60" s="357" t="s">
        <v>798</v>
      </c>
      <c r="K60" s="332">
        <v>0</v>
      </c>
      <c r="L60" s="327" t="s">
        <v>88</v>
      </c>
      <c r="M60" s="261" t="s">
        <v>895</v>
      </c>
      <c r="Q60" s="262"/>
      <c r="R60" s="262"/>
      <c r="S60" s="262"/>
      <c r="T60" s="262"/>
      <c r="U60" s="262"/>
    </row>
    <row r="61" spans="1:21" s="261" customFormat="1" ht="45" customHeight="1" x14ac:dyDescent="0.25">
      <c r="A61" s="355">
        <f t="shared" si="4"/>
        <v>37</v>
      </c>
      <c r="B61" s="355" t="s">
        <v>89</v>
      </c>
      <c r="C61" s="357" t="s">
        <v>90</v>
      </c>
      <c r="D61" s="355" t="s">
        <v>0</v>
      </c>
      <c r="E61" s="351">
        <v>0</v>
      </c>
      <c r="F61" s="351">
        <v>0</v>
      </c>
      <c r="G61" s="351">
        <f t="shared" si="3"/>
        <v>0</v>
      </c>
      <c r="H61" s="351">
        <f>VLOOKUP(B61,'[1]Tháng 7.2025'!$B$23:$H$153,7,0)</f>
        <v>6</v>
      </c>
      <c r="I61" s="363"/>
      <c r="J61" s="357" t="s">
        <v>97</v>
      </c>
      <c r="K61" s="332">
        <v>0</v>
      </c>
      <c r="L61" s="327" t="s">
        <v>88</v>
      </c>
      <c r="Q61" s="262"/>
      <c r="R61" s="262"/>
      <c r="S61" s="262"/>
      <c r="T61" s="262"/>
      <c r="U61" s="262"/>
    </row>
    <row r="62" spans="1:21" s="261" customFormat="1" ht="75.75" customHeight="1" x14ac:dyDescent="0.25">
      <c r="A62" s="355">
        <f t="shared" si="4"/>
        <v>38</v>
      </c>
      <c r="B62" s="351" t="s">
        <v>855</v>
      </c>
      <c r="C62" s="357" t="s">
        <v>627</v>
      </c>
      <c r="D62" s="355" t="s">
        <v>0</v>
      </c>
      <c r="E62" s="351">
        <v>0</v>
      </c>
      <c r="F62" s="351">
        <v>0</v>
      </c>
      <c r="G62" s="351">
        <f t="shared" si="3"/>
        <v>0</v>
      </c>
      <c r="H62" s="351">
        <v>2</v>
      </c>
      <c r="I62" s="363"/>
      <c r="J62" s="357" t="s">
        <v>628</v>
      </c>
      <c r="K62" s="332"/>
      <c r="L62" s="327" t="s">
        <v>88</v>
      </c>
      <c r="M62" s="261" t="s">
        <v>895</v>
      </c>
      <c r="N62" s="261" t="s">
        <v>896</v>
      </c>
      <c r="Q62" s="262"/>
      <c r="R62" s="262"/>
      <c r="S62" s="262"/>
      <c r="T62" s="262"/>
      <c r="U62" s="262"/>
    </row>
    <row r="63" spans="1:21" s="261" customFormat="1" ht="153.75" customHeight="1" x14ac:dyDescent="0.25">
      <c r="A63" s="355">
        <f t="shared" si="4"/>
        <v>39</v>
      </c>
      <c r="B63" s="351" t="s">
        <v>91</v>
      </c>
      <c r="C63" s="357" t="s">
        <v>92</v>
      </c>
      <c r="D63" s="355" t="s">
        <v>0</v>
      </c>
      <c r="E63" s="351">
        <v>0</v>
      </c>
      <c r="F63" s="351">
        <v>0</v>
      </c>
      <c r="G63" s="351">
        <f t="shared" si="3"/>
        <v>0</v>
      </c>
      <c r="H63" s="351">
        <v>6</v>
      </c>
      <c r="I63" s="363"/>
      <c r="J63" s="357" t="s">
        <v>98</v>
      </c>
      <c r="K63" s="332"/>
      <c r="L63" s="327" t="s">
        <v>88</v>
      </c>
      <c r="M63" s="261" t="s">
        <v>895</v>
      </c>
      <c r="N63" s="261" t="s">
        <v>896</v>
      </c>
      <c r="Q63" s="262"/>
      <c r="R63" s="262"/>
      <c r="S63" s="262"/>
      <c r="T63" s="262"/>
      <c r="U63" s="262"/>
    </row>
    <row r="64" spans="1:21" s="262" customFormat="1" ht="49.5" customHeight="1" x14ac:dyDescent="0.25">
      <c r="A64" s="355">
        <f t="shared" si="4"/>
        <v>40</v>
      </c>
      <c r="B64" s="351" t="s">
        <v>338</v>
      </c>
      <c r="C64" s="357" t="s">
        <v>339</v>
      </c>
      <c r="D64" s="355" t="s">
        <v>0</v>
      </c>
      <c r="E64" s="351">
        <v>0</v>
      </c>
      <c r="F64" s="351">
        <v>0</v>
      </c>
      <c r="G64" s="351">
        <f t="shared" si="3"/>
        <v>0</v>
      </c>
      <c r="H64" s="351">
        <v>218</v>
      </c>
      <c r="I64" s="363"/>
      <c r="J64" s="357" t="s">
        <v>632</v>
      </c>
      <c r="K64" s="332"/>
      <c r="L64" s="329" t="s">
        <v>88</v>
      </c>
      <c r="M64" s="262" t="s">
        <v>895</v>
      </c>
      <c r="N64" s="261" t="s">
        <v>896</v>
      </c>
    </row>
    <row r="65" spans="1:21" s="262" customFormat="1" ht="63" customHeight="1" x14ac:dyDescent="0.25">
      <c r="A65" s="355">
        <f t="shared" si="4"/>
        <v>41</v>
      </c>
      <c r="B65" s="351" t="s">
        <v>844</v>
      </c>
      <c r="C65" s="357" t="s">
        <v>845</v>
      </c>
      <c r="D65" s="355" t="s">
        <v>0</v>
      </c>
      <c r="E65" s="351">
        <v>0</v>
      </c>
      <c r="F65" s="351">
        <v>0</v>
      </c>
      <c r="G65" s="351">
        <f t="shared" si="3"/>
        <v>0</v>
      </c>
      <c r="H65" s="351">
        <f>VLOOKUP(B65,'[1]Tháng 7.2025'!$B$23:$H$153,7,0)</f>
        <v>10</v>
      </c>
      <c r="I65" s="363"/>
      <c r="J65" s="357" t="s">
        <v>632</v>
      </c>
      <c r="K65" s="332"/>
      <c r="L65" s="329" t="s">
        <v>88</v>
      </c>
      <c r="N65" s="261" t="s">
        <v>896</v>
      </c>
    </row>
    <row r="66" spans="1:21" s="261" customFormat="1" ht="51.75" customHeight="1" x14ac:dyDescent="0.25">
      <c r="A66" s="355">
        <f t="shared" si="4"/>
        <v>42</v>
      </c>
      <c r="B66" s="351" t="s">
        <v>615</v>
      </c>
      <c r="C66" s="357" t="s">
        <v>616</v>
      </c>
      <c r="D66" s="355" t="s">
        <v>0</v>
      </c>
      <c r="E66" s="351">
        <v>1000</v>
      </c>
      <c r="F66" s="351">
        <v>80</v>
      </c>
      <c r="G66" s="351">
        <f t="shared" si="3"/>
        <v>920</v>
      </c>
      <c r="H66" s="351">
        <v>100</v>
      </c>
      <c r="I66" s="363"/>
      <c r="J66" s="357" t="s">
        <v>617</v>
      </c>
      <c r="K66" s="332">
        <v>1815</v>
      </c>
      <c r="L66" s="327" t="s">
        <v>76</v>
      </c>
      <c r="M66" s="261" t="s">
        <v>895</v>
      </c>
      <c r="N66" s="261" t="s">
        <v>896</v>
      </c>
      <c r="O66" s="261" t="s">
        <v>812</v>
      </c>
      <c r="Q66" s="262"/>
      <c r="R66" s="262"/>
      <c r="S66" s="262"/>
      <c r="T66" s="262"/>
      <c r="U66" s="262"/>
    </row>
    <row r="67" spans="1:21" s="261" customFormat="1" ht="51.75" customHeight="1" x14ac:dyDescent="0.25">
      <c r="A67" s="355">
        <f t="shared" si="4"/>
        <v>43</v>
      </c>
      <c r="B67" s="351" t="s">
        <v>618</v>
      </c>
      <c r="C67" s="357" t="s">
        <v>619</v>
      </c>
      <c r="D67" s="355" t="s">
        <v>0</v>
      </c>
      <c r="E67" s="351">
        <v>175</v>
      </c>
      <c r="F67" s="351">
        <v>32</v>
      </c>
      <c r="G67" s="351">
        <f t="shared" si="3"/>
        <v>143</v>
      </c>
      <c r="H67" s="351">
        <v>24</v>
      </c>
      <c r="I67" s="363"/>
      <c r="J67" s="357" t="s">
        <v>620</v>
      </c>
      <c r="K67" s="332"/>
      <c r="L67" s="327" t="s">
        <v>76</v>
      </c>
      <c r="M67" s="261" t="s">
        <v>895</v>
      </c>
      <c r="N67" s="261" t="s">
        <v>896</v>
      </c>
      <c r="O67" s="261" t="s">
        <v>812</v>
      </c>
      <c r="Q67" s="262"/>
      <c r="R67" s="262"/>
      <c r="S67" s="262"/>
      <c r="T67" s="262"/>
      <c r="U67" s="262"/>
    </row>
    <row r="68" spans="1:21" s="261" customFormat="1" ht="51.75" customHeight="1" x14ac:dyDescent="0.25">
      <c r="A68" s="355">
        <f t="shared" si="4"/>
        <v>44</v>
      </c>
      <c r="B68" s="351"/>
      <c r="C68" s="357" t="s">
        <v>1173</v>
      </c>
      <c r="D68" s="355"/>
      <c r="E68" s="351"/>
      <c r="F68" s="351"/>
      <c r="G68" s="351"/>
      <c r="H68" s="351">
        <v>1</v>
      </c>
      <c r="I68" s="363"/>
      <c r="J68" s="357" t="s">
        <v>1174</v>
      </c>
      <c r="K68" s="332"/>
      <c r="L68" s="327" t="s">
        <v>76</v>
      </c>
      <c r="M68" s="261" t="s">
        <v>895</v>
      </c>
      <c r="N68" s="261" t="s">
        <v>896</v>
      </c>
      <c r="O68" s="261" t="s">
        <v>812</v>
      </c>
      <c r="Q68" s="262"/>
      <c r="R68" s="262"/>
      <c r="S68" s="262"/>
      <c r="T68" s="262"/>
      <c r="U68" s="262"/>
    </row>
    <row r="69" spans="1:21" s="261" customFormat="1" ht="39.75" customHeight="1" x14ac:dyDescent="0.25">
      <c r="A69" s="355">
        <f t="shared" si="4"/>
        <v>45</v>
      </c>
      <c r="B69" s="351" t="s">
        <v>93</v>
      </c>
      <c r="C69" s="357" t="s">
        <v>94</v>
      </c>
      <c r="D69" s="355" t="s">
        <v>0</v>
      </c>
      <c r="E69" s="351">
        <v>0</v>
      </c>
      <c r="F69" s="351">
        <v>0</v>
      </c>
      <c r="G69" s="351">
        <f t="shared" si="3"/>
        <v>0</v>
      </c>
      <c r="H69" s="351">
        <v>6</v>
      </c>
      <c r="I69" s="363"/>
      <c r="J69" s="357" t="s">
        <v>99</v>
      </c>
      <c r="K69" s="332">
        <v>0</v>
      </c>
      <c r="L69" s="327" t="s">
        <v>88</v>
      </c>
      <c r="M69" s="261" t="s">
        <v>895</v>
      </c>
      <c r="N69" s="261" t="s">
        <v>896</v>
      </c>
      <c r="Q69" s="262"/>
      <c r="R69" s="262"/>
      <c r="S69" s="262"/>
      <c r="T69" s="262"/>
      <c r="U69" s="262"/>
    </row>
    <row r="70" spans="1:21" s="261" customFormat="1" ht="42.75" customHeight="1" x14ac:dyDescent="0.25">
      <c r="A70" s="355">
        <f t="shared" si="4"/>
        <v>46</v>
      </c>
      <c r="B70" s="351" t="s">
        <v>95</v>
      </c>
      <c r="C70" s="357" t="s">
        <v>96</v>
      </c>
      <c r="D70" s="355" t="s">
        <v>0</v>
      </c>
      <c r="E70" s="351">
        <v>0</v>
      </c>
      <c r="F70" s="351">
        <v>0</v>
      </c>
      <c r="G70" s="351">
        <f t="shared" si="3"/>
        <v>0</v>
      </c>
      <c r="H70" s="351">
        <v>6</v>
      </c>
      <c r="I70" s="363"/>
      <c r="J70" s="357" t="s">
        <v>100</v>
      </c>
      <c r="K70" s="332"/>
      <c r="L70" s="323" t="s">
        <v>88</v>
      </c>
      <c r="M70" s="333" t="s">
        <v>895</v>
      </c>
      <c r="N70" s="261" t="s">
        <v>896</v>
      </c>
      <c r="P70" s="333"/>
      <c r="Q70" s="262"/>
      <c r="R70" s="334"/>
      <c r="S70" s="334"/>
      <c r="T70" s="262"/>
      <c r="U70" s="262"/>
    </row>
    <row r="71" spans="1:21" s="261" customFormat="1" ht="42.75" customHeight="1" x14ac:dyDescent="0.25">
      <c r="A71" s="355">
        <f t="shared" si="4"/>
        <v>47</v>
      </c>
      <c r="B71" s="355" t="s">
        <v>630</v>
      </c>
      <c r="C71" s="357" t="s">
        <v>631</v>
      </c>
      <c r="D71" s="355" t="s">
        <v>0</v>
      </c>
      <c r="E71" s="351">
        <v>0</v>
      </c>
      <c r="F71" s="351">
        <v>0</v>
      </c>
      <c r="G71" s="351">
        <f t="shared" si="3"/>
        <v>0</v>
      </c>
      <c r="H71" s="351">
        <v>6</v>
      </c>
      <c r="I71" s="363"/>
      <c r="J71" s="357" t="s">
        <v>101</v>
      </c>
      <c r="K71" s="332"/>
      <c r="L71" s="323" t="s">
        <v>88</v>
      </c>
      <c r="M71" s="333" t="s">
        <v>895</v>
      </c>
      <c r="N71" s="261" t="s">
        <v>896</v>
      </c>
      <c r="O71" s="333"/>
      <c r="P71" s="333"/>
      <c r="Q71" s="262"/>
      <c r="R71" s="334"/>
      <c r="S71" s="334"/>
      <c r="T71" s="262"/>
      <c r="U71" s="262"/>
    </row>
    <row r="72" spans="1:21" s="261" customFormat="1" ht="56.25" customHeight="1" x14ac:dyDescent="0.25">
      <c r="A72" s="355">
        <f t="shared" si="4"/>
        <v>48</v>
      </c>
      <c r="B72" s="351" t="s">
        <v>856</v>
      </c>
      <c r="C72" s="357" t="s">
        <v>39</v>
      </c>
      <c r="D72" s="355" t="s">
        <v>0</v>
      </c>
      <c r="E72" s="351">
        <v>0</v>
      </c>
      <c r="F72" s="351">
        <v>0</v>
      </c>
      <c r="G72" s="351">
        <f t="shared" si="3"/>
        <v>0</v>
      </c>
      <c r="H72" s="351">
        <v>5</v>
      </c>
      <c r="I72" s="363"/>
      <c r="J72" s="357" t="s">
        <v>623</v>
      </c>
      <c r="K72" s="332"/>
      <c r="L72" s="327" t="s">
        <v>88</v>
      </c>
      <c r="M72" s="261" t="s">
        <v>895</v>
      </c>
      <c r="N72" s="261" t="s">
        <v>896</v>
      </c>
      <c r="O72" s="333"/>
      <c r="Q72" s="262"/>
      <c r="R72" s="262"/>
      <c r="S72" s="262"/>
      <c r="T72" s="262"/>
      <c r="U72" s="262"/>
    </row>
    <row r="73" spans="1:21" s="261" customFormat="1" ht="56.25" customHeight="1" x14ac:dyDescent="0.25">
      <c r="A73" s="355">
        <f t="shared" si="4"/>
        <v>49</v>
      </c>
      <c r="B73" s="351" t="s">
        <v>857</v>
      </c>
      <c r="C73" s="357" t="s">
        <v>37</v>
      </c>
      <c r="D73" s="355" t="s">
        <v>17</v>
      </c>
      <c r="E73" s="351">
        <v>0</v>
      </c>
      <c r="F73" s="351">
        <v>0</v>
      </c>
      <c r="G73" s="351">
        <f t="shared" si="3"/>
        <v>0</v>
      </c>
      <c r="H73" s="351">
        <v>4</v>
      </c>
      <c r="I73" s="363"/>
      <c r="J73" s="357" t="s">
        <v>846</v>
      </c>
      <c r="K73" s="332" t="s">
        <v>121</v>
      </c>
      <c r="L73" s="327" t="s">
        <v>88</v>
      </c>
      <c r="M73" s="261" t="s">
        <v>895</v>
      </c>
      <c r="N73" s="261" t="s">
        <v>896</v>
      </c>
      <c r="O73" s="333"/>
      <c r="Q73" s="262"/>
      <c r="R73" s="262"/>
      <c r="S73" s="262"/>
      <c r="T73" s="262"/>
      <c r="U73" s="262"/>
    </row>
    <row r="74" spans="1:21" s="261" customFormat="1" ht="69.75" customHeight="1" x14ac:dyDescent="0.25">
      <c r="A74" s="355">
        <f t="shared" si="4"/>
        <v>50</v>
      </c>
      <c r="B74" s="351" t="s">
        <v>825</v>
      </c>
      <c r="C74" s="357" t="s">
        <v>26</v>
      </c>
      <c r="D74" s="355" t="s">
        <v>17</v>
      </c>
      <c r="E74" s="351">
        <v>0</v>
      </c>
      <c r="F74" s="351">
        <v>0</v>
      </c>
      <c r="G74" s="351">
        <f t="shared" si="3"/>
        <v>0</v>
      </c>
      <c r="H74" s="351">
        <f>VLOOKUP(B74,'[1]Tháng 7.2025'!$B$23:$H$153,7,0)</f>
        <v>2</v>
      </c>
      <c r="I74" s="363"/>
      <c r="J74" s="357" t="s">
        <v>847</v>
      </c>
      <c r="K74" s="331">
        <v>0</v>
      </c>
      <c r="L74" s="327" t="s">
        <v>88</v>
      </c>
      <c r="M74" s="261" t="s">
        <v>895</v>
      </c>
      <c r="N74" s="261" t="s">
        <v>896</v>
      </c>
      <c r="O74" s="333"/>
      <c r="Q74" s="262"/>
      <c r="R74" s="262"/>
      <c r="S74" s="262"/>
      <c r="T74" s="262"/>
      <c r="U74" s="262"/>
    </row>
    <row r="75" spans="1:21" s="262" customFormat="1" ht="33" customHeight="1" x14ac:dyDescent="0.25">
      <c r="A75" s="355">
        <f t="shared" si="4"/>
        <v>51</v>
      </c>
      <c r="B75" s="351" t="s">
        <v>459</v>
      </c>
      <c r="C75" s="357" t="s">
        <v>460</v>
      </c>
      <c r="D75" s="355" t="s">
        <v>59</v>
      </c>
      <c r="E75" s="351">
        <v>0</v>
      </c>
      <c r="F75" s="351">
        <v>0</v>
      </c>
      <c r="G75" s="351">
        <f t="shared" si="3"/>
        <v>0</v>
      </c>
      <c r="H75" s="351">
        <f>VLOOKUP(B75,'[1]Tháng 7.2025'!$B$23:$H$153,7,0)</f>
        <v>2</v>
      </c>
      <c r="I75" s="363"/>
      <c r="J75" s="357" t="s">
        <v>461</v>
      </c>
      <c r="K75" s="331"/>
      <c r="L75" s="329" t="s">
        <v>140</v>
      </c>
    </row>
    <row r="76" spans="1:21" s="261" customFormat="1" ht="71.25" customHeight="1" x14ac:dyDescent="0.25">
      <c r="A76" s="355">
        <f t="shared" si="4"/>
        <v>52</v>
      </c>
      <c r="B76" s="351" t="s">
        <v>361</v>
      </c>
      <c r="C76" s="357" t="s">
        <v>362</v>
      </c>
      <c r="D76" s="351" t="s">
        <v>0</v>
      </c>
      <c r="E76" s="351">
        <v>0</v>
      </c>
      <c r="F76" s="351">
        <v>0</v>
      </c>
      <c r="G76" s="351">
        <f t="shared" si="3"/>
        <v>0</v>
      </c>
      <c r="H76" s="351">
        <f>VLOOKUP(B76,'[1]Tháng 7.2025'!$B$23:$H$153,7,0)</f>
        <v>6</v>
      </c>
      <c r="I76" s="351"/>
      <c r="J76" s="357" t="s">
        <v>879</v>
      </c>
      <c r="K76" s="331"/>
      <c r="L76" s="327" t="s">
        <v>88</v>
      </c>
      <c r="M76" s="261" t="s">
        <v>895</v>
      </c>
      <c r="N76" s="261" t="s">
        <v>896</v>
      </c>
      <c r="Q76" s="262"/>
      <c r="R76" s="262"/>
      <c r="S76" s="262"/>
      <c r="T76" s="262"/>
      <c r="U76" s="262"/>
    </row>
    <row r="77" spans="1:21" s="261" customFormat="1" ht="39" customHeight="1" x14ac:dyDescent="0.25">
      <c r="A77" s="355">
        <f t="shared" si="4"/>
        <v>53</v>
      </c>
      <c r="B77" s="351" t="s">
        <v>829</v>
      </c>
      <c r="C77" s="357" t="s">
        <v>831</v>
      </c>
      <c r="D77" s="355" t="s">
        <v>172</v>
      </c>
      <c r="E77" s="351">
        <v>0</v>
      </c>
      <c r="F77" s="351">
        <v>0</v>
      </c>
      <c r="G77" s="351">
        <f t="shared" si="3"/>
        <v>0</v>
      </c>
      <c r="H77" s="351">
        <v>5</v>
      </c>
      <c r="I77" s="355"/>
      <c r="J77" s="357" t="s">
        <v>859</v>
      </c>
      <c r="K77" s="332"/>
      <c r="L77" s="327" t="s">
        <v>76</v>
      </c>
      <c r="Q77" s="262"/>
      <c r="R77" s="262"/>
      <c r="S77" s="262"/>
      <c r="T77" s="262"/>
      <c r="U77" s="262"/>
    </row>
    <row r="78" spans="1:21" s="261" customFormat="1" ht="41.25" customHeight="1" x14ac:dyDescent="0.25">
      <c r="A78" s="355">
        <f t="shared" si="4"/>
        <v>54</v>
      </c>
      <c r="B78" s="351" t="s">
        <v>335</v>
      </c>
      <c r="C78" s="357" t="s">
        <v>336</v>
      </c>
      <c r="D78" s="355" t="s">
        <v>0</v>
      </c>
      <c r="E78" s="351">
        <v>0</v>
      </c>
      <c r="F78" s="351">
        <v>0</v>
      </c>
      <c r="G78" s="351">
        <f t="shared" si="3"/>
        <v>0</v>
      </c>
      <c r="H78" s="351">
        <v>2</v>
      </c>
      <c r="I78" s="355"/>
      <c r="J78" s="357" t="s">
        <v>1023</v>
      </c>
      <c r="K78" s="332"/>
      <c r="L78" s="327" t="s">
        <v>140</v>
      </c>
      <c r="N78" s="261" t="s">
        <v>896</v>
      </c>
      <c r="Q78" s="262"/>
      <c r="R78" s="262"/>
      <c r="S78" s="262"/>
      <c r="T78" s="262"/>
      <c r="U78" s="262"/>
    </row>
    <row r="79" spans="1:21" s="261" customFormat="1" ht="58.5" customHeight="1" x14ac:dyDescent="0.25">
      <c r="A79" s="355">
        <f t="shared" si="4"/>
        <v>55</v>
      </c>
      <c r="B79" s="351" t="s">
        <v>340</v>
      </c>
      <c r="C79" s="357" t="s">
        <v>341</v>
      </c>
      <c r="D79" s="355" t="s">
        <v>0</v>
      </c>
      <c r="E79" s="351">
        <v>0</v>
      </c>
      <c r="F79" s="351">
        <v>0</v>
      </c>
      <c r="G79" s="351">
        <f t="shared" si="3"/>
        <v>0</v>
      </c>
      <c r="H79" s="351">
        <v>2</v>
      </c>
      <c r="I79" s="355"/>
      <c r="J79" s="357" t="s">
        <v>1024</v>
      </c>
      <c r="K79" s="332"/>
      <c r="L79" s="327" t="s">
        <v>140</v>
      </c>
      <c r="N79" s="261" t="s">
        <v>896</v>
      </c>
      <c r="Q79" s="262"/>
      <c r="R79" s="262"/>
      <c r="S79" s="262"/>
      <c r="T79" s="262"/>
      <c r="U79" s="262"/>
    </row>
    <row r="80" spans="1:21" s="261" customFormat="1" ht="30" customHeight="1" x14ac:dyDescent="0.25">
      <c r="A80" s="355">
        <f t="shared" si="4"/>
        <v>56</v>
      </c>
      <c r="B80" s="355"/>
      <c r="C80" s="357" t="s">
        <v>1060</v>
      </c>
      <c r="D80" s="351" t="s">
        <v>59</v>
      </c>
      <c r="E80" s="351">
        <v>0</v>
      </c>
      <c r="F80" s="351">
        <v>0</v>
      </c>
      <c r="G80" s="351">
        <f t="shared" si="3"/>
        <v>0</v>
      </c>
      <c r="H80" s="351">
        <v>1</v>
      </c>
      <c r="I80" s="355"/>
      <c r="J80" s="357" t="s">
        <v>1063</v>
      </c>
      <c r="K80" s="332"/>
      <c r="L80" s="327" t="s">
        <v>76</v>
      </c>
      <c r="Q80" s="262"/>
      <c r="R80" s="262"/>
      <c r="S80" s="262"/>
      <c r="T80" s="262"/>
      <c r="U80" s="262"/>
    </row>
    <row r="81" spans="1:21" s="261" customFormat="1" ht="30" customHeight="1" x14ac:dyDescent="0.25">
      <c r="A81" s="355">
        <f t="shared" si="4"/>
        <v>57</v>
      </c>
      <c r="B81" s="355"/>
      <c r="C81" s="357" t="s">
        <v>1061</v>
      </c>
      <c r="D81" s="351" t="s">
        <v>0</v>
      </c>
      <c r="E81" s="351">
        <v>0</v>
      </c>
      <c r="F81" s="351">
        <v>0</v>
      </c>
      <c r="G81" s="351">
        <f t="shared" si="3"/>
        <v>0</v>
      </c>
      <c r="H81" s="351">
        <v>1</v>
      </c>
      <c r="I81" s="355"/>
      <c r="J81" s="357" t="s">
        <v>1063</v>
      </c>
      <c r="K81" s="332"/>
      <c r="L81" s="327" t="s">
        <v>76</v>
      </c>
      <c r="Q81" s="262"/>
      <c r="R81" s="262"/>
      <c r="S81" s="262"/>
      <c r="T81" s="262"/>
      <c r="U81" s="262"/>
    </row>
    <row r="82" spans="1:21" s="261" customFormat="1" ht="30" customHeight="1" x14ac:dyDescent="0.25">
      <c r="A82" s="355">
        <f t="shared" si="4"/>
        <v>58</v>
      </c>
      <c r="B82" s="355"/>
      <c r="C82" s="357" t="s">
        <v>1062</v>
      </c>
      <c r="D82" s="351" t="s">
        <v>0</v>
      </c>
      <c r="E82" s="351">
        <v>0</v>
      </c>
      <c r="F82" s="351">
        <v>0</v>
      </c>
      <c r="G82" s="351">
        <f t="shared" si="3"/>
        <v>0</v>
      </c>
      <c r="H82" s="351">
        <v>1</v>
      </c>
      <c r="I82" s="355"/>
      <c r="J82" s="357" t="s">
        <v>1063</v>
      </c>
      <c r="K82" s="332"/>
      <c r="L82" s="327" t="s">
        <v>76</v>
      </c>
      <c r="Q82" s="262"/>
      <c r="R82" s="262"/>
      <c r="S82" s="262"/>
      <c r="T82" s="262"/>
      <c r="U82" s="262"/>
    </row>
    <row r="83" spans="1:21" s="261" customFormat="1" ht="58.5" customHeight="1" x14ac:dyDescent="0.25">
      <c r="A83" s="355">
        <f t="shared" si="4"/>
        <v>59</v>
      </c>
      <c r="B83" s="355" t="s">
        <v>1066</v>
      </c>
      <c r="C83" s="357" t="s">
        <v>1099</v>
      </c>
      <c r="D83" s="351" t="s">
        <v>0</v>
      </c>
      <c r="E83" s="351">
        <v>0</v>
      </c>
      <c r="F83" s="351">
        <v>0</v>
      </c>
      <c r="G83" s="351">
        <f t="shared" si="3"/>
        <v>0</v>
      </c>
      <c r="H83" s="351">
        <v>1014</v>
      </c>
      <c r="I83" s="355"/>
      <c r="J83" s="357" t="s">
        <v>1135</v>
      </c>
      <c r="K83" s="332"/>
      <c r="L83" s="327" t="s">
        <v>197</v>
      </c>
      <c r="Q83" s="262"/>
      <c r="R83" s="262"/>
      <c r="S83" s="262"/>
      <c r="T83" s="262"/>
      <c r="U83" s="262"/>
    </row>
    <row r="84" spans="1:21" s="261" customFormat="1" ht="35.25" customHeight="1" x14ac:dyDescent="0.25">
      <c r="A84" s="355">
        <f t="shared" si="4"/>
        <v>60</v>
      </c>
      <c r="B84" s="355" t="s">
        <v>1067</v>
      </c>
      <c r="C84" s="357" t="s">
        <v>1100</v>
      </c>
      <c r="D84" s="351" t="s">
        <v>0</v>
      </c>
      <c r="E84" s="351">
        <v>0</v>
      </c>
      <c r="F84" s="351">
        <v>0</v>
      </c>
      <c r="G84" s="351">
        <f t="shared" si="3"/>
        <v>0</v>
      </c>
      <c r="H84" s="351">
        <v>60</v>
      </c>
      <c r="I84" s="355"/>
      <c r="J84" s="357" t="s">
        <v>1136</v>
      </c>
      <c r="K84" s="332"/>
      <c r="L84" s="327" t="s">
        <v>197</v>
      </c>
      <c r="Q84" s="262"/>
      <c r="R84" s="262"/>
      <c r="S84" s="262"/>
      <c r="T84" s="262"/>
      <c r="U84" s="262"/>
    </row>
    <row r="85" spans="1:21" s="261" customFormat="1" ht="35.25" customHeight="1" x14ac:dyDescent="0.25">
      <c r="A85" s="355">
        <f t="shared" si="4"/>
        <v>61</v>
      </c>
      <c r="B85" s="355" t="s">
        <v>1068</v>
      </c>
      <c r="C85" s="357" t="s">
        <v>1101</v>
      </c>
      <c r="D85" s="351" t="s">
        <v>0</v>
      </c>
      <c r="E85" s="351">
        <v>0</v>
      </c>
      <c r="F85" s="351">
        <v>0</v>
      </c>
      <c r="G85" s="351">
        <f t="shared" si="3"/>
        <v>0</v>
      </c>
      <c r="H85" s="351">
        <v>30</v>
      </c>
      <c r="I85" s="355"/>
      <c r="J85" s="357" t="s">
        <v>1137</v>
      </c>
      <c r="K85" s="332"/>
      <c r="L85" s="327" t="s">
        <v>197</v>
      </c>
      <c r="Q85" s="262"/>
      <c r="R85" s="262"/>
      <c r="S85" s="262"/>
      <c r="T85" s="262"/>
      <c r="U85" s="262"/>
    </row>
    <row r="86" spans="1:21" s="261" customFormat="1" ht="35.25" customHeight="1" x14ac:dyDescent="0.25">
      <c r="A86" s="355">
        <f t="shared" si="4"/>
        <v>62</v>
      </c>
      <c r="B86" s="355" t="s">
        <v>1069</v>
      </c>
      <c r="C86" s="357" t="s">
        <v>1102</v>
      </c>
      <c r="D86" s="351" t="s">
        <v>0</v>
      </c>
      <c r="E86" s="351">
        <v>0</v>
      </c>
      <c r="F86" s="351">
        <v>0</v>
      </c>
      <c r="G86" s="351">
        <f t="shared" si="3"/>
        <v>0</v>
      </c>
      <c r="H86" s="351">
        <v>500</v>
      </c>
      <c r="I86" s="355"/>
      <c r="J86" s="357" t="s">
        <v>1138</v>
      </c>
      <c r="K86" s="332"/>
      <c r="L86" s="327" t="s">
        <v>197</v>
      </c>
      <c r="Q86" s="262"/>
      <c r="R86" s="262"/>
      <c r="S86" s="262"/>
      <c r="T86" s="262"/>
      <c r="U86" s="262"/>
    </row>
    <row r="87" spans="1:21" s="261" customFormat="1" ht="35.25" customHeight="1" x14ac:dyDescent="0.25">
      <c r="A87" s="355">
        <f t="shared" si="4"/>
        <v>63</v>
      </c>
      <c r="B87" s="355" t="s">
        <v>1070</v>
      </c>
      <c r="C87" s="357" t="s">
        <v>1103</v>
      </c>
      <c r="D87" s="351" t="s">
        <v>0</v>
      </c>
      <c r="E87" s="351">
        <v>0</v>
      </c>
      <c r="F87" s="351">
        <v>0</v>
      </c>
      <c r="G87" s="351">
        <f t="shared" si="3"/>
        <v>0</v>
      </c>
      <c r="H87" s="351">
        <v>12</v>
      </c>
      <c r="I87" s="355"/>
      <c r="J87" s="357" t="s">
        <v>1139</v>
      </c>
      <c r="K87" s="332"/>
      <c r="L87" s="327" t="s">
        <v>197</v>
      </c>
      <c r="Q87" s="262"/>
      <c r="R87" s="262"/>
      <c r="S87" s="262"/>
      <c r="T87" s="262"/>
      <c r="U87" s="262"/>
    </row>
    <row r="88" spans="1:21" s="261" customFormat="1" ht="35.25" customHeight="1" x14ac:dyDescent="0.25">
      <c r="A88" s="355">
        <f t="shared" si="4"/>
        <v>64</v>
      </c>
      <c r="B88" s="355" t="s">
        <v>519</v>
      </c>
      <c r="C88" s="357" t="s">
        <v>518</v>
      </c>
      <c r="D88" s="351" t="s">
        <v>0</v>
      </c>
      <c r="E88" s="351">
        <v>0</v>
      </c>
      <c r="F88" s="351">
        <v>0</v>
      </c>
      <c r="G88" s="351">
        <f t="shared" si="3"/>
        <v>0</v>
      </c>
      <c r="H88" s="351">
        <v>4</v>
      </c>
      <c r="I88" s="355"/>
      <c r="J88" s="357" t="s">
        <v>1140</v>
      </c>
      <c r="K88" s="332"/>
      <c r="L88" s="327" t="s">
        <v>197</v>
      </c>
      <c r="Q88" s="262"/>
      <c r="R88" s="262"/>
      <c r="S88" s="262"/>
      <c r="T88" s="262"/>
      <c r="U88" s="262"/>
    </row>
    <row r="89" spans="1:21" s="261" customFormat="1" ht="35.25" customHeight="1" x14ac:dyDescent="0.25">
      <c r="A89" s="355">
        <f t="shared" si="4"/>
        <v>65</v>
      </c>
      <c r="B89" s="355" t="s">
        <v>871</v>
      </c>
      <c r="C89" s="357" t="s">
        <v>872</v>
      </c>
      <c r="D89" s="351" t="s">
        <v>0</v>
      </c>
      <c r="E89" s="351">
        <v>0</v>
      </c>
      <c r="F89" s="351">
        <v>0</v>
      </c>
      <c r="G89" s="351">
        <f t="shared" si="3"/>
        <v>0</v>
      </c>
      <c r="H89" s="351">
        <v>8</v>
      </c>
      <c r="I89" s="355"/>
      <c r="J89" s="357" t="s">
        <v>1141</v>
      </c>
      <c r="K89" s="332"/>
      <c r="L89" s="327" t="s">
        <v>197</v>
      </c>
      <c r="Q89" s="262"/>
      <c r="R89" s="262"/>
      <c r="S89" s="262"/>
      <c r="T89" s="262"/>
      <c r="U89" s="262"/>
    </row>
    <row r="90" spans="1:21" s="261" customFormat="1" ht="35.25" customHeight="1" x14ac:dyDescent="0.25">
      <c r="A90" s="355">
        <f t="shared" si="4"/>
        <v>66</v>
      </c>
      <c r="B90" s="355" t="s">
        <v>711</v>
      </c>
      <c r="C90" s="357" t="s">
        <v>712</v>
      </c>
      <c r="D90" s="351" t="s">
        <v>0</v>
      </c>
      <c r="E90" s="351">
        <v>0</v>
      </c>
      <c r="F90" s="351">
        <v>0</v>
      </c>
      <c r="G90" s="351">
        <f t="shared" si="3"/>
        <v>0</v>
      </c>
      <c r="H90" s="351">
        <v>3</v>
      </c>
      <c r="I90" s="355"/>
      <c r="J90" s="357" t="s">
        <v>1141</v>
      </c>
      <c r="K90" s="332"/>
      <c r="L90" s="327" t="s">
        <v>197</v>
      </c>
      <c r="Q90" s="262"/>
      <c r="R90" s="262"/>
      <c r="S90" s="262"/>
      <c r="T90" s="262"/>
      <c r="U90" s="262"/>
    </row>
    <row r="91" spans="1:21" s="261" customFormat="1" ht="35.25" customHeight="1" x14ac:dyDescent="0.25">
      <c r="A91" s="355">
        <f t="shared" si="4"/>
        <v>67</v>
      </c>
      <c r="B91" s="355" t="s">
        <v>716</v>
      </c>
      <c r="C91" s="357" t="s">
        <v>717</v>
      </c>
      <c r="D91" s="351" t="s">
        <v>0</v>
      </c>
      <c r="E91" s="351">
        <v>0</v>
      </c>
      <c r="F91" s="351">
        <v>0</v>
      </c>
      <c r="G91" s="351">
        <f t="shared" si="3"/>
        <v>0</v>
      </c>
      <c r="H91" s="351">
        <v>7</v>
      </c>
      <c r="I91" s="355"/>
      <c r="J91" s="357" t="s">
        <v>1142</v>
      </c>
      <c r="K91" s="332"/>
      <c r="L91" s="327" t="s">
        <v>197</v>
      </c>
      <c r="Q91" s="262"/>
      <c r="R91" s="262"/>
      <c r="S91" s="262"/>
      <c r="T91" s="262"/>
      <c r="U91" s="262"/>
    </row>
    <row r="92" spans="1:21" s="261" customFormat="1" ht="46.5" customHeight="1" x14ac:dyDescent="0.25">
      <c r="A92" s="355">
        <f t="shared" si="4"/>
        <v>68</v>
      </c>
      <c r="B92" s="355" t="s">
        <v>316</v>
      </c>
      <c r="C92" s="357" t="s">
        <v>317</v>
      </c>
      <c r="D92" s="351" t="s">
        <v>0</v>
      </c>
      <c r="E92" s="351">
        <v>0</v>
      </c>
      <c r="F92" s="351">
        <v>0</v>
      </c>
      <c r="G92" s="351">
        <f t="shared" si="3"/>
        <v>0</v>
      </c>
      <c r="H92" s="351">
        <v>4</v>
      </c>
      <c r="I92" s="355"/>
      <c r="J92" s="357" t="s">
        <v>1143</v>
      </c>
      <c r="K92" s="332"/>
      <c r="L92" s="327" t="s">
        <v>197</v>
      </c>
      <c r="Q92" s="262"/>
      <c r="R92" s="262"/>
      <c r="S92" s="262"/>
      <c r="T92" s="262"/>
      <c r="U92" s="262"/>
    </row>
    <row r="93" spans="1:21" s="261" customFormat="1" ht="56.25" customHeight="1" x14ac:dyDescent="0.25">
      <c r="A93" s="355">
        <f t="shared" si="4"/>
        <v>69</v>
      </c>
      <c r="B93" s="355" t="s">
        <v>1071</v>
      </c>
      <c r="C93" s="357" t="s">
        <v>1104</v>
      </c>
      <c r="D93" s="351" t="s">
        <v>0</v>
      </c>
      <c r="E93" s="351">
        <v>0</v>
      </c>
      <c r="F93" s="351">
        <v>0</v>
      </c>
      <c r="G93" s="351">
        <f t="shared" si="3"/>
        <v>0</v>
      </c>
      <c r="H93" s="351">
        <v>1</v>
      </c>
      <c r="I93" s="355"/>
      <c r="J93" s="357" t="s">
        <v>1144</v>
      </c>
      <c r="K93" s="332"/>
      <c r="L93" s="327" t="s">
        <v>197</v>
      </c>
      <c r="Q93" s="262"/>
      <c r="R93" s="262"/>
      <c r="S93" s="262"/>
      <c r="T93" s="262"/>
      <c r="U93" s="262"/>
    </row>
    <row r="94" spans="1:21" s="261" customFormat="1" ht="46.5" customHeight="1" x14ac:dyDescent="0.25">
      <c r="A94" s="355">
        <f t="shared" si="4"/>
        <v>70</v>
      </c>
      <c r="B94" s="355" t="s">
        <v>708</v>
      </c>
      <c r="C94" s="357" t="s">
        <v>1105</v>
      </c>
      <c r="D94" s="351" t="s">
        <v>0</v>
      </c>
      <c r="E94" s="351">
        <v>0</v>
      </c>
      <c r="F94" s="351">
        <v>0</v>
      </c>
      <c r="G94" s="351">
        <f t="shared" si="3"/>
        <v>0</v>
      </c>
      <c r="H94" s="351">
        <v>2</v>
      </c>
      <c r="I94" s="355"/>
      <c r="J94" s="357" t="s">
        <v>1145</v>
      </c>
      <c r="K94" s="332"/>
      <c r="L94" s="327" t="s">
        <v>197</v>
      </c>
      <c r="Q94" s="262"/>
      <c r="R94" s="262"/>
      <c r="S94" s="262"/>
      <c r="T94" s="262"/>
      <c r="U94" s="262"/>
    </row>
    <row r="95" spans="1:21" s="261" customFormat="1" ht="46.5" customHeight="1" x14ac:dyDescent="0.25">
      <c r="A95" s="355">
        <f t="shared" si="4"/>
        <v>71</v>
      </c>
      <c r="B95" s="355" t="s">
        <v>335</v>
      </c>
      <c r="C95" s="357" t="s">
        <v>336</v>
      </c>
      <c r="D95" s="351" t="s">
        <v>0</v>
      </c>
      <c r="E95" s="351">
        <v>0</v>
      </c>
      <c r="F95" s="351">
        <v>0</v>
      </c>
      <c r="G95" s="351">
        <f t="shared" si="3"/>
        <v>0</v>
      </c>
      <c r="H95" s="351">
        <v>2</v>
      </c>
      <c r="I95" s="355"/>
      <c r="J95" s="357" t="s">
        <v>1146</v>
      </c>
      <c r="K95" s="332"/>
      <c r="L95" s="327" t="s">
        <v>197</v>
      </c>
      <c r="Q95" s="262"/>
      <c r="R95" s="262"/>
      <c r="S95" s="262"/>
      <c r="T95" s="262"/>
      <c r="U95" s="262"/>
    </row>
    <row r="96" spans="1:21" s="261" customFormat="1" ht="46.5" customHeight="1" x14ac:dyDescent="0.25">
      <c r="A96" s="355">
        <f t="shared" si="4"/>
        <v>72</v>
      </c>
      <c r="B96" s="355" t="s">
        <v>338</v>
      </c>
      <c r="C96" s="357" t="s">
        <v>339</v>
      </c>
      <c r="D96" s="351" t="s">
        <v>0</v>
      </c>
      <c r="E96" s="351">
        <v>0</v>
      </c>
      <c r="F96" s="351">
        <v>0</v>
      </c>
      <c r="G96" s="351">
        <f t="shared" si="3"/>
        <v>0</v>
      </c>
      <c r="H96" s="351">
        <v>218</v>
      </c>
      <c r="I96" s="355"/>
      <c r="J96" s="357" t="s">
        <v>1147</v>
      </c>
      <c r="K96" s="332"/>
      <c r="L96" s="327" t="s">
        <v>197</v>
      </c>
      <c r="Q96" s="262"/>
      <c r="R96" s="262"/>
      <c r="S96" s="262"/>
      <c r="T96" s="262"/>
      <c r="U96" s="262"/>
    </row>
    <row r="97" spans="1:21" s="261" customFormat="1" ht="46.5" customHeight="1" x14ac:dyDescent="0.25">
      <c r="A97" s="355">
        <f t="shared" si="4"/>
        <v>73</v>
      </c>
      <c r="B97" s="355" t="s">
        <v>1072</v>
      </c>
      <c r="C97" s="357" t="s">
        <v>1106</v>
      </c>
      <c r="D97" s="351" t="s">
        <v>0</v>
      </c>
      <c r="E97" s="351">
        <v>0</v>
      </c>
      <c r="F97" s="351">
        <v>0</v>
      </c>
      <c r="G97" s="351">
        <f t="shared" si="3"/>
        <v>0</v>
      </c>
      <c r="H97" s="351">
        <v>5</v>
      </c>
      <c r="I97" s="355"/>
      <c r="J97" s="357" t="s">
        <v>1148</v>
      </c>
      <c r="K97" s="332"/>
      <c r="L97" s="327" t="s">
        <v>197</v>
      </c>
      <c r="Q97" s="262"/>
      <c r="R97" s="262"/>
      <c r="S97" s="262"/>
      <c r="T97" s="262"/>
      <c r="U97" s="262"/>
    </row>
    <row r="98" spans="1:21" s="261" customFormat="1" ht="57.75" customHeight="1" x14ac:dyDescent="0.25">
      <c r="A98" s="355">
        <f t="shared" si="4"/>
        <v>74</v>
      </c>
      <c r="B98" s="355" t="s">
        <v>340</v>
      </c>
      <c r="C98" s="357" t="s">
        <v>341</v>
      </c>
      <c r="D98" s="351" t="s">
        <v>0</v>
      </c>
      <c r="E98" s="351">
        <v>0</v>
      </c>
      <c r="F98" s="351">
        <v>0</v>
      </c>
      <c r="G98" s="351">
        <f t="shared" si="3"/>
        <v>0</v>
      </c>
      <c r="H98" s="351">
        <v>4</v>
      </c>
      <c r="I98" s="355"/>
      <c r="J98" s="357" t="s">
        <v>1149</v>
      </c>
      <c r="K98" s="332"/>
      <c r="L98" s="327" t="s">
        <v>197</v>
      </c>
      <c r="Q98" s="262"/>
      <c r="R98" s="262"/>
      <c r="S98" s="262"/>
      <c r="T98" s="262"/>
      <c r="U98" s="262"/>
    </row>
    <row r="99" spans="1:21" s="261" customFormat="1" ht="70.5" customHeight="1" x14ac:dyDescent="0.25">
      <c r="A99" s="355">
        <f t="shared" si="4"/>
        <v>75</v>
      </c>
      <c r="B99" s="355" t="s">
        <v>190</v>
      </c>
      <c r="C99" s="357" t="s">
        <v>191</v>
      </c>
      <c r="D99" s="351" t="s">
        <v>0</v>
      </c>
      <c r="E99" s="351">
        <v>0</v>
      </c>
      <c r="F99" s="351">
        <v>0</v>
      </c>
      <c r="G99" s="351">
        <f t="shared" si="3"/>
        <v>0</v>
      </c>
      <c r="H99" s="351">
        <v>1</v>
      </c>
      <c r="I99" s="355"/>
      <c r="J99" s="357" t="s">
        <v>1150</v>
      </c>
      <c r="K99" s="332"/>
      <c r="L99" s="327" t="s">
        <v>197</v>
      </c>
      <c r="Q99" s="262"/>
      <c r="R99" s="262"/>
      <c r="S99" s="262"/>
      <c r="T99" s="262"/>
      <c r="U99" s="262"/>
    </row>
    <row r="100" spans="1:21" s="261" customFormat="1" ht="69" customHeight="1" x14ac:dyDescent="0.25">
      <c r="A100" s="355">
        <f t="shared" si="4"/>
        <v>76</v>
      </c>
      <c r="B100" s="355" t="s">
        <v>641</v>
      </c>
      <c r="C100" s="357" t="s">
        <v>1107</v>
      </c>
      <c r="D100" s="351" t="s">
        <v>0</v>
      </c>
      <c r="E100" s="351">
        <v>0</v>
      </c>
      <c r="F100" s="351">
        <v>0</v>
      </c>
      <c r="G100" s="351">
        <f t="shared" si="3"/>
        <v>0</v>
      </c>
      <c r="H100" s="351">
        <v>6</v>
      </c>
      <c r="I100" s="355"/>
      <c r="J100" s="357" t="s">
        <v>1151</v>
      </c>
      <c r="K100" s="332"/>
      <c r="L100" s="327" t="s">
        <v>197</v>
      </c>
      <c r="Q100" s="262"/>
      <c r="R100" s="262"/>
      <c r="S100" s="262"/>
      <c r="T100" s="262"/>
      <c r="U100" s="262"/>
    </row>
    <row r="101" spans="1:21" s="261" customFormat="1" ht="70.5" customHeight="1" x14ac:dyDescent="0.25">
      <c r="A101" s="355">
        <f t="shared" si="4"/>
        <v>77</v>
      </c>
      <c r="B101" s="355" t="s">
        <v>1073</v>
      </c>
      <c r="C101" s="357" t="s">
        <v>1108</v>
      </c>
      <c r="D101" s="351" t="s">
        <v>0</v>
      </c>
      <c r="E101" s="351">
        <v>0</v>
      </c>
      <c r="F101" s="351">
        <v>0</v>
      </c>
      <c r="G101" s="351">
        <f t="shared" si="3"/>
        <v>0</v>
      </c>
      <c r="H101" s="351">
        <v>2</v>
      </c>
      <c r="I101" s="355"/>
      <c r="J101" s="357" t="s">
        <v>1151</v>
      </c>
      <c r="K101" s="332"/>
      <c r="L101" s="327" t="s">
        <v>197</v>
      </c>
      <c r="Q101" s="262"/>
      <c r="R101" s="262"/>
      <c r="S101" s="262"/>
      <c r="T101" s="262"/>
      <c r="U101" s="262"/>
    </row>
    <row r="102" spans="1:21" s="261" customFormat="1" ht="57.75" customHeight="1" x14ac:dyDescent="0.25">
      <c r="A102" s="355">
        <f t="shared" si="4"/>
        <v>78</v>
      </c>
      <c r="B102" s="355" t="s">
        <v>1074</v>
      </c>
      <c r="C102" s="357" t="s">
        <v>1109</v>
      </c>
      <c r="D102" s="351" t="s">
        <v>0</v>
      </c>
      <c r="E102" s="351">
        <v>0</v>
      </c>
      <c r="F102" s="351">
        <v>0</v>
      </c>
      <c r="G102" s="351">
        <f t="shared" si="3"/>
        <v>0</v>
      </c>
      <c r="H102" s="351">
        <v>2</v>
      </c>
      <c r="I102" s="355"/>
      <c r="J102" s="357" t="s">
        <v>1144</v>
      </c>
      <c r="K102" s="332"/>
      <c r="L102" s="327" t="s">
        <v>197</v>
      </c>
      <c r="Q102" s="262"/>
      <c r="R102" s="262"/>
      <c r="S102" s="262"/>
      <c r="T102" s="262"/>
      <c r="U102" s="262"/>
    </row>
    <row r="103" spans="1:21" s="261" customFormat="1" ht="46.5" customHeight="1" x14ac:dyDescent="0.25">
      <c r="A103" s="355">
        <f t="shared" si="4"/>
        <v>79</v>
      </c>
      <c r="B103" s="355" t="s">
        <v>1075</v>
      </c>
      <c r="C103" s="357" t="s">
        <v>1110</v>
      </c>
      <c r="D103" s="351" t="s">
        <v>0</v>
      </c>
      <c r="E103" s="351">
        <v>0</v>
      </c>
      <c r="F103" s="351">
        <v>0</v>
      </c>
      <c r="G103" s="351">
        <f t="shared" si="3"/>
        <v>0</v>
      </c>
      <c r="H103" s="351">
        <v>4</v>
      </c>
      <c r="I103" s="355"/>
      <c r="J103" s="357" t="s">
        <v>1152</v>
      </c>
      <c r="K103" s="332"/>
      <c r="L103" s="327" t="s">
        <v>197</v>
      </c>
      <c r="Q103" s="262"/>
      <c r="R103" s="262"/>
      <c r="S103" s="262"/>
      <c r="T103" s="262"/>
      <c r="U103" s="262"/>
    </row>
    <row r="104" spans="1:21" s="261" customFormat="1" ht="52.5" customHeight="1" x14ac:dyDescent="0.25">
      <c r="A104" s="355">
        <f t="shared" si="4"/>
        <v>80</v>
      </c>
      <c r="B104" s="355" t="s">
        <v>1076</v>
      </c>
      <c r="C104" s="357" t="s">
        <v>1111</v>
      </c>
      <c r="D104" s="351" t="s">
        <v>0</v>
      </c>
      <c r="E104" s="351">
        <v>0</v>
      </c>
      <c r="F104" s="351">
        <v>0</v>
      </c>
      <c r="G104" s="351">
        <f t="shared" si="3"/>
        <v>0</v>
      </c>
      <c r="H104" s="351">
        <v>1</v>
      </c>
      <c r="I104" s="355"/>
      <c r="J104" s="357" t="s">
        <v>1152</v>
      </c>
      <c r="K104" s="332"/>
      <c r="L104" s="327" t="s">
        <v>197</v>
      </c>
      <c r="Q104" s="262"/>
      <c r="R104" s="262"/>
      <c r="S104" s="262"/>
      <c r="T104" s="262"/>
      <c r="U104" s="262"/>
    </row>
    <row r="105" spans="1:21" s="261" customFormat="1" ht="57.75" customHeight="1" x14ac:dyDescent="0.25">
      <c r="A105" s="355">
        <f t="shared" si="4"/>
        <v>81</v>
      </c>
      <c r="B105" s="355" t="s">
        <v>1077</v>
      </c>
      <c r="C105" s="357" t="s">
        <v>1112</v>
      </c>
      <c r="D105" s="351" t="s">
        <v>0</v>
      </c>
      <c r="E105" s="351">
        <v>0</v>
      </c>
      <c r="F105" s="351">
        <v>0</v>
      </c>
      <c r="G105" s="351">
        <f t="shared" si="3"/>
        <v>0</v>
      </c>
      <c r="H105" s="351">
        <v>4</v>
      </c>
      <c r="I105" s="355"/>
      <c r="J105" s="357" t="s">
        <v>1153</v>
      </c>
      <c r="K105" s="332"/>
      <c r="L105" s="327" t="s">
        <v>197</v>
      </c>
      <c r="Q105" s="262"/>
      <c r="R105" s="262"/>
      <c r="S105" s="262"/>
      <c r="T105" s="262"/>
      <c r="U105" s="262"/>
    </row>
    <row r="106" spans="1:21" s="261" customFormat="1" ht="37.5" customHeight="1" x14ac:dyDescent="0.25">
      <c r="A106" s="355">
        <f t="shared" si="4"/>
        <v>82</v>
      </c>
      <c r="B106" s="355" t="s">
        <v>1078</v>
      </c>
      <c r="C106" s="357" t="s">
        <v>1113</v>
      </c>
      <c r="D106" s="351" t="s">
        <v>0</v>
      </c>
      <c r="E106" s="351">
        <v>0</v>
      </c>
      <c r="F106" s="351">
        <v>0</v>
      </c>
      <c r="G106" s="351">
        <f t="shared" si="3"/>
        <v>0</v>
      </c>
      <c r="H106" s="351">
        <v>4</v>
      </c>
      <c r="I106" s="355"/>
      <c r="J106" s="357" t="s">
        <v>1154</v>
      </c>
      <c r="K106" s="332"/>
      <c r="L106" s="327" t="s">
        <v>197</v>
      </c>
      <c r="Q106" s="262"/>
      <c r="R106" s="262"/>
      <c r="S106" s="262"/>
      <c r="T106" s="262"/>
      <c r="U106" s="262"/>
    </row>
    <row r="107" spans="1:21" s="261" customFormat="1" ht="69" customHeight="1" x14ac:dyDescent="0.25">
      <c r="A107" s="355">
        <f t="shared" si="4"/>
        <v>83</v>
      </c>
      <c r="B107" s="355" t="s">
        <v>1079</v>
      </c>
      <c r="C107" s="357" t="s">
        <v>1114</v>
      </c>
      <c r="D107" s="351" t="s">
        <v>0</v>
      </c>
      <c r="E107" s="351">
        <v>0</v>
      </c>
      <c r="F107" s="351">
        <v>0</v>
      </c>
      <c r="G107" s="351">
        <f t="shared" si="3"/>
        <v>0</v>
      </c>
      <c r="H107" s="351">
        <v>234</v>
      </c>
      <c r="I107" s="355"/>
      <c r="J107" s="357" t="s">
        <v>1155</v>
      </c>
      <c r="K107" s="332"/>
      <c r="L107" s="327" t="s">
        <v>197</v>
      </c>
      <c r="Q107" s="262"/>
      <c r="R107" s="262"/>
      <c r="S107" s="262"/>
      <c r="T107" s="262"/>
      <c r="U107" s="262"/>
    </row>
    <row r="108" spans="1:21" s="261" customFormat="1" ht="37.5" customHeight="1" x14ac:dyDescent="0.25">
      <c r="A108" s="355">
        <f t="shared" si="4"/>
        <v>84</v>
      </c>
      <c r="B108" s="355" t="s">
        <v>821</v>
      </c>
      <c r="C108" s="357" t="s">
        <v>1115</v>
      </c>
      <c r="D108" s="351" t="s">
        <v>0</v>
      </c>
      <c r="E108" s="351">
        <v>0</v>
      </c>
      <c r="F108" s="351">
        <v>0</v>
      </c>
      <c r="G108" s="351">
        <f t="shared" si="3"/>
        <v>0</v>
      </c>
      <c r="H108" s="351">
        <v>10</v>
      </c>
      <c r="I108" s="355"/>
      <c r="J108" s="357" t="s">
        <v>1156</v>
      </c>
      <c r="K108" s="332"/>
      <c r="L108" s="327" t="s">
        <v>197</v>
      </c>
      <c r="Q108" s="262"/>
      <c r="R108" s="262"/>
      <c r="S108" s="262"/>
      <c r="T108" s="262"/>
      <c r="U108" s="262"/>
    </row>
    <row r="109" spans="1:21" s="261" customFormat="1" ht="37.5" customHeight="1" x14ac:dyDescent="0.25">
      <c r="A109" s="355">
        <f t="shared" si="4"/>
        <v>85</v>
      </c>
      <c r="B109" s="355" t="s">
        <v>1080</v>
      </c>
      <c r="C109" s="357" t="s">
        <v>1116</v>
      </c>
      <c r="D109" s="351" t="s">
        <v>0</v>
      </c>
      <c r="E109" s="351">
        <v>0</v>
      </c>
      <c r="F109" s="351">
        <v>0</v>
      </c>
      <c r="G109" s="351">
        <f t="shared" si="3"/>
        <v>0</v>
      </c>
      <c r="H109" s="351">
        <v>7</v>
      </c>
      <c r="I109" s="355"/>
      <c r="J109" s="357" t="s">
        <v>1157</v>
      </c>
      <c r="K109" s="332"/>
      <c r="L109" s="327" t="s">
        <v>197</v>
      </c>
      <c r="Q109" s="262"/>
      <c r="R109" s="262"/>
      <c r="S109" s="262"/>
      <c r="T109" s="262"/>
      <c r="U109" s="262"/>
    </row>
    <row r="110" spans="1:21" s="261" customFormat="1" ht="56.25" customHeight="1" x14ac:dyDescent="0.25">
      <c r="A110" s="355">
        <f t="shared" si="4"/>
        <v>86</v>
      </c>
      <c r="B110" s="355" t="s">
        <v>1081</v>
      </c>
      <c r="C110" s="357" t="s">
        <v>1117</v>
      </c>
      <c r="D110" s="351" t="s">
        <v>0</v>
      </c>
      <c r="E110" s="351">
        <v>0</v>
      </c>
      <c r="F110" s="351">
        <v>0</v>
      </c>
      <c r="G110" s="351">
        <f t="shared" si="3"/>
        <v>0</v>
      </c>
      <c r="H110" s="351">
        <v>10</v>
      </c>
      <c r="I110" s="355"/>
      <c r="J110" s="357" t="s">
        <v>1158</v>
      </c>
      <c r="K110" s="332"/>
      <c r="L110" s="327" t="s">
        <v>197</v>
      </c>
      <c r="Q110" s="262"/>
      <c r="R110" s="262"/>
      <c r="S110" s="262"/>
      <c r="T110" s="262"/>
      <c r="U110" s="262"/>
    </row>
    <row r="111" spans="1:21" s="261" customFormat="1" ht="44.25" customHeight="1" x14ac:dyDescent="0.25">
      <c r="A111" s="355">
        <f t="shared" si="4"/>
        <v>87</v>
      </c>
      <c r="B111" s="355" t="s">
        <v>1082</v>
      </c>
      <c r="C111" s="357" t="s">
        <v>1118</v>
      </c>
      <c r="D111" s="351" t="s">
        <v>0</v>
      </c>
      <c r="E111" s="351">
        <v>0</v>
      </c>
      <c r="F111" s="351">
        <v>0</v>
      </c>
      <c r="G111" s="351">
        <f t="shared" si="3"/>
        <v>0</v>
      </c>
      <c r="H111" s="351">
        <v>24</v>
      </c>
      <c r="I111" s="355"/>
      <c r="J111" s="357" t="s">
        <v>1140</v>
      </c>
      <c r="K111" s="332"/>
      <c r="L111" s="327" t="s">
        <v>197</v>
      </c>
      <c r="Q111" s="262"/>
      <c r="R111" s="262"/>
      <c r="S111" s="262"/>
      <c r="T111" s="262"/>
      <c r="U111" s="262"/>
    </row>
    <row r="112" spans="1:21" s="261" customFormat="1" ht="44.25" customHeight="1" x14ac:dyDescent="0.25">
      <c r="A112" s="355">
        <f t="shared" si="4"/>
        <v>88</v>
      </c>
      <c r="B112" s="355" t="s">
        <v>1083</v>
      </c>
      <c r="C112" s="357" t="s">
        <v>1119</v>
      </c>
      <c r="D112" s="351" t="s">
        <v>0</v>
      </c>
      <c r="E112" s="351">
        <v>0</v>
      </c>
      <c r="F112" s="351">
        <v>0</v>
      </c>
      <c r="G112" s="351">
        <f t="shared" si="3"/>
        <v>0</v>
      </c>
      <c r="H112" s="351">
        <v>10</v>
      </c>
      <c r="I112" s="355"/>
      <c r="J112" s="357" t="s">
        <v>1159</v>
      </c>
      <c r="K112" s="332"/>
      <c r="L112" s="327" t="s">
        <v>197</v>
      </c>
      <c r="Q112" s="262"/>
      <c r="R112" s="262"/>
      <c r="S112" s="262"/>
      <c r="T112" s="262"/>
      <c r="U112" s="262"/>
    </row>
    <row r="113" spans="1:21" s="261" customFormat="1" ht="44.25" customHeight="1" x14ac:dyDescent="0.25">
      <c r="A113" s="355">
        <f t="shared" si="4"/>
        <v>89</v>
      </c>
      <c r="B113" s="355" t="s">
        <v>1084</v>
      </c>
      <c r="C113" s="357" t="s">
        <v>1120</v>
      </c>
      <c r="D113" s="351" t="s">
        <v>0</v>
      </c>
      <c r="E113" s="351">
        <v>0</v>
      </c>
      <c r="F113" s="351">
        <v>0</v>
      </c>
      <c r="G113" s="351">
        <f t="shared" si="3"/>
        <v>0</v>
      </c>
      <c r="H113" s="351">
        <v>1</v>
      </c>
      <c r="I113" s="355"/>
      <c r="J113" s="357" t="s">
        <v>1152</v>
      </c>
      <c r="K113" s="332"/>
      <c r="L113" s="327" t="s">
        <v>197</v>
      </c>
      <c r="Q113" s="262"/>
      <c r="R113" s="262"/>
      <c r="S113" s="262"/>
      <c r="T113" s="262"/>
      <c r="U113" s="262"/>
    </row>
    <row r="114" spans="1:21" s="261" customFormat="1" ht="44.25" customHeight="1" x14ac:dyDescent="0.25">
      <c r="A114" s="355">
        <f t="shared" si="4"/>
        <v>90</v>
      </c>
      <c r="B114" s="355" t="s">
        <v>1085</v>
      </c>
      <c r="C114" s="357" t="s">
        <v>1121</v>
      </c>
      <c r="D114" s="351" t="s">
        <v>0</v>
      </c>
      <c r="E114" s="351">
        <v>0</v>
      </c>
      <c r="F114" s="351">
        <v>0</v>
      </c>
      <c r="G114" s="351">
        <f t="shared" si="3"/>
        <v>0</v>
      </c>
      <c r="H114" s="351">
        <v>1</v>
      </c>
      <c r="I114" s="355"/>
      <c r="J114" s="357" t="s">
        <v>1160</v>
      </c>
      <c r="K114" s="332"/>
      <c r="L114" s="327" t="s">
        <v>197</v>
      </c>
      <c r="Q114" s="262"/>
      <c r="R114" s="262"/>
      <c r="S114" s="262"/>
      <c r="T114" s="262"/>
      <c r="U114" s="262"/>
    </row>
    <row r="115" spans="1:21" s="261" customFormat="1" ht="44.25" customHeight="1" x14ac:dyDescent="0.25">
      <c r="A115" s="355">
        <f t="shared" si="4"/>
        <v>91</v>
      </c>
      <c r="B115" s="355" t="s">
        <v>1086</v>
      </c>
      <c r="C115" s="357" t="s">
        <v>1122</v>
      </c>
      <c r="D115" s="351" t="s">
        <v>0</v>
      </c>
      <c r="E115" s="351">
        <v>0</v>
      </c>
      <c r="F115" s="351">
        <v>0</v>
      </c>
      <c r="G115" s="351">
        <f t="shared" si="3"/>
        <v>0</v>
      </c>
      <c r="H115" s="351">
        <v>4</v>
      </c>
      <c r="I115" s="355"/>
      <c r="J115" s="357" t="s">
        <v>1152</v>
      </c>
      <c r="K115" s="332"/>
      <c r="L115" s="327" t="s">
        <v>197</v>
      </c>
      <c r="Q115" s="262"/>
      <c r="R115" s="262"/>
      <c r="S115" s="262"/>
      <c r="T115" s="262"/>
      <c r="U115" s="262"/>
    </row>
    <row r="116" spans="1:21" s="261" customFormat="1" ht="75" customHeight="1" x14ac:dyDescent="0.25">
      <c r="A116" s="355">
        <f t="shared" si="4"/>
        <v>92</v>
      </c>
      <c r="B116" s="355" t="s">
        <v>1087</v>
      </c>
      <c r="C116" s="357" t="s">
        <v>1123</v>
      </c>
      <c r="D116" s="351" t="s">
        <v>0</v>
      </c>
      <c r="E116" s="351">
        <v>0</v>
      </c>
      <c r="F116" s="351">
        <v>0</v>
      </c>
      <c r="G116" s="351">
        <f t="shared" si="3"/>
        <v>0</v>
      </c>
      <c r="H116" s="351">
        <v>12</v>
      </c>
      <c r="I116" s="355"/>
      <c r="J116" s="357" t="s">
        <v>1161</v>
      </c>
      <c r="K116" s="332"/>
      <c r="L116" s="327" t="s">
        <v>197</v>
      </c>
      <c r="Q116" s="262"/>
      <c r="R116" s="262"/>
      <c r="S116" s="262"/>
      <c r="T116" s="262"/>
      <c r="U116" s="262"/>
    </row>
    <row r="117" spans="1:21" s="261" customFormat="1" ht="44.25" customHeight="1" x14ac:dyDescent="0.25">
      <c r="A117" s="355">
        <f t="shared" si="4"/>
        <v>93</v>
      </c>
      <c r="B117" s="355" t="s">
        <v>828</v>
      </c>
      <c r="C117" s="357" t="s">
        <v>1124</v>
      </c>
      <c r="D117" s="351" t="s">
        <v>0</v>
      </c>
      <c r="E117" s="351">
        <v>0</v>
      </c>
      <c r="F117" s="351">
        <v>0</v>
      </c>
      <c r="G117" s="351">
        <f t="shared" si="3"/>
        <v>0</v>
      </c>
      <c r="H117" s="351">
        <v>9</v>
      </c>
      <c r="I117" s="355"/>
      <c r="J117" s="357" t="s">
        <v>1162</v>
      </c>
      <c r="K117" s="332"/>
      <c r="L117" s="327" t="s">
        <v>197</v>
      </c>
      <c r="Q117" s="262"/>
      <c r="R117" s="262"/>
      <c r="S117" s="262"/>
      <c r="T117" s="262"/>
      <c r="U117" s="262"/>
    </row>
    <row r="118" spans="1:21" s="261" customFormat="1" ht="44.25" customHeight="1" x14ac:dyDescent="0.25">
      <c r="A118" s="355">
        <f t="shared" si="4"/>
        <v>94</v>
      </c>
      <c r="B118" s="355" t="s">
        <v>829</v>
      </c>
      <c r="C118" s="357" t="s">
        <v>830</v>
      </c>
      <c r="D118" s="351" t="s">
        <v>0</v>
      </c>
      <c r="E118" s="351">
        <v>0</v>
      </c>
      <c r="F118" s="351">
        <v>0</v>
      </c>
      <c r="G118" s="351">
        <f t="shared" si="3"/>
        <v>0</v>
      </c>
      <c r="H118" s="351">
        <v>8</v>
      </c>
      <c r="I118" s="355"/>
      <c r="J118" s="357" t="s">
        <v>1163</v>
      </c>
      <c r="K118" s="332"/>
      <c r="L118" s="327" t="s">
        <v>197</v>
      </c>
      <c r="Q118" s="262"/>
      <c r="R118" s="262"/>
      <c r="S118" s="262"/>
      <c r="T118" s="262"/>
      <c r="U118" s="262"/>
    </row>
    <row r="119" spans="1:21" s="261" customFormat="1" ht="57.75" customHeight="1" x14ac:dyDescent="0.25">
      <c r="A119" s="355">
        <f t="shared" ref="A119:A135" si="5">A118+1</f>
        <v>95</v>
      </c>
      <c r="B119" s="355" t="s">
        <v>1088</v>
      </c>
      <c r="C119" s="357" t="s">
        <v>1125</v>
      </c>
      <c r="D119" s="351" t="s">
        <v>0</v>
      </c>
      <c r="E119" s="351">
        <v>0</v>
      </c>
      <c r="F119" s="351">
        <v>0</v>
      </c>
      <c r="G119" s="351">
        <f t="shared" si="3"/>
        <v>0</v>
      </c>
      <c r="H119" s="351">
        <v>18</v>
      </c>
      <c r="I119" s="355"/>
      <c r="J119" s="357" t="s">
        <v>1161</v>
      </c>
      <c r="K119" s="332"/>
      <c r="L119" s="327" t="s">
        <v>197</v>
      </c>
      <c r="Q119" s="262"/>
      <c r="R119" s="262"/>
      <c r="S119" s="262"/>
      <c r="T119" s="262"/>
      <c r="U119" s="262"/>
    </row>
    <row r="120" spans="1:21" s="261" customFormat="1" ht="44.25" customHeight="1" x14ac:dyDescent="0.25">
      <c r="A120" s="355">
        <f t="shared" si="5"/>
        <v>96</v>
      </c>
      <c r="B120" s="355" t="s">
        <v>1089</v>
      </c>
      <c r="C120" s="357" t="s">
        <v>1126</v>
      </c>
      <c r="D120" s="351" t="s">
        <v>0</v>
      </c>
      <c r="E120" s="351">
        <v>0</v>
      </c>
      <c r="F120" s="351">
        <v>0</v>
      </c>
      <c r="G120" s="351">
        <f t="shared" si="3"/>
        <v>0</v>
      </c>
      <c r="H120" s="351">
        <v>4</v>
      </c>
      <c r="I120" s="355"/>
      <c r="J120" s="357" t="s">
        <v>1164</v>
      </c>
      <c r="K120" s="332"/>
      <c r="L120" s="327" t="s">
        <v>197</v>
      </c>
      <c r="Q120" s="262"/>
      <c r="R120" s="262"/>
      <c r="S120" s="262"/>
      <c r="T120" s="262"/>
      <c r="U120" s="262"/>
    </row>
    <row r="121" spans="1:21" s="261" customFormat="1" ht="57.75" customHeight="1" x14ac:dyDescent="0.25">
      <c r="A121" s="355">
        <f t="shared" si="5"/>
        <v>97</v>
      </c>
      <c r="B121" s="355" t="s">
        <v>357</v>
      </c>
      <c r="C121" s="357" t="s">
        <v>358</v>
      </c>
      <c r="D121" s="351" t="s">
        <v>0</v>
      </c>
      <c r="E121" s="351">
        <v>0</v>
      </c>
      <c r="F121" s="351">
        <v>0</v>
      </c>
      <c r="G121" s="351">
        <f t="shared" si="3"/>
        <v>0</v>
      </c>
      <c r="H121" s="351">
        <v>4</v>
      </c>
      <c r="I121" s="355"/>
      <c r="J121" s="357" t="s">
        <v>1165</v>
      </c>
      <c r="K121" s="332"/>
      <c r="L121" s="327" t="s">
        <v>197</v>
      </c>
      <c r="Q121" s="262"/>
      <c r="R121" s="262"/>
      <c r="S121" s="262"/>
      <c r="T121" s="262"/>
      <c r="U121" s="262"/>
    </row>
    <row r="122" spans="1:21" s="261" customFormat="1" ht="44.25" customHeight="1" x14ac:dyDescent="0.25">
      <c r="A122" s="355">
        <f t="shared" si="5"/>
        <v>98</v>
      </c>
      <c r="B122" s="355" t="s">
        <v>1090</v>
      </c>
      <c r="C122" s="357" t="s">
        <v>1127</v>
      </c>
      <c r="D122" s="351" t="s">
        <v>0</v>
      </c>
      <c r="E122" s="351">
        <v>0</v>
      </c>
      <c r="F122" s="351">
        <v>0</v>
      </c>
      <c r="G122" s="351">
        <f t="shared" si="3"/>
        <v>0</v>
      </c>
      <c r="H122" s="351">
        <v>4</v>
      </c>
      <c r="I122" s="355"/>
      <c r="J122" s="357" t="s">
        <v>1166</v>
      </c>
      <c r="K122" s="332"/>
      <c r="L122" s="327" t="s">
        <v>197</v>
      </c>
      <c r="Q122" s="262"/>
      <c r="R122" s="262"/>
      <c r="S122" s="262"/>
      <c r="T122" s="262"/>
      <c r="U122" s="262"/>
    </row>
    <row r="123" spans="1:21" s="261" customFormat="1" ht="63" customHeight="1" x14ac:dyDescent="0.25">
      <c r="A123" s="355">
        <f t="shared" si="5"/>
        <v>99</v>
      </c>
      <c r="B123" s="355" t="s">
        <v>1091</v>
      </c>
      <c r="C123" s="357" t="s">
        <v>39</v>
      </c>
      <c r="D123" s="351" t="s">
        <v>0</v>
      </c>
      <c r="E123" s="351">
        <v>0</v>
      </c>
      <c r="F123" s="351">
        <v>0</v>
      </c>
      <c r="G123" s="351">
        <f t="shared" si="3"/>
        <v>0</v>
      </c>
      <c r="H123" s="351">
        <v>4</v>
      </c>
      <c r="I123" s="355"/>
      <c r="J123" s="357" t="s">
        <v>1166</v>
      </c>
      <c r="K123" s="332"/>
      <c r="L123" s="327" t="s">
        <v>197</v>
      </c>
      <c r="Q123" s="262"/>
      <c r="R123" s="262"/>
      <c r="S123" s="262"/>
      <c r="T123" s="262"/>
      <c r="U123" s="262"/>
    </row>
    <row r="124" spans="1:21" s="261" customFormat="1" ht="63" customHeight="1" x14ac:dyDescent="0.25">
      <c r="A124" s="355">
        <f t="shared" si="5"/>
        <v>100</v>
      </c>
      <c r="B124" s="355" t="s">
        <v>363</v>
      </c>
      <c r="C124" s="357" t="s">
        <v>364</v>
      </c>
      <c r="D124" s="351" t="s">
        <v>0</v>
      </c>
      <c r="E124" s="351">
        <v>0</v>
      </c>
      <c r="F124" s="351">
        <v>0</v>
      </c>
      <c r="G124" s="351">
        <f t="shared" si="3"/>
        <v>0</v>
      </c>
      <c r="H124" s="351">
        <v>26</v>
      </c>
      <c r="I124" s="355"/>
      <c r="J124" s="357" t="s">
        <v>1167</v>
      </c>
      <c r="K124" s="332"/>
      <c r="L124" s="327" t="s">
        <v>197</v>
      </c>
      <c r="Q124" s="262"/>
      <c r="R124" s="262"/>
      <c r="S124" s="262"/>
      <c r="T124" s="262"/>
      <c r="U124" s="262"/>
    </row>
    <row r="125" spans="1:21" s="261" customFormat="1" ht="63" customHeight="1" x14ac:dyDescent="0.25">
      <c r="A125" s="355">
        <f t="shared" si="5"/>
        <v>101</v>
      </c>
      <c r="B125" s="355" t="s">
        <v>1092</v>
      </c>
      <c r="C125" s="357" t="s">
        <v>1128</v>
      </c>
      <c r="D125" s="351" t="s">
        <v>0</v>
      </c>
      <c r="E125" s="351">
        <v>0</v>
      </c>
      <c r="F125" s="351">
        <v>0</v>
      </c>
      <c r="G125" s="351">
        <f t="shared" si="3"/>
        <v>0</v>
      </c>
      <c r="H125" s="351">
        <v>2</v>
      </c>
      <c r="I125" s="355"/>
      <c r="J125" s="357" t="s">
        <v>1152</v>
      </c>
      <c r="K125" s="332"/>
      <c r="L125" s="327" t="s">
        <v>197</v>
      </c>
      <c r="Q125" s="262"/>
      <c r="R125" s="262"/>
      <c r="S125" s="262"/>
      <c r="T125" s="262"/>
      <c r="U125" s="262"/>
    </row>
    <row r="126" spans="1:21" s="261" customFormat="1" ht="63" customHeight="1" x14ac:dyDescent="0.25">
      <c r="A126" s="355">
        <f t="shared" si="5"/>
        <v>102</v>
      </c>
      <c r="B126" s="355" t="s">
        <v>1093</v>
      </c>
      <c r="C126" s="357" t="s">
        <v>1129</v>
      </c>
      <c r="D126" s="351" t="s">
        <v>0</v>
      </c>
      <c r="E126" s="351">
        <v>0</v>
      </c>
      <c r="F126" s="351">
        <v>0</v>
      </c>
      <c r="G126" s="351">
        <f t="shared" si="3"/>
        <v>0</v>
      </c>
      <c r="H126" s="351">
        <v>1</v>
      </c>
      <c r="I126" s="355"/>
      <c r="J126" s="357" t="s">
        <v>1152</v>
      </c>
      <c r="K126" s="332"/>
      <c r="L126" s="327" t="s">
        <v>197</v>
      </c>
      <c r="Q126" s="262"/>
      <c r="R126" s="262"/>
      <c r="S126" s="262"/>
      <c r="T126" s="262"/>
      <c r="U126" s="262"/>
    </row>
    <row r="127" spans="1:21" s="261" customFormat="1" ht="44.25" customHeight="1" x14ac:dyDescent="0.25">
      <c r="A127" s="355">
        <f t="shared" si="5"/>
        <v>103</v>
      </c>
      <c r="B127" s="378" t="s">
        <v>1094</v>
      </c>
      <c r="C127" s="379" t="s">
        <v>1130</v>
      </c>
      <c r="D127" s="380" t="s">
        <v>0</v>
      </c>
      <c r="E127" s="380">
        <v>0</v>
      </c>
      <c r="F127" s="380">
        <v>0</v>
      </c>
      <c r="G127" s="380">
        <f t="shared" si="3"/>
        <v>0</v>
      </c>
      <c r="H127" s="380">
        <v>2</v>
      </c>
      <c r="I127" s="378"/>
      <c r="J127" s="379" t="s">
        <v>1152</v>
      </c>
      <c r="K127" s="332"/>
      <c r="L127" s="327" t="s">
        <v>197</v>
      </c>
      <c r="Q127" s="262"/>
      <c r="R127" s="262"/>
      <c r="S127" s="262"/>
      <c r="T127" s="262"/>
      <c r="U127" s="262"/>
    </row>
    <row r="128" spans="1:21" s="261" customFormat="1" ht="44.25" customHeight="1" x14ac:dyDescent="0.25">
      <c r="A128" s="355"/>
      <c r="B128" s="378" t="s">
        <v>1238</v>
      </c>
      <c r="C128" s="379" t="s">
        <v>1239</v>
      </c>
      <c r="D128" s="380" t="s">
        <v>0</v>
      </c>
      <c r="E128" s="380">
        <v>20</v>
      </c>
      <c r="F128" s="258"/>
      <c r="G128" s="380"/>
      <c r="H128" s="380">
        <v>20</v>
      </c>
      <c r="I128" s="378"/>
      <c r="J128" s="380" t="s">
        <v>1240</v>
      </c>
      <c r="K128" s="332"/>
      <c r="L128" s="327" t="s">
        <v>197</v>
      </c>
      <c r="Q128" s="262"/>
      <c r="R128" s="262"/>
      <c r="S128" s="262"/>
      <c r="T128" s="262"/>
      <c r="U128" s="262"/>
    </row>
    <row r="129" spans="1:21" s="261" customFormat="1" ht="25.5" x14ac:dyDescent="0.25">
      <c r="A129" s="355">
        <f>A127+1</f>
        <v>104</v>
      </c>
      <c r="B129" s="355" t="s">
        <v>618</v>
      </c>
      <c r="C129" s="357" t="s">
        <v>619</v>
      </c>
      <c r="D129" s="351" t="s">
        <v>0</v>
      </c>
      <c r="E129" s="351">
        <v>175</v>
      </c>
      <c r="F129" s="351">
        <v>8</v>
      </c>
      <c r="G129" s="351">
        <f t="shared" si="3"/>
        <v>167</v>
      </c>
      <c r="H129" s="351">
        <v>100</v>
      </c>
      <c r="I129" s="355"/>
      <c r="J129" s="357" t="s">
        <v>1168</v>
      </c>
      <c r="K129" s="332"/>
      <c r="L129" s="327" t="s">
        <v>197</v>
      </c>
      <c r="Q129" s="262"/>
      <c r="R129" s="262"/>
      <c r="S129" s="262"/>
      <c r="T129" s="262"/>
      <c r="U129" s="262"/>
    </row>
    <row r="130" spans="1:21" s="262" customFormat="1" ht="45" customHeight="1" x14ac:dyDescent="0.25">
      <c r="A130" s="355">
        <f t="shared" si="5"/>
        <v>105</v>
      </c>
      <c r="B130" s="351" t="s">
        <v>708</v>
      </c>
      <c r="C130" s="357" t="s">
        <v>709</v>
      </c>
      <c r="D130" s="351" t="s">
        <v>0</v>
      </c>
      <c r="E130" s="351">
        <v>0</v>
      </c>
      <c r="F130" s="351">
        <v>0</v>
      </c>
      <c r="G130" s="351">
        <f t="shared" si="3"/>
        <v>0</v>
      </c>
      <c r="H130" s="351">
        <v>2</v>
      </c>
      <c r="I130" s="351"/>
      <c r="J130" s="357" t="s">
        <v>710</v>
      </c>
      <c r="K130" s="331"/>
      <c r="L130" s="329" t="s">
        <v>140</v>
      </c>
      <c r="M130" s="262" t="s">
        <v>895</v>
      </c>
    </row>
    <row r="131" spans="1:21" s="262" customFormat="1" ht="45" customHeight="1" x14ac:dyDescent="0.25">
      <c r="A131" s="355">
        <f t="shared" si="5"/>
        <v>106</v>
      </c>
      <c r="B131" s="351" t="s">
        <v>715</v>
      </c>
      <c r="C131" s="357" t="s">
        <v>714</v>
      </c>
      <c r="D131" s="351" t="s">
        <v>0</v>
      </c>
      <c r="E131" s="351">
        <v>0</v>
      </c>
      <c r="F131" s="351">
        <v>0</v>
      </c>
      <c r="G131" s="351">
        <f t="shared" si="3"/>
        <v>0</v>
      </c>
      <c r="H131" s="351">
        <f>VLOOKUP(B131,'[1]Tháng 7.2025'!$B$23:$H$153,7,0)</f>
        <v>4</v>
      </c>
      <c r="I131" s="351"/>
      <c r="J131" s="357" t="s">
        <v>710</v>
      </c>
      <c r="K131" s="331"/>
      <c r="L131" s="329" t="s">
        <v>140</v>
      </c>
    </row>
    <row r="132" spans="1:21" s="262" customFormat="1" ht="25.5" customHeight="1" x14ac:dyDescent="0.25">
      <c r="A132" s="355">
        <f t="shared" si="5"/>
        <v>107</v>
      </c>
      <c r="B132" s="351" t="s">
        <v>716</v>
      </c>
      <c r="C132" s="357" t="s">
        <v>717</v>
      </c>
      <c r="D132" s="351" t="s">
        <v>59</v>
      </c>
      <c r="E132" s="351">
        <v>0</v>
      </c>
      <c r="F132" s="351">
        <v>0</v>
      </c>
      <c r="G132" s="351">
        <f t="shared" si="3"/>
        <v>0</v>
      </c>
      <c r="H132" s="351">
        <v>2</v>
      </c>
      <c r="I132" s="351"/>
      <c r="J132" s="357" t="s">
        <v>873</v>
      </c>
      <c r="K132" s="331"/>
      <c r="L132" s="329" t="s">
        <v>140</v>
      </c>
      <c r="M132" s="262" t="s">
        <v>895</v>
      </c>
    </row>
    <row r="133" spans="1:21" s="262" customFormat="1" ht="25.5" customHeight="1" x14ac:dyDescent="0.25">
      <c r="A133" s="355">
        <f t="shared" si="5"/>
        <v>108</v>
      </c>
      <c r="B133" s="351" t="s">
        <v>871</v>
      </c>
      <c r="C133" s="357" t="s">
        <v>872</v>
      </c>
      <c r="D133" s="351" t="s">
        <v>59</v>
      </c>
      <c r="E133" s="351">
        <v>0</v>
      </c>
      <c r="F133" s="351">
        <v>0</v>
      </c>
      <c r="G133" s="351">
        <f t="shared" si="3"/>
        <v>0</v>
      </c>
      <c r="H133" s="351">
        <v>2</v>
      </c>
      <c r="I133" s="351"/>
      <c r="J133" s="357" t="s">
        <v>874</v>
      </c>
      <c r="K133" s="331"/>
      <c r="L133" s="329" t="s">
        <v>140</v>
      </c>
      <c r="M133" s="262" t="s">
        <v>895</v>
      </c>
    </row>
    <row r="134" spans="1:21" s="262" customFormat="1" ht="39" customHeight="1" x14ac:dyDescent="0.25">
      <c r="A134" s="355">
        <f t="shared" si="5"/>
        <v>109</v>
      </c>
      <c r="B134" s="351" t="s">
        <v>711</v>
      </c>
      <c r="C134" s="357" t="s">
        <v>712</v>
      </c>
      <c r="D134" s="351" t="s">
        <v>59</v>
      </c>
      <c r="E134" s="351">
        <v>0</v>
      </c>
      <c r="F134" s="351">
        <v>0</v>
      </c>
      <c r="G134" s="351">
        <f t="shared" si="3"/>
        <v>0</v>
      </c>
      <c r="H134" s="351">
        <v>2</v>
      </c>
      <c r="I134" s="351"/>
      <c r="J134" s="357" t="s">
        <v>875</v>
      </c>
      <c r="K134" s="331"/>
      <c r="L134" s="329" t="s">
        <v>140</v>
      </c>
      <c r="M134" s="262" t="s">
        <v>895</v>
      </c>
    </row>
    <row r="135" spans="1:21" s="262" customFormat="1" ht="25.5" customHeight="1" x14ac:dyDescent="0.25">
      <c r="A135" s="355">
        <f t="shared" si="5"/>
        <v>110</v>
      </c>
      <c r="B135" s="351" t="s">
        <v>719</v>
      </c>
      <c r="C135" s="357" t="s">
        <v>720</v>
      </c>
      <c r="D135" s="351" t="s">
        <v>0</v>
      </c>
      <c r="E135" s="351">
        <f>VLOOKUP(B135,'[1]Tháng 7.2025'!$B$23:$H$153,4,0)</f>
        <v>10</v>
      </c>
      <c r="F135" s="351">
        <f>VLOOKUP(B135,'[1]Tháng 7.2025'!$B$23:$H$153,5,0)</f>
        <v>2</v>
      </c>
      <c r="G135" s="351">
        <f t="shared" si="3"/>
        <v>8</v>
      </c>
      <c r="H135" s="351">
        <f>VLOOKUP(B135,'[1]Tháng 7.2025'!$B$23:$H$153,7,0)</f>
        <v>10</v>
      </c>
      <c r="I135" s="351"/>
      <c r="J135" s="357" t="s">
        <v>710</v>
      </c>
      <c r="K135" s="331"/>
      <c r="L135" s="329" t="s">
        <v>140</v>
      </c>
    </row>
    <row r="136" spans="1:21" s="326" customFormat="1" ht="15.75" x14ac:dyDescent="0.25">
      <c r="A136" s="360" t="s">
        <v>20</v>
      </c>
      <c r="B136" s="355"/>
      <c r="C136" s="356"/>
      <c r="D136" s="355"/>
      <c r="E136" s="351"/>
      <c r="F136" s="351"/>
      <c r="G136" s="351"/>
      <c r="H136" s="351"/>
      <c r="I136" s="355"/>
      <c r="J136" s="355"/>
      <c r="K136" s="328"/>
      <c r="L136" s="325"/>
      <c r="Q136" s="338"/>
      <c r="R136" s="338"/>
      <c r="S136" s="338"/>
      <c r="T136" s="338"/>
      <c r="U136" s="338"/>
    </row>
    <row r="137" spans="1:21" s="262" customFormat="1" ht="60.75" customHeight="1" x14ac:dyDescent="0.25">
      <c r="A137" s="355">
        <f>A135+1</f>
        <v>111</v>
      </c>
      <c r="B137" s="355" t="s">
        <v>49</v>
      </c>
      <c r="C137" s="357" t="s">
        <v>50</v>
      </c>
      <c r="D137" s="355" t="s">
        <v>51</v>
      </c>
      <c r="E137" s="364">
        <v>0</v>
      </c>
      <c r="F137" s="351">
        <v>0</v>
      </c>
      <c r="G137" s="351">
        <f t="shared" si="3"/>
        <v>0</v>
      </c>
      <c r="H137" s="351">
        <v>30</v>
      </c>
      <c r="I137" s="355"/>
      <c r="J137" s="357" t="s">
        <v>876</v>
      </c>
      <c r="K137" s="332">
        <v>0</v>
      </c>
      <c r="L137" s="330" t="s">
        <v>140</v>
      </c>
      <c r="M137" s="334"/>
      <c r="N137" s="334" t="s">
        <v>896</v>
      </c>
      <c r="O137" s="334"/>
      <c r="Q137" s="334"/>
      <c r="R137" s="334"/>
      <c r="S137" s="334"/>
    </row>
    <row r="138" spans="1:21" s="262" customFormat="1" ht="43.5" customHeight="1" x14ac:dyDescent="0.25">
      <c r="A138" s="355">
        <f>A137+1</f>
        <v>112</v>
      </c>
      <c r="B138" s="355" t="s">
        <v>166</v>
      </c>
      <c r="C138" s="357" t="s">
        <v>167</v>
      </c>
      <c r="D138" s="355" t="s">
        <v>51</v>
      </c>
      <c r="E138" s="364">
        <v>0</v>
      </c>
      <c r="F138" s="351">
        <v>81</v>
      </c>
      <c r="G138" s="351">
        <v>0</v>
      </c>
      <c r="H138" s="351">
        <v>30</v>
      </c>
      <c r="I138" s="355"/>
      <c r="J138" s="357" t="s">
        <v>805</v>
      </c>
      <c r="K138" s="332">
        <v>4</v>
      </c>
      <c r="L138" s="329" t="s">
        <v>140</v>
      </c>
      <c r="N138" s="262" t="s">
        <v>896</v>
      </c>
    </row>
    <row r="139" spans="1:21" s="261" customFormat="1" ht="30.75" customHeight="1" x14ac:dyDescent="0.25">
      <c r="A139" s="355">
        <f t="shared" ref="A139:A202" si="6">A138+1</f>
        <v>113</v>
      </c>
      <c r="B139" s="355" t="s">
        <v>174</v>
      </c>
      <c r="C139" s="356" t="s">
        <v>102</v>
      </c>
      <c r="D139" s="355" t="s">
        <v>66</v>
      </c>
      <c r="E139" s="364">
        <v>0</v>
      </c>
      <c r="F139" s="351">
        <v>47500</v>
      </c>
      <c r="G139" s="351">
        <v>0</v>
      </c>
      <c r="H139" s="351">
        <f>VLOOKUP(B139,'[1]Tháng 7.2025'!$B$23:$H$153,7,0)</f>
        <v>150000</v>
      </c>
      <c r="I139" s="355"/>
      <c r="J139" s="357" t="s">
        <v>103</v>
      </c>
      <c r="K139" s="331">
        <v>239581</v>
      </c>
      <c r="L139" s="327" t="s">
        <v>88</v>
      </c>
      <c r="M139" s="261" t="s">
        <v>895</v>
      </c>
      <c r="N139" s="261" t="s">
        <v>896</v>
      </c>
      <c r="Q139" s="262"/>
      <c r="R139" s="262"/>
      <c r="S139" s="262"/>
      <c r="T139" s="262"/>
      <c r="U139" s="262"/>
    </row>
    <row r="140" spans="1:21" s="261" customFormat="1" ht="30.75" customHeight="1" x14ac:dyDescent="0.25">
      <c r="A140" s="355">
        <f t="shared" si="6"/>
        <v>114</v>
      </c>
      <c r="B140" s="355" t="s">
        <v>880</v>
      </c>
      <c r="C140" s="356" t="s">
        <v>881</v>
      </c>
      <c r="D140" s="355" t="s">
        <v>66</v>
      </c>
      <c r="E140" s="364">
        <v>0</v>
      </c>
      <c r="F140" s="351">
        <v>0</v>
      </c>
      <c r="G140" s="351">
        <v>0</v>
      </c>
      <c r="H140" s="351">
        <v>30500</v>
      </c>
      <c r="I140" s="355"/>
      <c r="J140" s="357" t="s">
        <v>862</v>
      </c>
      <c r="K140" s="331"/>
      <c r="L140" s="327" t="s">
        <v>88</v>
      </c>
      <c r="M140" s="261" t="s">
        <v>895</v>
      </c>
      <c r="N140" s="261" t="s">
        <v>896</v>
      </c>
      <c r="Q140" s="262"/>
      <c r="R140" s="262"/>
      <c r="S140" s="262"/>
      <c r="T140" s="262"/>
      <c r="U140" s="262"/>
    </row>
    <row r="141" spans="1:21" s="261" customFormat="1" ht="30.75" customHeight="1" x14ac:dyDescent="0.25">
      <c r="A141" s="355">
        <f t="shared" si="6"/>
        <v>115</v>
      </c>
      <c r="B141" s="355" t="s">
        <v>147</v>
      </c>
      <c r="C141" s="357" t="s">
        <v>148</v>
      </c>
      <c r="D141" s="355" t="s">
        <v>66</v>
      </c>
      <c r="E141" s="364">
        <v>0</v>
      </c>
      <c r="F141" s="351">
        <v>0</v>
      </c>
      <c r="G141" s="351">
        <v>0</v>
      </c>
      <c r="H141" s="351">
        <f>VLOOKUP(B141,'[1]Tháng 7.2025'!$B$23:$H$153,7,0)</f>
        <v>100</v>
      </c>
      <c r="I141" s="351"/>
      <c r="J141" s="365" t="s">
        <v>374</v>
      </c>
      <c r="K141" s="332">
        <v>5379</v>
      </c>
      <c r="L141" s="327" t="s">
        <v>385</v>
      </c>
      <c r="N141" s="261" t="s">
        <v>896</v>
      </c>
      <c r="Q141" s="262"/>
      <c r="R141" s="262"/>
      <c r="S141" s="262"/>
      <c r="T141" s="262"/>
      <c r="U141" s="262"/>
    </row>
    <row r="142" spans="1:21" s="261" customFormat="1" ht="30.75" customHeight="1" x14ac:dyDescent="0.25">
      <c r="A142" s="355">
        <f t="shared" si="6"/>
        <v>116</v>
      </c>
      <c r="B142" s="355" t="s">
        <v>149</v>
      </c>
      <c r="C142" s="357" t="s">
        <v>150</v>
      </c>
      <c r="D142" s="355" t="s">
        <v>0</v>
      </c>
      <c r="E142" s="364">
        <v>0</v>
      </c>
      <c r="F142" s="351">
        <v>0</v>
      </c>
      <c r="G142" s="351">
        <v>0</v>
      </c>
      <c r="H142" s="351">
        <f>VLOOKUP(B142,'[1]Tháng 7.2025'!$B$23:$H$153,7,0)</f>
        <v>8000</v>
      </c>
      <c r="I142" s="351"/>
      <c r="J142" s="365" t="s">
        <v>151</v>
      </c>
      <c r="K142" s="332">
        <v>15000</v>
      </c>
      <c r="L142" s="327" t="s">
        <v>385</v>
      </c>
      <c r="M142" s="261" t="s">
        <v>895</v>
      </c>
      <c r="N142" s="261" t="s">
        <v>896</v>
      </c>
      <c r="Q142" s="262"/>
      <c r="R142" s="262"/>
      <c r="S142" s="262"/>
      <c r="T142" s="262"/>
      <c r="U142" s="262"/>
    </row>
    <row r="143" spans="1:21" s="261" customFormat="1" ht="30.75" customHeight="1" x14ac:dyDescent="0.25">
      <c r="A143" s="355">
        <f t="shared" si="6"/>
        <v>117</v>
      </c>
      <c r="B143" s="351" t="s">
        <v>883</v>
      </c>
      <c r="C143" s="357" t="s">
        <v>884</v>
      </c>
      <c r="D143" s="355" t="s">
        <v>0</v>
      </c>
      <c r="E143" s="364">
        <v>0</v>
      </c>
      <c r="F143" s="351">
        <v>0</v>
      </c>
      <c r="G143" s="351">
        <v>0</v>
      </c>
      <c r="H143" s="351">
        <v>150</v>
      </c>
      <c r="I143" s="351"/>
      <c r="J143" s="365" t="s">
        <v>906</v>
      </c>
      <c r="K143" s="332"/>
      <c r="L143" s="327" t="s">
        <v>385</v>
      </c>
      <c r="M143" s="261" t="s">
        <v>895</v>
      </c>
      <c r="N143" s="261" t="s">
        <v>896</v>
      </c>
      <c r="Q143" s="262"/>
      <c r="R143" s="262"/>
      <c r="S143" s="262"/>
      <c r="T143" s="262"/>
      <c r="U143" s="262"/>
    </row>
    <row r="144" spans="1:21" s="261" customFormat="1" ht="30.75" customHeight="1" x14ac:dyDescent="0.25">
      <c r="A144" s="355">
        <f t="shared" si="6"/>
        <v>118</v>
      </c>
      <c r="B144" s="351" t="s">
        <v>885</v>
      </c>
      <c r="C144" s="357" t="s">
        <v>886</v>
      </c>
      <c r="D144" s="351" t="s">
        <v>0</v>
      </c>
      <c r="E144" s="364">
        <v>0</v>
      </c>
      <c r="F144" s="351">
        <v>0</v>
      </c>
      <c r="G144" s="351">
        <v>0</v>
      </c>
      <c r="H144" s="351">
        <v>100</v>
      </c>
      <c r="I144" s="351"/>
      <c r="J144" s="365" t="s">
        <v>906</v>
      </c>
      <c r="K144" s="332"/>
      <c r="L144" s="327" t="s">
        <v>385</v>
      </c>
      <c r="M144" s="261" t="s">
        <v>895</v>
      </c>
      <c r="N144" s="261" t="s">
        <v>896</v>
      </c>
      <c r="Q144" s="262"/>
      <c r="R144" s="262"/>
      <c r="S144" s="262"/>
      <c r="T144" s="262"/>
      <c r="U144" s="262"/>
    </row>
    <row r="145" spans="1:21" s="261" customFormat="1" ht="30.75" customHeight="1" x14ac:dyDescent="0.25">
      <c r="A145" s="355">
        <f t="shared" si="6"/>
        <v>119</v>
      </c>
      <c r="B145" s="351" t="s">
        <v>887</v>
      </c>
      <c r="C145" s="357" t="s">
        <v>888</v>
      </c>
      <c r="D145" s="351" t="s">
        <v>66</v>
      </c>
      <c r="E145" s="364">
        <v>0</v>
      </c>
      <c r="F145" s="351">
        <v>0</v>
      </c>
      <c r="G145" s="351">
        <v>0</v>
      </c>
      <c r="H145" s="351">
        <v>10</v>
      </c>
      <c r="I145" s="351"/>
      <c r="J145" s="365" t="s">
        <v>906</v>
      </c>
      <c r="K145" s="332"/>
      <c r="L145" s="327" t="s">
        <v>385</v>
      </c>
      <c r="M145" s="261" t="s">
        <v>895</v>
      </c>
      <c r="N145" s="261" t="s">
        <v>896</v>
      </c>
      <c r="Q145" s="262"/>
      <c r="R145" s="262"/>
      <c r="S145" s="262"/>
      <c r="T145" s="262"/>
      <c r="U145" s="262"/>
    </row>
    <row r="146" spans="1:21" s="261" customFormat="1" ht="30.75" customHeight="1" x14ac:dyDescent="0.25">
      <c r="A146" s="355">
        <f t="shared" si="6"/>
        <v>120</v>
      </c>
      <c r="B146" s="351" t="s">
        <v>552</v>
      </c>
      <c r="C146" s="357" t="s">
        <v>553</v>
      </c>
      <c r="D146" s="351" t="s">
        <v>0</v>
      </c>
      <c r="E146" s="364">
        <v>0</v>
      </c>
      <c r="F146" s="351">
        <v>0</v>
      </c>
      <c r="G146" s="351">
        <v>0</v>
      </c>
      <c r="H146" s="351">
        <v>10</v>
      </c>
      <c r="I146" s="351"/>
      <c r="J146" s="365" t="s">
        <v>906</v>
      </c>
      <c r="K146" s="332"/>
      <c r="L146" s="327" t="s">
        <v>385</v>
      </c>
      <c r="M146" s="261" t="s">
        <v>895</v>
      </c>
      <c r="N146" s="261" t="s">
        <v>896</v>
      </c>
      <c r="Q146" s="262"/>
      <c r="R146" s="262"/>
      <c r="S146" s="262"/>
      <c r="T146" s="262"/>
      <c r="U146" s="262"/>
    </row>
    <row r="147" spans="1:21" s="261" customFormat="1" ht="30.75" customHeight="1" x14ac:dyDescent="0.25">
      <c r="A147" s="355">
        <f t="shared" si="6"/>
        <v>121</v>
      </c>
      <c r="B147" s="351" t="s">
        <v>889</v>
      </c>
      <c r="C147" s="357" t="s">
        <v>890</v>
      </c>
      <c r="D147" s="351" t="s">
        <v>390</v>
      </c>
      <c r="E147" s="364">
        <v>0</v>
      </c>
      <c r="F147" s="351">
        <v>0</v>
      </c>
      <c r="G147" s="351">
        <v>0</v>
      </c>
      <c r="H147" s="351">
        <v>100</v>
      </c>
      <c r="I147" s="351"/>
      <c r="J147" s="365" t="s">
        <v>906</v>
      </c>
      <c r="K147" s="332"/>
      <c r="L147" s="327" t="s">
        <v>385</v>
      </c>
      <c r="M147" s="261" t="s">
        <v>895</v>
      </c>
      <c r="N147" s="261" t="s">
        <v>896</v>
      </c>
      <c r="Q147" s="262"/>
      <c r="R147" s="262"/>
      <c r="S147" s="262"/>
      <c r="T147" s="262"/>
      <c r="U147" s="262"/>
    </row>
    <row r="148" spans="1:21" s="261" customFormat="1" ht="30.75" customHeight="1" x14ac:dyDescent="0.25">
      <c r="A148" s="355">
        <f t="shared" si="6"/>
        <v>122</v>
      </c>
      <c r="B148" s="351" t="s">
        <v>891</v>
      </c>
      <c r="C148" s="357" t="s">
        <v>892</v>
      </c>
      <c r="D148" s="351" t="s">
        <v>390</v>
      </c>
      <c r="E148" s="364">
        <v>0</v>
      </c>
      <c r="F148" s="351">
        <v>0</v>
      </c>
      <c r="G148" s="351">
        <v>0</v>
      </c>
      <c r="H148" s="351">
        <v>100</v>
      </c>
      <c r="I148" s="351"/>
      <c r="J148" s="365" t="s">
        <v>906</v>
      </c>
      <c r="K148" s="332"/>
      <c r="L148" s="327" t="s">
        <v>385</v>
      </c>
      <c r="M148" s="261" t="s">
        <v>895</v>
      </c>
      <c r="N148" s="261" t="s">
        <v>896</v>
      </c>
      <c r="Q148" s="262"/>
      <c r="R148" s="262"/>
      <c r="S148" s="262"/>
      <c r="T148" s="262"/>
      <c r="U148" s="262"/>
    </row>
    <row r="149" spans="1:21" s="261" customFormat="1" ht="15.75" x14ac:dyDescent="0.25">
      <c r="A149" s="355">
        <f t="shared" si="6"/>
        <v>123</v>
      </c>
      <c r="B149" s="355" t="s">
        <v>975</v>
      </c>
      <c r="C149" s="357" t="s">
        <v>1007</v>
      </c>
      <c r="D149" s="351" t="s">
        <v>0</v>
      </c>
      <c r="E149" s="351">
        <v>0</v>
      </c>
      <c r="F149" s="351">
        <v>0</v>
      </c>
      <c r="G149" s="351">
        <v>0</v>
      </c>
      <c r="H149" s="351">
        <v>200</v>
      </c>
      <c r="I149" s="355"/>
      <c r="J149" s="357" t="s">
        <v>1169</v>
      </c>
      <c r="K149" s="332"/>
      <c r="L149" s="327" t="s">
        <v>197</v>
      </c>
      <c r="Q149" s="262"/>
      <c r="R149" s="262"/>
      <c r="S149" s="262"/>
      <c r="T149" s="262"/>
      <c r="U149" s="262"/>
    </row>
    <row r="150" spans="1:21" s="261" customFormat="1" ht="15.75" x14ac:dyDescent="0.25">
      <c r="A150" s="355">
        <f t="shared" si="6"/>
        <v>124</v>
      </c>
      <c r="B150" s="355" t="s">
        <v>1095</v>
      </c>
      <c r="C150" s="357" t="s">
        <v>1131</v>
      </c>
      <c r="D150" s="351" t="s">
        <v>0</v>
      </c>
      <c r="E150" s="351">
        <v>0</v>
      </c>
      <c r="F150" s="351">
        <v>0</v>
      </c>
      <c r="G150" s="351">
        <v>0</v>
      </c>
      <c r="H150" s="351">
        <v>32</v>
      </c>
      <c r="I150" s="355"/>
      <c r="J150" s="357" t="s">
        <v>1169</v>
      </c>
      <c r="K150" s="332"/>
      <c r="L150" s="327" t="s">
        <v>197</v>
      </c>
      <c r="Q150" s="262"/>
      <c r="R150" s="262"/>
      <c r="S150" s="262"/>
      <c r="T150" s="262"/>
      <c r="U150" s="262"/>
    </row>
    <row r="151" spans="1:21" s="261" customFormat="1" ht="15.75" x14ac:dyDescent="0.25">
      <c r="A151" s="355">
        <f t="shared" si="6"/>
        <v>125</v>
      </c>
      <c r="B151" s="355" t="s">
        <v>1096</v>
      </c>
      <c r="C151" s="357" t="s">
        <v>1132</v>
      </c>
      <c r="D151" s="351" t="s">
        <v>0</v>
      </c>
      <c r="E151" s="351">
        <v>0</v>
      </c>
      <c r="F151" s="351">
        <v>0</v>
      </c>
      <c r="G151" s="351">
        <v>0</v>
      </c>
      <c r="H151" s="351">
        <v>32</v>
      </c>
      <c r="I151" s="355"/>
      <c r="J151" s="357" t="s">
        <v>1169</v>
      </c>
      <c r="K151" s="332"/>
      <c r="L151" s="327" t="s">
        <v>197</v>
      </c>
      <c r="Q151" s="262"/>
      <c r="R151" s="262"/>
      <c r="S151" s="262"/>
      <c r="T151" s="262"/>
      <c r="U151" s="262"/>
    </row>
    <row r="152" spans="1:21" s="261" customFormat="1" ht="15.75" x14ac:dyDescent="0.25">
      <c r="A152" s="355">
        <f t="shared" si="6"/>
        <v>126</v>
      </c>
      <c r="B152" s="355" t="s">
        <v>1097</v>
      </c>
      <c r="C152" s="357" t="s">
        <v>1133</v>
      </c>
      <c r="D152" s="351" t="s">
        <v>0</v>
      </c>
      <c r="E152" s="351">
        <v>0</v>
      </c>
      <c r="F152" s="351">
        <v>0</v>
      </c>
      <c r="G152" s="351">
        <v>0</v>
      </c>
      <c r="H152" s="351">
        <v>80</v>
      </c>
      <c r="I152" s="355"/>
      <c r="J152" s="357" t="s">
        <v>1169</v>
      </c>
      <c r="K152" s="332"/>
      <c r="L152" s="327" t="s">
        <v>197</v>
      </c>
      <c r="Q152" s="262"/>
      <c r="R152" s="262"/>
      <c r="S152" s="262"/>
      <c r="T152" s="262"/>
      <c r="U152" s="262"/>
    </row>
    <row r="153" spans="1:21" s="261" customFormat="1" ht="15.75" x14ac:dyDescent="0.25">
      <c r="A153" s="355">
        <f t="shared" si="6"/>
        <v>127</v>
      </c>
      <c r="B153" s="355" t="s">
        <v>1098</v>
      </c>
      <c r="C153" s="357" t="s">
        <v>1134</v>
      </c>
      <c r="D153" s="351" t="s">
        <v>0</v>
      </c>
      <c r="E153" s="351">
        <v>0</v>
      </c>
      <c r="F153" s="351">
        <v>0</v>
      </c>
      <c r="G153" s="351">
        <v>0</v>
      </c>
      <c r="H153" s="351">
        <v>30</v>
      </c>
      <c r="I153" s="355"/>
      <c r="J153" s="357" t="s">
        <v>1169</v>
      </c>
      <c r="K153" s="332"/>
      <c r="L153" s="327" t="s">
        <v>197</v>
      </c>
      <c r="Q153" s="262"/>
      <c r="R153" s="262"/>
      <c r="S153" s="262"/>
      <c r="T153" s="262"/>
      <c r="U153" s="262"/>
    </row>
    <row r="154" spans="1:21" s="261" customFormat="1" ht="15.75" x14ac:dyDescent="0.25">
      <c r="A154" s="355">
        <f t="shared" si="6"/>
        <v>128</v>
      </c>
      <c r="B154" s="355" t="s">
        <v>552</v>
      </c>
      <c r="C154" s="357" t="s">
        <v>553</v>
      </c>
      <c r="D154" s="351" t="s">
        <v>0</v>
      </c>
      <c r="E154" s="351">
        <v>0</v>
      </c>
      <c r="F154" s="351">
        <v>0</v>
      </c>
      <c r="G154" s="351">
        <v>0</v>
      </c>
      <c r="H154" s="351">
        <v>36</v>
      </c>
      <c r="I154" s="355"/>
      <c r="J154" s="357" t="s">
        <v>1169</v>
      </c>
      <c r="K154" s="332"/>
      <c r="L154" s="327" t="s">
        <v>197</v>
      </c>
      <c r="Q154" s="262"/>
      <c r="R154" s="262"/>
      <c r="S154" s="262"/>
      <c r="T154" s="262"/>
      <c r="U154" s="262"/>
    </row>
    <row r="155" spans="1:21" s="261" customFormat="1" ht="15.75" x14ac:dyDescent="0.25">
      <c r="A155" s="355">
        <f t="shared" si="6"/>
        <v>129</v>
      </c>
      <c r="B155" s="355" t="s">
        <v>885</v>
      </c>
      <c r="C155" s="357" t="s">
        <v>886</v>
      </c>
      <c r="D155" s="351" t="s">
        <v>0</v>
      </c>
      <c r="E155" s="351">
        <v>0</v>
      </c>
      <c r="F155" s="351">
        <v>0</v>
      </c>
      <c r="G155" s="351">
        <v>0</v>
      </c>
      <c r="H155" s="351">
        <v>200</v>
      </c>
      <c r="I155" s="355"/>
      <c r="J155" s="357" t="s">
        <v>1169</v>
      </c>
      <c r="K155" s="332"/>
      <c r="L155" s="327" t="s">
        <v>197</v>
      </c>
      <c r="Q155" s="262"/>
      <c r="R155" s="262"/>
      <c r="S155" s="262"/>
      <c r="T155" s="262"/>
      <c r="U155" s="262"/>
    </row>
    <row r="156" spans="1:21" s="261" customFormat="1" ht="30.75" customHeight="1" x14ac:dyDescent="0.2">
      <c r="A156" s="355">
        <f t="shared" si="6"/>
        <v>130</v>
      </c>
      <c r="B156" s="339" t="s">
        <v>199</v>
      </c>
      <c r="C156" s="366" t="s">
        <v>799</v>
      </c>
      <c r="D156" s="367" t="s">
        <v>2</v>
      </c>
      <c r="E156" s="351">
        <v>0</v>
      </c>
      <c r="F156" s="351">
        <v>0</v>
      </c>
      <c r="G156" s="351">
        <v>0</v>
      </c>
      <c r="H156" s="351">
        <v>50</v>
      </c>
      <c r="I156" s="351"/>
      <c r="J156" s="357" t="s">
        <v>802</v>
      </c>
      <c r="K156" s="332"/>
      <c r="L156" s="327" t="s">
        <v>385</v>
      </c>
      <c r="M156" s="261" t="s">
        <v>895</v>
      </c>
      <c r="N156" s="340" t="s">
        <v>896</v>
      </c>
      <c r="Q156" s="262"/>
      <c r="R156" s="262"/>
      <c r="S156" s="262"/>
      <c r="T156" s="262"/>
      <c r="U156" s="262"/>
    </row>
    <row r="157" spans="1:21" s="261" customFormat="1" ht="30.75" customHeight="1" x14ac:dyDescent="0.25">
      <c r="A157" s="355">
        <f t="shared" si="6"/>
        <v>131</v>
      </c>
      <c r="B157" s="355" t="s">
        <v>1055</v>
      </c>
      <c r="C157" s="357" t="s">
        <v>1056</v>
      </c>
      <c r="D157" s="355" t="s">
        <v>804</v>
      </c>
      <c r="E157" s="351">
        <v>0</v>
      </c>
      <c r="F157" s="351">
        <v>0</v>
      </c>
      <c r="G157" s="351">
        <v>0</v>
      </c>
      <c r="H157" s="351">
        <v>50</v>
      </c>
      <c r="I157" s="351"/>
      <c r="J157" s="357" t="s">
        <v>803</v>
      </c>
      <c r="K157" s="332"/>
      <c r="L157" s="327" t="s">
        <v>385</v>
      </c>
      <c r="M157" s="261" t="s">
        <v>895</v>
      </c>
      <c r="N157" s="340" t="s">
        <v>896</v>
      </c>
      <c r="Q157" s="262"/>
      <c r="R157" s="262"/>
      <c r="S157" s="262"/>
      <c r="T157" s="262"/>
      <c r="U157" s="262"/>
    </row>
    <row r="158" spans="1:21" s="261" customFormat="1" ht="30.75" customHeight="1" x14ac:dyDescent="0.25">
      <c r="A158" s="355">
        <f t="shared" si="6"/>
        <v>132</v>
      </c>
      <c r="B158" s="355" t="s">
        <v>1057</v>
      </c>
      <c r="C158" s="357" t="s">
        <v>1058</v>
      </c>
      <c r="D158" s="355" t="s">
        <v>804</v>
      </c>
      <c r="E158" s="351">
        <v>0</v>
      </c>
      <c r="F158" s="351">
        <v>0</v>
      </c>
      <c r="G158" s="351">
        <v>0</v>
      </c>
      <c r="H158" s="351">
        <v>50</v>
      </c>
      <c r="I158" s="351"/>
      <c r="J158" s="357" t="s">
        <v>803</v>
      </c>
      <c r="K158" s="332"/>
      <c r="L158" s="327" t="s">
        <v>385</v>
      </c>
      <c r="M158" s="261" t="s">
        <v>895</v>
      </c>
      <c r="N158" s="340" t="s">
        <v>896</v>
      </c>
      <c r="Q158" s="262"/>
      <c r="R158" s="262"/>
      <c r="S158" s="262"/>
      <c r="T158" s="262"/>
      <c r="U158" s="262"/>
    </row>
    <row r="159" spans="1:21" s="261" customFormat="1" ht="53.25" customHeight="1" x14ac:dyDescent="0.25">
      <c r="A159" s="355">
        <f t="shared" si="6"/>
        <v>133</v>
      </c>
      <c r="B159" s="351" t="s">
        <v>40</v>
      </c>
      <c r="C159" s="357" t="s">
        <v>1</v>
      </c>
      <c r="D159" s="355" t="s">
        <v>2</v>
      </c>
      <c r="E159" s="351">
        <v>16200</v>
      </c>
      <c r="F159" s="351">
        <v>2017</v>
      </c>
      <c r="G159" s="351">
        <v>0</v>
      </c>
      <c r="H159" s="351">
        <v>3000</v>
      </c>
      <c r="I159" s="351"/>
      <c r="J159" s="365" t="s">
        <v>119</v>
      </c>
      <c r="K159" s="332"/>
      <c r="L159" s="327" t="s">
        <v>76</v>
      </c>
      <c r="M159" s="261" t="s">
        <v>895</v>
      </c>
      <c r="N159" s="261" t="s">
        <v>896</v>
      </c>
      <c r="O159" s="261" t="s">
        <v>812</v>
      </c>
      <c r="Q159" s="262"/>
      <c r="R159" s="262"/>
      <c r="S159" s="262"/>
      <c r="T159" s="262"/>
      <c r="U159" s="262"/>
    </row>
    <row r="160" spans="1:21" s="261" customFormat="1" ht="53.25" customHeight="1" x14ac:dyDescent="0.25">
      <c r="A160" s="355">
        <f t="shared" si="6"/>
        <v>134</v>
      </c>
      <c r="B160" s="351" t="s">
        <v>130</v>
      </c>
      <c r="C160" s="357" t="s">
        <v>131</v>
      </c>
      <c r="D160" s="355" t="s">
        <v>66</v>
      </c>
      <c r="E160" s="351">
        <v>206904.96973333333</v>
      </c>
      <c r="F160" s="351">
        <v>206904.96973333333</v>
      </c>
      <c r="G160" s="351">
        <v>0</v>
      </c>
      <c r="H160" s="351">
        <v>20000</v>
      </c>
      <c r="I160" s="351"/>
      <c r="J160" s="365" t="s">
        <v>808</v>
      </c>
      <c r="K160" s="332"/>
      <c r="L160" s="327" t="s">
        <v>76</v>
      </c>
      <c r="M160" s="261" t="s">
        <v>895</v>
      </c>
      <c r="N160" s="340" t="s">
        <v>896</v>
      </c>
      <c r="O160" s="261" t="s">
        <v>812</v>
      </c>
      <c r="Q160" s="262"/>
      <c r="R160" s="262"/>
      <c r="S160" s="262"/>
      <c r="T160" s="262"/>
      <c r="U160" s="262"/>
    </row>
    <row r="161" spans="1:24" s="261" customFormat="1" ht="53.25" customHeight="1" x14ac:dyDescent="0.25">
      <c r="A161" s="355">
        <f t="shared" si="6"/>
        <v>135</v>
      </c>
      <c r="B161" s="351" t="s">
        <v>67</v>
      </c>
      <c r="C161" s="357" t="s">
        <v>68</v>
      </c>
      <c r="D161" s="355" t="s">
        <v>66</v>
      </c>
      <c r="E161" s="351">
        <v>64958.94</v>
      </c>
      <c r="F161" s="351">
        <v>64958.94</v>
      </c>
      <c r="G161" s="351">
        <v>0</v>
      </c>
      <c r="H161" s="351">
        <v>13000</v>
      </c>
      <c r="I161" s="351"/>
      <c r="J161" s="356" t="s">
        <v>134</v>
      </c>
      <c r="K161" s="332"/>
      <c r="L161" s="327" t="s">
        <v>76</v>
      </c>
      <c r="M161" s="261" t="s">
        <v>895</v>
      </c>
      <c r="N161" s="340" t="s">
        <v>896</v>
      </c>
      <c r="O161" s="261" t="s">
        <v>812</v>
      </c>
      <c r="Q161" s="262"/>
      <c r="R161" s="262"/>
      <c r="S161" s="262"/>
      <c r="T161" s="262"/>
      <c r="U161" s="262"/>
    </row>
    <row r="162" spans="1:24" s="261" customFormat="1" ht="53.25" customHeight="1" x14ac:dyDescent="0.25">
      <c r="A162" s="355">
        <f t="shared" si="6"/>
        <v>136</v>
      </c>
      <c r="B162" s="355" t="s">
        <v>69</v>
      </c>
      <c r="C162" s="357" t="s">
        <v>774</v>
      </c>
      <c r="D162" s="355" t="s">
        <v>66</v>
      </c>
      <c r="E162" s="351">
        <v>5922674.0470867204</v>
      </c>
      <c r="F162" s="351">
        <v>0</v>
      </c>
      <c r="G162" s="351">
        <v>0</v>
      </c>
      <c r="H162" s="351">
        <f>VLOOKUP(B162,'[1]Tháng 7.2025'!$B$23:$H$153,7,0)</f>
        <v>900000</v>
      </c>
      <c r="I162" s="351"/>
      <c r="J162" s="365" t="s">
        <v>772</v>
      </c>
      <c r="K162" s="332"/>
      <c r="L162" s="327" t="s">
        <v>76</v>
      </c>
      <c r="M162" s="261" t="s">
        <v>895</v>
      </c>
      <c r="N162" s="340" t="s">
        <v>896</v>
      </c>
      <c r="O162" s="261" t="s">
        <v>812</v>
      </c>
      <c r="Q162" s="262"/>
      <c r="R162" s="262"/>
      <c r="S162" s="262"/>
      <c r="T162" s="262"/>
      <c r="U162" s="262"/>
    </row>
    <row r="163" spans="1:24" s="261" customFormat="1" ht="53.25" customHeight="1" x14ac:dyDescent="0.25">
      <c r="A163" s="355">
        <f t="shared" si="6"/>
        <v>137</v>
      </c>
      <c r="B163" s="351" t="s">
        <v>72</v>
      </c>
      <c r="C163" s="357" t="s">
        <v>73</v>
      </c>
      <c r="D163" s="355" t="s">
        <v>66</v>
      </c>
      <c r="E163" s="351">
        <v>235630.41759999999</v>
      </c>
      <c r="F163" s="351">
        <v>235630.41759999999</v>
      </c>
      <c r="G163" s="351">
        <v>0</v>
      </c>
      <c r="H163" s="351">
        <v>26000</v>
      </c>
      <c r="I163" s="351"/>
      <c r="J163" s="365" t="s">
        <v>809</v>
      </c>
      <c r="K163" s="332"/>
      <c r="L163" s="327" t="s">
        <v>76</v>
      </c>
      <c r="M163" s="261" t="s">
        <v>895</v>
      </c>
      <c r="N163" s="261" t="s">
        <v>896</v>
      </c>
      <c r="O163" s="261" t="s">
        <v>812</v>
      </c>
      <c r="Q163" s="262"/>
      <c r="R163" s="262"/>
      <c r="S163" s="262"/>
      <c r="T163" s="262"/>
      <c r="U163" s="262"/>
    </row>
    <row r="164" spans="1:24" s="261" customFormat="1" ht="53.25" customHeight="1" x14ac:dyDescent="0.25">
      <c r="A164" s="355">
        <f t="shared" si="6"/>
        <v>138</v>
      </c>
      <c r="B164" s="351" t="s">
        <v>137</v>
      </c>
      <c r="C164" s="357" t="s">
        <v>138</v>
      </c>
      <c r="D164" s="355" t="s">
        <v>66</v>
      </c>
      <c r="E164" s="351">
        <v>100920.97651851852</v>
      </c>
      <c r="F164" s="351">
        <v>0</v>
      </c>
      <c r="G164" s="351">
        <v>0</v>
      </c>
      <c r="H164" s="351">
        <v>16000</v>
      </c>
      <c r="I164" s="351"/>
      <c r="J164" s="365" t="s">
        <v>810</v>
      </c>
      <c r="K164" s="332"/>
      <c r="L164" s="327" t="s">
        <v>76</v>
      </c>
      <c r="M164" s="261" t="s">
        <v>895</v>
      </c>
      <c r="N164" s="340" t="s">
        <v>896</v>
      </c>
      <c r="O164" s="261" t="s">
        <v>812</v>
      </c>
      <c r="Q164" s="262"/>
      <c r="R164" s="262"/>
      <c r="S164" s="262"/>
      <c r="T164" s="262"/>
      <c r="U164" s="262"/>
    </row>
    <row r="165" spans="1:24" s="261" customFormat="1" ht="53.25" customHeight="1" x14ac:dyDescent="0.25">
      <c r="A165" s="355">
        <f t="shared" si="6"/>
        <v>139</v>
      </c>
      <c r="B165" s="355" t="s">
        <v>144</v>
      </c>
      <c r="C165" s="357" t="s">
        <v>145</v>
      </c>
      <c r="D165" s="355" t="s">
        <v>66</v>
      </c>
      <c r="E165" s="351">
        <v>218080</v>
      </c>
      <c r="F165" s="351">
        <v>0</v>
      </c>
      <c r="G165" s="351">
        <v>0</v>
      </c>
      <c r="H165" s="351">
        <v>18000</v>
      </c>
      <c r="I165" s="351"/>
      <c r="J165" s="365" t="s">
        <v>811</v>
      </c>
      <c r="K165" s="332"/>
      <c r="L165" s="327" t="s">
        <v>76</v>
      </c>
      <c r="M165" s="261" t="s">
        <v>895</v>
      </c>
      <c r="N165" s="340" t="s">
        <v>896</v>
      </c>
      <c r="O165" s="261" t="s">
        <v>812</v>
      </c>
      <c r="Q165" s="262"/>
      <c r="R165" s="262"/>
      <c r="S165" s="262"/>
      <c r="T165" s="262"/>
      <c r="U165" s="262"/>
    </row>
    <row r="166" spans="1:24" s="261" customFormat="1" ht="49.5" customHeight="1" x14ac:dyDescent="0.25">
      <c r="A166" s="355">
        <f t="shared" si="6"/>
        <v>140</v>
      </c>
      <c r="B166" s="355" t="s">
        <v>156</v>
      </c>
      <c r="C166" s="357" t="s">
        <v>118</v>
      </c>
      <c r="D166" s="355" t="s">
        <v>74</v>
      </c>
      <c r="E166" s="351">
        <v>0</v>
      </c>
      <c r="F166" s="351">
        <v>0</v>
      </c>
      <c r="G166" s="351">
        <v>0</v>
      </c>
      <c r="H166" s="351">
        <f>VLOOKUP(B166,'[1]Tháng 7.2025'!$B$23:$H$153,7,0)</f>
        <v>100</v>
      </c>
      <c r="I166" s="351"/>
      <c r="J166" s="356" t="s">
        <v>75</v>
      </c>
      <c r="K166" s="332"/>
      <c r="L166" s="327" t="s">
        <v>76</v>
      </c>
      <c r="M166" s="261" t="s">
        <v>895</v>
      </c>
      <c r="N166" s="340" t="s">
        <v>896</v>
      </c>
      <c r="O166" s="261" t="s">
        <v>812</v>
      </c>
      <c r="Q166" s="262"/>
      <c r="R166" s="262"/>
      <c r="S166" s="262"/>
      <c r="T166" s="262"/>
      <c r="U166" s="262"/>
    </row>
    <row r="167" spans="1:24" s="261" customFormat="1" ht="30.75" customHeight="1" x14ac:dyDescent="0.25">
      <c r="A167" s="355">
        <f t="shared" si="6"/>
        <v>141</v>
      </c>
      <c r="B167" s="355" t="s">
        <v>1175</v>
      </c>
      <c r="C167" s="357" t="s">
        <v>1176</v>
      </c>
      <c r="D167" s="355" t="s">
        <v>66</v>
      </c>
      <c r="E167" s="351"/>
      <c r="F167" s="351"/>
      <c r="G167" s="351"/>
      <c r="H167" s="351">
        <v>100</v>
      </c>
      <c r="I167" s="351"/>
      <c r="J167" s="356" t="s">
        <v>409</v>
      </c>
      <c r="K167" s="332"/>
      <c r="L167" s="327" t="s">
        <v>76</v>
      </c>
      <c r="M167" s="261" t="s">
        <v>895</v>
      </c>
      <c r="N167" s="340" t="s">
        <v>896</v>
      </c>
      <c r="O167" s="261" t="s">
        <v>812</v>
      </c>
      <c r="Q167" s="262"/>
      <c r="R167" s="262"/>
      <c r="S167" s="262"/>
      <c r="T167" s="262"/>
      <c r="U167" s="262"/>
    </row>
    <row r="168" spans="1:24" s="269" customFormat="1" ht="25.5" x14ac:dyDescent="0.25">
      <c r="A168" s="355">
        <f t="shared" si="6"/>
        <v>142</v>
      </c>
      <c r="B168" s="368" t="s">
        <v>1183</v>
      </c>
      <c r="C168" s="369" t="s">
        <v>1184</v>
      </c>
      <c r="D168" s="370" t="s">
        <v>0</v>
      </c>
      <c r="E168" s="371">
        <v>1</v>
      </c>
      <c r="F168" s="371"/>
      <c r="G168" s="371"/>
      <c r="H168" s="371">
        <v>1</v>
      </c>
      <c r="I168" s="371"/>
      <c r="J168" s="372" t="s">
        <v>1030</v>
      </c>
      <c r="K168" s="496"/>
      <c r="L168" s="342" t="s">
        <v>136</v>
      </c>
      <c r="M168" s="343"/>
      <c r="N168" s="261"/>
      <c r="O168" s="343" t="s">
        <v>812</v>
      </c>
      <c r="P168" s="343"/>
      <c r="Q168" s="343"/>
      <c r="R168" s="343"/>
      <c r="S168" s="343"/>
      <c r="T168" s="343"/>
      <c r="U168" s="343"/>
      <c r="V168" s="343"/>
      <c r="W168" s="343"/>
      <c r="X168" s="343"/>
    </row>
    <row r="169" spans="1:24" s="269" customFormat="1" ht="52.5" customHeight="1" x14ac:dyDescent="0.25">
      <c r="A169" s="355">
        <f t="shared" si="6"/>
        <v>143</v>
      </c>
      <c r="B169" s="351" t="s">
        <v>1185</v>
      </c>
      <c r="C169" s="357" t="s">
        <v>1186</v>
      </c>
      <c r="D169" s="370" t="s">
        <v>428</v>
      </c>
      <c r="E169" s="371">
        <v>5</v>
      </c>
      <c r="F169" s="371"/>
      <c r="G169" s="371"/>
      <c r="H169" s="371">
        <v>5</v>
      </c>
      <c r="I169" s="371"/>
      <c r="J169" s="372" t="s">
        <v>1030</v>
      </c>
      <c r="K169" s="496"/>
      <c r="L169" s="342" t="s">
        <v>136</v>
      </c>
      <c r="M169" s="343"/>
      <c r="N169" s="327"/>
      <c r="O169" s="343" t="s">
        <v>812</v>
      </c>
      <c r="P169" s="343"/>
      <c r="Q169" s="343"/>
      <c r="R169" s="343"/>
      <c r="S169" s="343"/>
      <c r="T169" s="343"/>
      <c r="U169" s="343"/>
      <c r="V169" s="343"/>
      <c r="W169" s="343"/>
      <c r="X169" s="343"/>
    </row>
    <row r="170" spans="1:24" s="269" customFormat="1" ht="15.75" x14ac:dyDescent="0.25">
      <c r="A170" s="355">
        <f t="shared" si="6"/>
        <v>144</v>
      </c>
      <c r="B170" s="351" t="s">
        <v>1187</v>
      </c>
      <c r="C170" s="357" t="s">
        <v>1188</v>
      </c>
      <c r="D170" s="370" t="s">
        <v>0</v>
      </c>
      <c r="E170" s="371">
        <v>2</v>
      </c>
      <c r="F170" s="371"/>
      <c r="G170" s="371"/>
      <c r="H170" s="371">
        <v>2</v>
      </c>
      <c r="I170" s="371"/>
      <c r="J170" s="372" t="s">
        <v>1030</v>
      </c>
      <c r="K170" s="496"/>
      <c r="L170" s="342" t="s">
        <v>136</v>
      </c>
      <c r="M170" s="343"/>
      <c r="N170" s="327"/>
      <c r="O170" s="343" t="s">
        <v>812</v>
      </c>
      <c r="P170" s="343"/>
      <c r="Q170" s="343"/>
      <c r="R170" s="343"/>
      <c r="S170" s="343"/>
      <c r="T170" s="343"/>
      <c r="U170" s="343"/>
      <c r="V170" s="343"/>
      <c r="W170" s="343"/>
      <c r="X170" s="343"/>
    </row>
    <row r="171" spans="1:24" s="269" customFormat="1" ht="48.75" customHeight="1" x14ac:dyDescent="0.25">
      <c r="A171" s="355">
        <f t="shared" si="6"/>
        <v>145</v>
      </c>
      <c r="B171" s="351" t="s">
        <v>1189</v>
      </c>
      <c r="C171" s="357" t="s">
        <v>1190</v>
      </c>
      <c r="D171" s="370" t="s">
        <v>0</v>
      </c>
      <c r="E171" s="371">
        <v>2</v>
      </c>
      <c r="F171" s="371"/>
      <c r="G171" s="371"/>
      <c r="H171" s="371">
        <v>2</v>
      </c>
      <c r="I171" s="371"/>
      <c r="J171" s="372" t="s">
        <v>1030</v>
      </c>
      <c r="K171" s="496"/>
      <c r="L171" s="342" t="s">
        <v>136</v>
      </c>
      <c r="M171" s="343"/>
      <c r="N171" s="327"/>
      <c r="O171" s="343" t="s">
        <v>812</v>
      </c>
      <c r="P171" s="343"/>
      <c r="Q171" s="343"/>
      <c r="R171" s="343"/>
      <c r="S171" s="343"/>
      <c r="T171" s="343"/>
      <c r="U171" s="343"/>
      <c r="V171" s="343"/>
      <c r="W171" s="343"/>
      <c r="X171" s="343"/>
    </row>
    <row r="172" spans="1:24" s="269" customFormat="1" ht="48.75" customHeight="1" x14ac:dyDescent="0.25">
      <c r="A172" s="355">
        <f t="shared" si="6"/>
        <v>146</v>
      </c>
      <c r="B172" s="351" t="s">
        <v>1191</v>
      </c>
      <c r="C172" s="357" t="s">
        <v>1192</v>
      </c>
      <c r="D172" s="370" t="s">
        <v>0</v>
      </c>
      <c r="E172" s="371">
        <v>1</v>
      </c>
      <c r="F172" s="371"/>
      <c r="G172" s="371"/>
      <c r="H172" s="371">
        <v>1</v>
      </c>
      <c r="I172" s="371"/>
      <c r="J172" s="372" t="s">
        <v>1030</v>
      </c>
      <c r="K172" s="496"/>
      <c r="L172" s="342" t="s">
        <v>136</v>
      </c>
      <c r="M172" s="343"/>
      <c r="N172" s="261"/>
      <c r="O172" s="343" t="s">
        <v>812</v>
      </c>
      <c r="P172" s="343"/>
      <c r="Q172" s="343"/>
      <c r="R172" s="343"/>
      <c r="S172" s="343"/>
      <c r="T172" s="343"/>
      <c r="U172" s="343"/>
      <c r="V172" s="343"/>
      <c r="W172" s="343"/>
      <c r="X172" s="343"/>
    </row>
    <row r="173" spans="1:24" s="269" customFormat="1" ht="48.75" customHeight="1" x14ac:dyDescent="0.25">
      <c r="A173" s="355">
        <f t="shared" si="6"/>
        <v>147</v>
      </c>
      <c r="B173" s="368" t="s">
        <v>1193</v>
      </c>
      <c r="C173" s="369" t="s">
        <v>1194</v>
      </c>
      <c r="D173" s="370" t="s">
        <v>0</v>
      </c>
      <c r="E173" s="371">
        <v>1</v>
      </c>
      <c r="F173" s="371"/>
      <c r="G173" s="371"/>
      <c r="H173" s="371">
        <v>1</v>
      </c>
      <c r="I173" s="371"/>
      <c r="J173" s="372" t="s">
        <v>1030</v>
      </c>
      <c r="K173" s="496"/>
      <c r="L173" s="342" t="s">
        <v>136</v>
      </c>
      <c r="M173" s="343"/>
      <c r="N173" s="327"/>
      <c r="O173" s="343" t="s">
        <v>812</v>
      </c>
      <c r="P173" s="343"/>
      <c r="Q173" s="343"/>
      <c r="R173" s="343"/>
      <c r="S173" s="343"/>
      <c r="T173" s="343"/>
      <c r="U173" s="343"/>
      <c r="V173" s="343"/>
      <c r="W173" s="343"/>
      <c r="X173" s="343"/>
    </row>
    <row r="174" spans="1:24" s="269" customFormat="1" ht="48.75" customHeight="1" x14ac:dyDescent="0.25">
      <c r="A174" s="355">
        <f t="shared" si="6"/>
        <v>148</v>
      </c>
      <c r="B174" s="368" t="s">
        <v>1195</v>
      </c>
      <c r="C174" s="369" t="s">
        <v>1196</v>
      </c>
      <c r="D174" s="370" t="s">
        <v>0</v>
      </c>
      <c r="E174" s="371">
        <v>3</v>
      </c>
      <c r="F174" s="371"/>
      <c r="G174" s="371"/>
      <c r="H174" s="371">
        <v>3</v>
      </c>
      <c r="I174" s="371"/>
      <c r="J174" s="372" t="s">
        <v>1030</v>
      </c>
      <c r="K174" s="341"/>
      <c r="L174" s="342" t="s">
        <v>136</v>
      </c>
      <c r="M174" s="343"/>
      <c r="N174" s="327"/>
      <c r="O174" s="343" t="s">
        <v>812</v>
      </c>
      <c r="P174" s="343"/>
      <c r="Q174" s="343"/>
      <c r="R174" s="343"/>
      <c r="S174" s="343"/>
      <c r="T174" s="343"/>
      <c r="U174" s="343"/>
      <c r="V174" s="343"/>
      <c r="W174" s="343"/>
      <c r="X174" s="343"/>
    </row>
    <row r="175" spans="1:24" s="269" customFormat="1" ht="15.75" x14ac:dyDescent="0.25">
      <c r="A175" s="355">
        <f t="shared" si="6"/>
        <v>149</v>
      </c>
      <c r="B175" s="368" t="s">
        <v>1197</v>
      </c>
      <c r="C175" s="369" t="s">
        <v>1198</v>
      </c>
      <c r="D175" s="370" t="s">
        <v>2</v>
      </c>
      <c r="E175" s="371">
        <v>10</v>
      </c>
      <c r="F175" s="371"/>
      <c r="G175" s="371"/>
      <c r="H175" s="371">
        <v>10</v>
      </c>
      <c r="I175" s="371"/>
      <c r="J175" s="372" t="s">
        <v>1030</v>
      </c>
      <c r="K175" s="496"/>
      <c r="L175" s="342" t="s">
        <v>136</v>
      </c>
      <c r="M175" s="343"/>
      <c r="N175" s="327"/>
      <c r="O175" s="343" t="s">
        <v>812</v>
      </c>
      <c r="P175" s="343"/>
      <c r="Q175" s="343"/>
      <c r="R175" s="343"/>
      <c r="S175" s="343"/>
      <c r="T175" s="343"/>
      <c r="U175" s="343"/>
      <c r="V175" s="343"/>
      <c r="W175" s="343"/>
      <c r="X175" s="343"/>
    </row>
    <row r="176" spans="1:24" s="269" customFormat="1" ht="15.75" x14ac:dyDescent="0.25">
      <c r="A176" s="355">
        <f t="shared" si="6"/>
        <v>150</v>
      </c>
      <c r="B176" s="368" t="s">
        <v>1199</v>
      </c>
      <c r="C176" s="369" t="s">
        <v>1200</v>
      </c>
      <c r="D176" s="370" t="s">
        <v>2</v>
      </c>
      <c r="E176" s="371">
        <v>10</v>
      </c>
      <c r="F176" s="371"/>
      <c r="G176" s="371"/>
      <c r="H176" s="371">
        <v>10</v>
      </c>
      <c r="I176" s="371"/>
      <c r="J176" s="372" t="s">
        <v>1030</v>
      </c>
      <c r="K176" s="496"/>
      <c r="L176" s="342" t="s">
        <v>136</v>
      </c>
      <c r="M176" s="343"/>
      <c r="N176" s="261"/>
      <c r="O176" s="343" t="s">
        <v>812</v>
      </c>
      <c r="P176" s="343"/>
      <c r="Q176" s="343"/>
      <c r="R176" s="343"/>
      <c r="S176" s="343"/>
      <c r="T176" s="343"/>
      <c r="U176" s="343"/>
      <c r="V176" s="343"/>
      <c r="W176" s="343"/>
      <c r="X176" s="343"/>
    </row>
    <row r="177" spans="1:24" s="269" customFormat="1" ht="15.75" x14ac:dyDescent="0.25">
      <c r="A177" s="355">
        <f t="shared" si="6"/>
        <v>151</v>
      </c>
      <c r="B177" s="368" t="s">
        <v>1201</v>
      </c>
      <c r="C177" s="369" t="s">
        <v>1202</v>
      </c>
      <c r="D177" s="370" t="s">
        <v>1203</v>
      </c>
      <c r="E177" s="371">
        <v>165</v>
      </c>
      <c r="F177" s="371"/>
      <c r="G177" s="371"/>
      <c r="H177" s="371">
        <v>165</v>
      </c>
      <c r="I177" s="371"/>
      <c r="J177" s="372" t="s">
        <v>1030</v>
      </c>
      <c r="K177" s="341"/>
      <c r="L177" s="342" t="s">
        <v>136</v>
      </c>
      <c r="M177" s="343"/>
      <c r="N177" s="327"/>
      <c r="O177" s="343" t="s">
        <v>812</v>
      </c>
      <c r="P177" s="343"/>
      <c r="Q177" s="343"/>
      <c r="R177" s="343"/>
      <c r="S177" s="343"/>
      <c r="T177" s="343"/>
      <c r="U177" s="343"/>
      <c r="V177" s="343"/>
      <c r="W177" s="343"/>
      <c r="X177" s="343"/>
    </row>
    <row r="178" spans="1:24" s="269" customFormat="1" ht="15.75" x14ac:dyDescent="0.25">
      <c r="A178" s="355">
        <f t="shared" si="6"/>
        <v>152</v>
      </c>
      <c r="B178" s="368" t="s">
        <v>1204</v>
      </c>
      <c r="C178" s="369" t="s">
        <v>1205</v>
      </c>
      <c r="D178" s="371" t="s">
        <v>428</v>
      </c>
      <c r="E178" s="371">
        <v>5</v>
      </c>
      <c r="F178" s="371"/>
      <c r="G178" s="371"/>
      <c r="H178" s="371">
        <v>5</v>
      </c>
      <c r="I178" s="371"/>
      <c r="J178" s="372" t="s">
        <v>1030</v>
      </c>
      <c r="K178" s="341"/>
      <c r="L178" s="342" t="s">
        <v>136</v>
      </c>
      <c r="M178" s="343"/>
      <c r="N178" s="327"/>
      <c r="O178" s="343" t="s">
        <v>812</v>
      </c>
      <c r="P178" s="343"/>
      <c r="Q178" s="343"/>
      <c r="R178" s="343"/>
      <c r="S178" s="343"/>
      <c r="T178" s="343"/>
      <c r="U178" s="343"/>
      <c r="V178" s="343"/>
      <c r="W178" s="343"/>
      <c r="X178" s="343"/>
    </row>
    <row r="179" spans="1:24" s="269" customFormat="1" ht="15.75" x14ac:dyDescent="0.25">
      <c r="A179" s="355">
        <f t="shared" si="6"/>
        <v>153</v>
      </c>
      <c r="B179" s="368" t="s">
        <v>1037</v>
      </c>
      <c r="C179" s="369" t="s">
        <v>865</v>
      </c>
      <c r="D179" s="371" t="s">
        <v>1019</v>
      </c>
      <c r="E179" s="371">
        <v>8</v>
      </c>
      <c r="F179" s="371"/>
      <c r="G179" s="371"/>
      <c r="H179" s="371">
        <v>8</v>
      </c>
      <c r="I179" s="371"/>
      <c r="J179" s="372" t="s">
        <v>1030</v>
      </c>
      <c r="K179" s="341"/>
      <c r="L179" s="342" t="s">
        <v>136</v>
      </c>
      <c r="M179" s="343"/>
      <c r="N179" s="327"/>
      <c r="O179" s="343" t="s">
        <v>812</v>
      </c>
      <c r="P179" s="343"/>
      <c r="Q179" s="343"/>
      <c r="R179" s="343"/>
      <c r="S179" s="343"/>
      <c r="T179" s="343"/>
      <c r="U179" s="343"/>
      <c r="V179" s="343"/>
      <c r="W179" s="343"/>
      <c r="X179" s="343"/>
    </row>
    <row r="180" spans="1:24" s="269" customFormat="1" ht="15.75" x14ac:dyDescent="0.25">
      <c r="A180" s="355">
        <f t="shared" si="6"/>
        <v>154</v>
      </c>
      <c r="B180" s="368" t="s">
        <v>1038</v>
      </c>
      <c r="C180" s="369" t="s">
        <v>1039</v>
      </c>
      <c r="D180" s="371" t="s">
        <v>1019</v>
      </c>
      <c r="E180" s="373">
        <v>16</v>
      </c>
      <c r="F180" s="373"/>
      <c r="G180" s="374"/>
      <c r="H180" s="373">
        <v>16</v>
      </c>
      <c r="I180" s="373"/>
      <c r="J180" s="372" t="s">
        <v>1030</v>
      </c>
      <c r="K180" s="343"/>
      <c r="L180" s="342" t="s">
        <v>136</v>
      </c>
      <c r="M180" s="343"/>
      <c r="N180" s="261"/>
      <c r="O180" s="343" t="s">
        <v>812</v>
      </c>
      <c r="P180" s="343"/>
      <c r="Q180" s="343"/>
      <c r="R180" s="343"/>
      <c r="S180" s="343"/>
      <c r="T180" s="343"/>
      <c r="U180" s="343"/>
      <c r="V180" s="343"/>
      <c r="W180" s="343"/>
      <c r="X180" s="343"/>
    </row>
    <row r="181" spans="1:24" s="269" customFormat="1" ht="15.75" x14ac:dyDescent="0.25">
      <c r="A181" s="355">
        <f t="shared" si="6"/>
        <v>155</v>
      </c>
      <c r="B181" s="368" t="s">
        <v>1206</v>
      </c>
      <c r="C181" s="369" t="s">
        <v>1207</v>
      </c>
      <c r="D181" s="371" t="s">
        <v>1019</v>
      </c>
      <c r="E181" s="373">
        <v>8</v>
      </c>
      <c r="F181" s="373"/>
      <c r="G181" s="374"/>
      <c r="H181" s="373">
        <v>8</v>
      </c>
      <c r="I181" s="373"/>
      <c r="J181" s="372" t="s">
        <v>1030</v>
      </c>
      <c r="K181" s="343"/>
      <c r="L181" s="342" t="s">
        <v>136</v>
      </c>
      <c r="M181" s="343"/>
      <c r="N181" s="327"/>
      <c r="O181" s="343" t="s">
        <v>812</v>
      </c>
      <c r="P181" s="343"/>
      <c r="Q181" s="343"/>
      <c r="R181" s="343"/>
      <c r="S181" s="343"/>
      <c r="T181" s="343"/>
      <c r="U181" s="343"/>
      <c r="V181" s="343"/>
      <c r="W181" s="343"/>
      <c r="X181" s="343"/>
    </row>
    <row r="182" spans="1:24" s="269" customFormat="1" ht="15.75" x14ac:dyDescent="0.25">
      <c r="A182" s="355">
        <f t="shared" si="6"/>
        <v>156</v>
      </c>
      <c r="B182" s="368" t="s">
        <v>1208</v>
      </c>
      <c r="C182" s="369" t="s">
        <v>1209</v>
      </c>
      <c r="D182" s="373" t="s">
        <v>1019</v>
      </c>
      <c r="E182" s="370">
        <v>17</v>
      </c>
      <c r="F182" s="370"/>
      <c r="G182" s="374"/>
      <c r="H182" s="370">
        <v>17</v>
      </c>
      <c r="I182" s="370"/>
      <c r="J182" s="372" t="s">
        <v>1030</v>
      </c>
      <c r="K182" s="343"/>
      <c r="L182" s="342" t="s">
        <v>136</v>
      </c>
      <c r="M182" s="343"/>
      <c r="N182" s="327"/>
      <c r="O182" s="343" t="s">
        <v>812</v>
      </c>
      <c r="P182" s="343"/>
      <c r="Q182" s="343"/>
      <c r="R182" s="343"/>
      <c r="S182" s="343"/>
      <c r="T182" s="343"/>
      <c r="U182" s="343"/>
      <c r="V182" s="343"/>
      <c r="W182" s="343"/>
      <c r="X182" s="343"/>
    </row>
    <row r="183" spans="1:24" s="269" customFormat="1" ht="15.75" x14ac:dyDescent="0.25">
      <c r="A183" s="355">
        <f t="shared" si="6"/>
        <v>157</v>
      </c>
      <c r="B183" s="368" t="s">
        <v>923</v>
      </c>
      <c r="C183" s="369" t="s">
        <v>924</v>
      </c>
      <c r="D183" s="373" t="s">
        <v>1019</v>
      </c>
      <c r="E183" s="370">
        <v>20</v>
      </c>
      <c r="F183" s="370"/>
      <c r="G183" s="374"/>
      <c r="H183" s="370">
        <v>20</v>
      </c>
      <c r="I183" s="370"/>
      <c r="J183" s="372" t="s">
        <v>1030</v>
      </c>
      <c r="K183" s="343"/>
      <c r="L183" s="342" t="s">
        <v>136</v>
      </c>
      <c r="M183" s="343"/>
      <c r="N183" s="327"/>
      <c r="O183" s="343" t="s">
        <v>812</v>
      </c>
      <c r="P183" s="343"/>
      <c r="Q183" s="343"/>
      <c r="R183" s="343"/>
      <c r="S183" s="343"/>
      <c r="T183" s="343"/>
      <c r="U183" s="343"/>
      <c r="V183" s="343"/>
      <c r="W183" s="343"/>
      <c r="X183" s="343"/>
    </row>
    <row r="184" spans="1:24" x14ac:dyDescent="0.25">
      <c r="A184" s="355">
        <f t="shared" si="6"/>
        <v>158</v>
      </c>
      <c r="B184" s="355" t="s">
        <v>1210</v>
      </c>
      <c r="C184" s="357" t="s">
        <v>1209</v>
      </c>
      <c r="D184" s="355" t="s">
        <v>1019</v>
      </c>
      <c r="E184" s="355">
        <v>0</v>
      </c>
      <c r="F184" s="355"/>
      <c r="G184" s="355"/>
      <c r="H184" s="375">
        <v>0</v>
      </c>
      <c r="I184" s="355"/>
      <c r="J184" s="357" t="s">
        <v>1030</v>
      </c>
      <c r="L184" s="342" t="s">
        <v>136</v>
      </c>
      <c r="O184" s="308" t="s">
        <v>812</v>
      </c>
    </row>
    <row r="185" spans="1:24" x14ac:dyDescent="0.25">
      <c r="A185" s="355">
        <f t="shared" si="6"/>
        <v>159</v>
      </c>
      <c r="B185" s="355" t="s">
        <v>1211</v>
      </c>
      <c r="C185" s="357" t="s">
        <v>1212</v>
      </c>
      <c r="D185" s="355" t="s">
        <v>1019</v>
      </c>
      <c r="E185" s="355">
        <v>31</v>
      </c>
      <c r="F185" s="355"/>
      <c r="G185" s="355"/>
      <c r="H185" s="375">
        <v>31</v>
      </c>
      <c r="I185" s="355"/>
      <c r="J185" s="357" t="s">
        <v>1030</v>
      </c>
      <c r="L185" s="342" t="s">
        <v>136</v>
      </c>
      <c r="O185" s="308" t="s">
        <v>812</v>
      </c>
    </row>
    <row r="186" spans="1:24" x14ac:dyDescent="0.25">
      <c r="A186" s="355">
        <f t="shared" si="6"/>
        <v>160</v>
      </c>
      <c r="B186" s="355" t="s">
        <v>1213</v>
      </c>
      <c r="C186" s="357" t="s">
        <v>1214</v>
      </c>
      <c r="D186" s="355" t="s">
        <v>1019</v>
      </c>
      <c r="E186" s="355">
        <v>20</v>
      </c>
      <c r="F186" s="355"/>
      <c r="G186" s="355"/>
      <c r="H186" s="375">
        <v>20</v>
      </c>
      <c r="I186" s="355"/>
      <c r="J186" s="357" t="s">
        <v>1030</v>
      </c>
      <c r="L186" s="342" t="s">
        <v>136</v>
      </c>
      <c r="O186" s="308" t="s">
        <v>812</v>
      </c>
    </row>
    <row r="187" spans="1:24" x14ac:dyDescent="0.25">
      <c r="A187" s="355">
        <f t="shared" si="6"/>
        <v>161</v>
      </c>
      <c r="B187" s="355" t="s">
        <v>1215</v>
      </c>
      <c r="C187" s="357" t="s">
        <v>1216</v>
      </c>
      <c r="D187" s="355" t="s">
        <v>1019</v>
      </c>
      <c r="E187" s="355">
        <v>31</v>
      </c>
      <c r="F187" s="355"/>
      <c r="G187" s="355"/>
      <c r="H187" s="375">
        <v>31</v>
      </c>
      <c r="I187" s="355"/>
      <c r="J187" s="357" t="s">
        <v>1030</v>
      </c>
      <c r="L187" s="342" t="s">
        <v>136</v>
      </c>
      <c r="O187" s="308" t="s">
        <v>812</v>
      </c>
    </row>
    <row r="188" spans="1:24" x14ac:dyDescent="0.25">
      <c r="A188" s="355">
        <f t="shared" si="6"/>
        <v>162</v>
      </c>
      <c r="B188" s="355" t="s">
        <v>1217</v>
      </c>
      <c r="C188" s="357" t="s">
        <v>1218</v>
      </c>
      <c r="D188" s="355" t="s">
        <v>1019</v>
      </c>
      <c r="E188" s="355">
        <v>20</v>
      </c>
      <c r="F188" s="355"/>
      <c r="G188" s="355"/>
      <c r="H188" s="375">
        <v>20</v>
      </c>
      <c r="I188" s="355"/>
      <c r="J188" s="357" t="s">
        <v>1030</v>
      </c>
      <c r="L188" s="342" t="s">
        <v>136</v>
      </c>
      <c r="O188" s="308" t="s">
        <v>812</v>
      </c>
    </row>
    <row r="189" spans="1:24" x14ac:dyDescent="0.25">
      <c r="A189" s="355">
        <f t="shared" si="6"/>
        <v>163</v>
      </c>
      <c r="B189" s="355" t="s">
        <v>1219</v>
      </c>
      <c r="C189" s="357" t="s">
        <v>1220</v>
      </c>
      <c r="D189" s="355" t="s">
        <v>0</v>
      </c>
      <c r="E189" s="355">
        <v>26</v>
      </c>
      <c r="F189" s="355"/>
      <c r="G189" s="355"/>
      <c r="H189" s="375">
        <v>26</v>
      </c>
      <c r="I189" s="355"/>
      <c r="J189" s="357" t="s">
        <v>1030</v>
      </c>
      <c r="L189" s="342" t="s">
        <v>136</v>
      </c>
      <c r="O189" s="308" t="s">
        <v>812</v>
      </c>
    </row>
    <row r="190" spans="1:24" x14ac:dyDescent="0.25">
      <c r="A190" s="355">
        <f t="shared" si="6"/>
        <v>164</v>
      </c>
      <c r="B190" s="355" t="s">
        <v>925</v>
      </c>
      <c r="C190" s="357" t="s">
        <v>926</v>
      </c>
      <c r="D190" s="355" t="s">
        <v>0</v>
      </c>
      <c r="E190" s="355">
        <v>52</v>
      </c>
      <c r="F190" s="355"/>
      <c r="G190" s="355"/>
      <c r="H190" s="375">
        <v>52</v>
      </c>
      <c r="I190" s="355"/>
      <c r="J190" s="357" t="s">
        <v>1030</v>
      </c>
      <c r="L190" s="342" t="s">
        <v>136</v>
      </c>
      <c r="O190" s="308" t="s">
        <v>812</v>
      </c>
    </row>
    <row r="191" spans="1:24" x14ac:dyDescent="0.25">
      <c r="A191" s="355">
        <f t="shared" si="6"/>
        <v>165</v>
      </c>
      <c r="B191" s="355" t="s">
        <v>1221</v>
      </c>
      <c r="C191" s="357" t="s">
        <v>1222</v>
      </c>
      <c r="D191" s="355" t="s">
        <v>0</v>
      </c>
      <c r="E191" s="355">
        <v>90</v>
      </c>
      <c r="F191" s="355"/>
      <c r="G191" s="355"/>
      <c r="H191" s="375">
        <v>90</v>
      </c>
      <c r="I191" s="355"/>
      <c r="J191" s="357" t="s">
        <v>1030</v>
      </c>
      <c r="L191" s="342" t="s">
        <v>136</v>
      </c>
      <c r="O191" s="308" t="s">
        <v>812</v>
      </c>
    </row>
    <row r="192" spans="1:24" x14ac:dyDescent="0.25">
      <c r="A192" s="355">
        <f t="shared" si="6"/>
        <v>166</v>
      </c>
      <c r="B192" s="355" t="s">
        <v>1223</v>
      </c>
      <c r="C192" s="357" t="s">
        <v>1224</v>
      </c>
      <c r="D192" s="355" t="s">
        <v>1019</v>
      </c>
      <c r="E192" s="355">
        <v>16</v>
      </c>
      <c r="F192" s="355"/>
      <c r="G192" s="355"/>
      <c r="H192" s="375">
        <v>16</v>
      </c>
      <c r="I192" s="355"/>
      <c r="J192" s="357" t="s">
        <v>1030</v>
      </c>
      <c r="L192" s="342" t="s">
        <v>136</v>
      </c>
      <c r="O192" s="308" t="s">
        <v>812</v>
      </c>
    </row>
    <row r="193" spans="1:15" x14ac:dyDescent="0.25">
      <c r="A193" s="355">
        <f t="shared" si="6"/>
        <v>167</v>
      </c>
      <c r="B193" s="355" t="s">
        <v>1225</v>
      </c>
      <c r="C193" s="357" t="s">
        <v>1226</v>
      </c>
      <c r="D193" s="355" t="s">
        <v>1019</v>
      </c>
      <c r="E193" s="355">
        <v>6</v>
      </c>
      <c r="F193" s="355"/>
      <c r="G193" s="355"/>
      <c r="H193" s="375">
        <v>6</v>
      </c>
      <c r="I193" s="355"/>
      <c r="J193" s="357" t="s">
        <v>1030</v>
      </c>
      <c r="L193" s="342" t="s">
        <v>136</v>
      </c>
      <c r="O193" s="308" t="s">
        <v>812</v>
      </c>
    </row>
    <row r="194" spans="1:15" x14ac:dyDescent="0.25">
      <c r="A194" s="355">
        <f t="shared" si="6"/>
        <v>168</v>
      </c>
      <c r="B194" s="355" t="s">
        <v>1227</v>
      </c>
      <c r="C194" s="357" t="s">
        <v>1228</v>
      </c>
      <c r="D194" s="355" t="s">
        <v>1019</v>
      </c>
      <c r="E194" s="355">
        <v>8</v>
      </c>
      <c r="F194" s="355"/>
      <c r="G194" s="355"/>
      <c r="H194" s="375">
        <v>8</v>
      </c>
      <c r="I194" s="355"/>
      <c r="J194" s="357" t="s">
        <v>1030</v>
      </c>
      <c r="L194" s="342" t="s">
        <v>136</v>
      </c>
      <c r="O194" s="308" t="s">
        <v>812</v>
      </c>
    </row>
    <row r="195" spans="1:15" x14ac:dyDescent="0.25">
      <c r="A195" s="355">
        <f t="shared" si="6"/>
        <v>169</v>
      </c>
      <c r="B195" s="355" t="s">
        <v>1229</v>
      </c>
      <c r="C195" s="357" t="s">
        <v>1230</v>
      </c>
      <c r="D195" s="355" t="s">
        <v>1019</v>
      </c>
      <c r="E195" s="355">
        <v>7</v>
      </c>
      <c r="F195" s="355"/>
      <c r="G195" s="355"/>
      <c r="H195" s="375">
        <v>7</v>
      </c>
      <c r="I195" s="355"/>
      <c r="J195" s="357" t="s">
        <v>1030</v>
      </c>
      <c r="L195" s="342" t="s">
        <v>136</v>
      </c>
      <c r="O195" s="308" t="s">
        <v>812</v>
      </c>
    </row>
    <row r="196" spans="1:15" s="345" customFormat="1" ht="15.75" x14ac:dyDescent="0.2">
      <c r="A196" s="355">
        <f t="shared" si="6"/>
        <v>170</v>
      </c>
      <c r="B196" s="355" t="s">
        <v>959</v>
      </c>
      <c r="C196" s="376" t="s">
        <v>986</v>
      </c>
      <c r="D196" s="377" t="s">
        <v>51</v>
      </c>
      <c r="E196" s="351">
        <v>0</v>
      </c>
      <c r="F196" s="351">
        <v>0</v>
      </c>
      <c r="G196" s="351">
        <v>0</v>
      </c>
      <c r="H196" s="377">
        <v>60</v>
      </c>
      <c r="I196" s="355"/>
      <c r="J196" s="357" t="s">
        <v>906</v>
      </c>
      <c r="K196" s="344"/>
      <c r="L196" s="327" t="s">
        <v>76</v>
      </c>
      <c r="N196" s="261" t="s">
        <v>896</v>
      </c>
    </row>
    <row r="197" spans="1:15" s="345" customFormat="1" ht="15.75" x14ac:dyDescent="0.2">
      <c r="A197" s="355">
        <f t="shared" si="6"/>
        <v>171</v>
      </c>
      <c r="B197" s="355" t="s">
        <v>960</v>
      </c>
      <c r="C197" s="376" t="s">
        <v>987</v>
      </c>
      <c r="D197" s="377" t="s">
        <v>1018</v>
      </c>
      <c r="E197" s="351">
        <v>0</v>
      </c>
      <c r="F197" s="351">
        <v>0</v>
      </c>
      <c r="G197" s="351">
        <v>0</v>
      </c>
      <c r="H197" s="377">
        <v>200</v>
      </c>
      <c r="I197" s="355"/>
      <c r="J197" s="357" t="s">
        <v>906</v>
      </c>
      <c r="K197" s="344"/>
      <c r="L197" s="327" t="s">
        <v>76</v>
      </c>
      <c r="N197" s="327" t="s">
        <v>896</v>
      </c>
    </row>
    <row r="198" spans="1:15" s="345" customFormat="1" ht="15.75" x14ac:dyDescent="0.2">
      <c r="A198" s="355">
        <f t="shared" si="6"/>
        <v>172</v>
      </c>
      <c r="B198" s="355" t="s">
        <v>961</v>
      </c>
      <c r="C198" s="376" t="s">
        <v>988</v>
      </c>
      <c r="D198" s="377" t="s">
        <v>1018</v>
      </c>
      <c r="E198" s="351">
        <v>0</v>
      </c>
      <c r="F198" s="351">
        <v>0</v>
      </c>
      <c r="G198" s="351">
        <v>0</v>
      </c>
      <c r="H198" s="377">
        <v>100</v>
      </c>
      <c r="I198" s="355"/>
      <c r="J198" s="357" t="s">
        <v>906</v>
      </c>
      <c r="K198" s="344"/>
      <c r="L198" s="327" t="s">
        <v>76</v>
      </c>
      <c r="N198" s="327" t="s">
        <v>896</v>
      </c>
    </row>
    <row r="199" spans="1:15" s="345" customFormat="1" ht="15.75" x14ac:dyDescent="0.2">
      <c r="A199" s="355">
        <f t="shared" si="6"/>
        <v>173</v>
      </c>
      <c r="B199" s="355" t="s">
        <v>962</v>
      </c>
      <c r="C199" s="376" t="s">
        <v>989</v>
      </c>
      <c r="D199" s="377" t="s">
        <v>1018</v>
      </c>
      <c r="E199" s="351">
        <v>0</v>
      </c>
      <c r="F199" s="351">
        <v>0</v>
      </c>
      <c r="G199" s="351">
        <v>0</v>
      </c>
      <c r="H199" s="377">
        <v>200</v>
      </c>
      <c r="I199" s="355"/>
      <c r="J199" s="357" t="s">
        <v>906</v>
      </c>
      <c r="K199" s="344"/>
      <c r="L199" s="327" t="s">
        <v>76</v>
      </c>
      <c r="N199" s="327" t="s">
        <v>896</v>
      </c>
    </row>
    <row r="200" spans="1:15" s="345" customFormat="1" ht="15.75" x14ac:dyDescent="0.2">
      <c r="A200" s="355">
        <f t="shared" si="6"/>
        <v>174</v>
      </c>
      <c r="B200" s="355" t="s">
        <v>149</v>
      </c>
      <c r="C200" s="376" t="s">
        <v>990</v>
      </c>
      <c r="D200" s="377" t="s">
        <v>0</v>
      </c>
      <c r="E200" s="351">
        <v>0</v>
      </c>
      <c r="F200" s="351">
        <v>0</v>
      </c>
      <c r="G200" s="351">
        <v>0</v>
      </c>
      <c r="H200" s="377">
        <v>15000</v>
      </c>
      <c r="I200" s="355"/>
      <c r="J200" s="357" t="s">
        <v>906</v>
      </c>
      <c r="K200" s="344"/>
      <c r="L200" s="327" t="s">
        <v>76</v>
      </c>
      <c r="N200" s="261" t="s">
        <v>896</v>
      </c>
    </row>
    <row r="201" spans="1:15" s="345" customFormat="1" ht="15.75" x14ac:dyDescent="0.2">
      <c r="A201" s="355">
        <f t="shared" si="6"/>
        <v>175</v>
      </c>
      <c r="B201" s="355"/>
      <c r="C201" s="376" t="s">
        <v>991</v>
      </c>
      <c r="D201" s="377" t="s">
        <v>428</v>
      </c>
      <c r="E201" s="351">
        <v>0</v>
      </c>
      <c r="F201" s="351">
        <v>0</v>
      </c>
      <c r="G201" s="351">
        <v>0</v>
      </c>
      <c r="H201" s="377">
        <v>100</v>
      </c>
      <c r="I201" s="355"/>
      <c r="J201" s="357" t="s">
        <v>906</v>
      </c>
      <c r="K201" s="344"/>
      <c r="L201" s="327" t="s">
        <v>76</v>
      </c>
      <c r="N201" s="327" t="s">
        <v>896</v>
      </c>
    </row>
    <row r="202" spans="1:15" s="345" customFormat="1" ht="15.75" x14ac:dyDescent="0.2">
      <c r="A202" s="355">
        <f t="shared" si="6"/>
        <v>176</v>
      </c>
      <c r="B202" s="355" t="s">
        <v>257</v>
      </c>
      <c r="C202" s="376" t="s">
        <v>268</v>
      </c>
      <c r="D202" s="377" t="s">
        <v>0</v>
      </c>
      <c r="E202" s="351">
        <v>0</v>
      </c>
      <c r="F202" s="351">
        <v>0</v>
      </c>
      <c r="G202" s="351">
        <v>0</v>
      </c>
      <c r="H202" s="377">
        <v>100</v>
      </c>
      <c r="I202" s="355"/>
      <c r="J202" s="357" t="s">
        <v>906</v>
      </c>
      <c r="K202" s="344"/>
      <c r="L202" s="327" t="s">
        <v>76</v>
      </c>
      <c r="N202" s="327" t="s">
        <v>896</v>
      </c>
    </row>
    <row r="203" spans="1:15" s="345" customFormat="1" ht="25.5" x14ac:dyDescent="0.2">
      <c r="A203" s="355">
        <f t="shared" ref="A203:A234" si="7">A202+1</f>
        <v>177</v>
      </c>
      <c r="B203" s="355" t="s">
        <v>963</v>
      </c>
      <c r="C203" s="376" t="s">
        <v>992</v>
      </c>
      <c r="D203" s="377" t="s">
        <v>411</v>
      </c>
      <c r="E203" s="351">
        <v>0</v>
      </c>
      <c r="F203" s="351">
        <v>0</v>
      </c>
      <c r="G203" s="351">
        <v>0</v>
      </c>
      <c r="H203" s="377">
        <v>50</v>
      </c>
      <c r="I203" s="355"/>
      <c r="J203" s="357" t="s">
        <v>906</v>
      </c>
      <c r="K203" s="344"/>
      <c r="L203" s="327" t="s">
        <v>76</v>
      </c>
      <c r="N203" s="327" t="s">
        <v>896</v>
      </c>
    </row>
    <row r="204" spans="1:15" s="345" customFormat="1" ht="15.75" x14ac:dyDescent="0.2">
      <c r="A204" s="355">
        <f t="shared" si="7"/>
        <v>178</v>
      </c>
      <c r="B204" s="355" t="s">
        <v>964</v>
      </c>
      <c r="C204" s="376" t="s">
        <v>993</v>
      </c>
      <c r="D204" s="377" t="s">
        <v>66</v>
      </c>
      <c r="E204" s="351">
        <v>0</v>
      </c>
      <c r="F204" s="351">
        <v>0</v>
      </c>
      <c r="G204" s="351">
        <v>0</v>
      </c>
      <c r="H204" s="377">
        <v>200</v>
      </c>
      <c r="I204" s="355"/>
      <c r="J204" s="357" t="s">
        <v>906</v>
      </c>
      <c r="K204" s="344"/>
      <c r="L204" s="327" t="s">
        <v>76</v>
      </c>
      <c r="N204" s="261" t="s">
        <v>896</v>
      </c>
    </row>
    <row r="205" spans="1:15" s="345" customFormat="1" ht="15.75" x14ac:dyDescent="0.2">
      <c r="A205" s="355">
        <f t="shared" si="7"/>
        <v>179</v>
      </c>
      <c r="B205" s="355" t="s">
        <v>965</v>
      </c>
      <c r="C205" s="376" t="s">
        <v>994</v>
      </c>
      <c r="D205" s="377" t="s">
        <v>1019</v>
      </c>
      <c r="E205" s="351">
        <v>0</v>
      </c>
      <c r="F205" s="351">
        <v>0</v>
      </c>
      <c r="G205" s="351">
        <v>0</v>
      </c>
      <c r="H205" s="377">
        <v>10</v>
      </c>
      <c r="I205" s="355"/>
      <c r="J205" s="357" t="s">
        <v>906</v>
      </c>
      <c r="K205" s="344"/>
      <c r="L205" s="327" t="s">
        <v>76</v>
      </c>
      <c r="N205" s="327" t="s">
        <v>896</v>
      </c>
    </row>
    <row r="206" spans="1:15" s="345" customFormat="1" ht="15.75" x14ac:dyDescent="0.2">
      <c r="A206" s="355">
        <f t="shared" si="7"/>
        <v>180</v>
      </c>
      <c r="B206" s="355" t="s">
        <v>966</v>
      </c>
      <c r="C206" s="376" t="s">
        <v>995</v>
      </c>
      <c r="D206" s="377" t="s">
        <v>1020</v>
      </c>
      <c r="E206" s="351">
        <v>0</v>
      </c>
      <c r="F206" s="351">
        <v>0</v>
      </c>
      <c r="G206" s="351">
        <v>0</v>
      </c>
      <c r="H206" s="377">
        <v>30</v>
      </c>
      <c r="I206" s="355"/>
      <c r="J206" s="357" t="s">
        <v>906</v>
      </c>
      <c r="K206" s="344"/>
      <c r="L206" s="327" t="s">
        <v>76</v>
      </c>
      <c r="N206" s="327" t="s">
        <v>896</v>
      </c>
    </row>
    <row r="207" spans="1:15" s="345" customFormat="1" ht="15.75" x14ac:dyDescent="0.2">
      <c r="A207" s="355">
        <f t="shared" si="7"/>
        <v>181</v>
      </c>
      <c r="B207" s="355" t="s">
        <v>967</v>
      </c>
      <c r="C207" s="376" t="s">
        <v>996</v>
      </c>
      <c r="D207" s="377" t="s">
        <v>765</v>
      </c>
      <c r="E207" s="351">
        <v>0</v>
      </c>
      <c r="F207" s="351">
        <v>0</v>
      </c>
      <c r="G207" s="351">
        <v>0</v>
      </c>
      <c r="H207" s="377">
        <v>35</v>
      </c>
      <c r="I207" s="355"/>
      <c r="J207" s="357" t="s">
        <v>906</v>
      </c>
      <c r="K207" s="344"/>
      <c r="L207" s="327" t="s">
        <v>76</v>
      </c>
      <c r="N207" s="327" t="s">
        <v>896</v>
      </c>
    </row>
    <row r="208" spans="1:15" s="345" customFormat="1" ht="15.75" x14ac:dyDescent="0.2">
      <c r="A208" s="355">
        <f t="shared" si="7"/>
        <v>182</v>
      </c>
      <c r="B208" s="355" t="s">
        <v>968</v>
      </c>
      <c r="C208" s="376" t="s">
        <v>997</v>
      </c>
      <c r="D208" s="377" t="s">
        <v>1019</v>
      </c>
      <c r="E208" s="351">
        <v>0</v>
      </c>
      <c r="F208" s="351">
        <v>0</v>
      </c>
      <c r="G208" s="351">
        <v>0</v>
      </c>
      <c r="H208" s="377">
        <v>30</v>
      </c>
      <c r="I208" s="355"/>
      <c r="J208" s="357" t="s">
        <v>906</v>
      </c>
      <c r="K208" s="344"/>
      <c r="L208" s="327" t="s">
        <v>76</v>
      </c>
      <c r="N208" s="261" t="s">
        <v>896</v>
      </c>
    </row>
    <row r="209" spans="1:14" s="345" customFormat="1" ht="15.75" x14ac:dyDescent="0.2">
      <c r="A209" s="355">
        <f t="shared" si="7"/>
        <v>183</v>
      </c>
      <c r="B209" s="355" t="s">
        <v>969</v>
      </c>
      <c r="C209" s="376" t="s">
        <v>998</v>
      </c>
      <c r="D209" s="377" t="s">
        <v>1021</v>
      </c>
      <c r="E209" s="351">
        <v>0</v>
      </c>
      <c r="F209" s="351">
        <v>0</v>
      </c>
      <c r="G209" s="351">
        <v>0</v>
      </c>
      <c r="H209" s="377">
        <v>60</v>
      </c>
      <c r="I209" s="355"/>
      <c r="J209" s="357" t="s">
        <v>906</v>
      </c>
      <c r="K209" s="344"/>
      <c r="L209" s="327" t="s">
        <v>76</v>
      </c>
      <c r="N209" s="327" t="s">
        <v>896</v>
      </c>
    </row>
    <row r="210" spans="1:14" s="345" customFormat="1" ht="15.75" x14ac:dyDescent="0.2">
      <c r="A210" s="355">
        <f t="shared" si="7"/>
        <v>184</v>
      </c>
      <c r="B210" s="355" t="s">
        <v>970</v>
      </c>
      <c r="C210" s="376" t="s">
        <v>999</v>
      </c>
      <c r="D210" s="377" t="s">
        <v>51</v>
      </c>
      <c r="E210" s="351">
        <v>0</v>
      </c>
      <c r="F210" s="351">
        <v>0</v>
      </c>
      <c r="G210" s="351">
        <v>0</v>
      </c>
      <c r="H210" s="377">
        <v>300</v>
      </c>
      <c r="I210" s="355"/>
      <c r="J210" s="357" t="s">
        <v>906</v>
      </c>
      <c r="K210" s="344"/>
      <c r="L210" s="327" t="s">
        <v>76</v>
      </c>
      <c r="N210" s="327" t="s">
        <v>896</v>
      </c>
    </row>
    <row r="211" spans="1:14" s="345" customFormat="1" ht="15.75" x14ac:dyDescent="0.2">
      <c r="A211" s="355">
        <f t="shared" si="7"/>
        <v>185</v>
      </c>
      <c r="B211" s="355"/>
      <c r="C211" s="376" t="s">
        <v>1000</v>
      </c>
      <c r="D211" s="377" t="s">
        <v>51</v>
      </c>
      <c r="E211" s="351">
        <v>0</v>
      </c>
      <c r="F211" s="351">
        <v>0</v>
      </c>
      <c r="G211" s="351">
        <v>0</v>
      </c>
      <c r="H211" s="377">
        <v>200</v>
      </c>
      <c r="I211" s="355"/>
      <c r="J211" s="357" t="s">
        <v>906</v>
      </c>
      <c r="K211" s="344"/>
      <c r="L211" s="327" t="s">
        <v>76</v>
      </c>
      <c r="N211" s="327" t="s">
        <v>896</v>
      </c>
    </row>
    <row r="212" spans="1:14" s="345" customFormat="1" ht="15.75" x14ac:dyDescent="0.2">
      <c r="A212" s="355">
        <f t="shared" si="7"/>
        <v>186</v>
      </c>
      <c r="B212" s="355" t="s">
        <v>971</v>
      </c>
      <c r="C212" s="376" t="s">
        <v>1001</v>
      </c>
      <c r="D212" s="377" t="s">
        <v>51</v>
      </c>
      <c r="E212" s="351">
        <v>0</v>
      </c>
      <c r="F212" s="351">
        <v>0</v>
      </c>
      <c r="G212" s="351">
        <v>0</v>
      </c>
      <c r="H212" s="377">
        <v>60</v>
      </c>
      <c r="I212" s="355"/>
      <c r="J212" s="357" t="s">
        <v>906</v>
      </c>
      <c r="K212" s="344"/>
      <c r="L212" s="327" t="s">
        <v>76</v>
      </c>
      <c r="N212" s="261" t="s">
        <v>896</v>
      </c>
    </row>
    <row r="213" spans="1:14" s="345" customFormat="1" ht="15.75" x14ac:dyDescent="0.2">
      <c r="A213" s="355">
        <f t="shared" si="7"/>
        <v>187</v>
      </c>
      <c r="B213" s="355"/>
      <c r="C213" s="376" t="s">
        <v>1002</v>
      </c>
      <c r="D213" s="377" t="s">
        <v>51</v>
      </c>
      <c r="E213" s="351">
        <v>0</v>
      </c>
      <c r="F213" s="351">
        <v>0</v>
      </c>
      <c r="G213" s="351">
        <v>0</v>
      </c>
      <c r="H213" s="377">
        <v>100</v>
      </c>
      <c r="I213" s="355"/>
      <c r="J213" s="357" t="s">
        <v>906</v>
      </c>
      <c r="K213" s="344"/>
      <c r="L213" s="327" t="s">
        <v>76</v>
      </c>
      <c r="N213" s="327" t="s">
        <v>896</v>
      </c>
    </row>
    <row r="214" spans="1:14" s="345" customFormat="1" ht="15.75" x14ac:dyDescent="0.2">
      <c r="A214" s="355">
        <f t="shared" si="7"/>
        <v>188</v>
      </c>
      <c r="B214" s="355"/>
      <c r="C214" s="376" t="s">
        <v>1003</v>
      </c>
      <c r="D214" s="377" t="s">
        <v>428</v>
      </c>
      <c r="E214" s="351">
        <v>0</v>
      </c>
      <c r="F214" s="351">
        <v>0</v>
      </c>
      <c r="G214" s="351">
        <v>0</v>
      </c>
      <c r="H214" s="377">
        <v>200</v>
      </c>
      <c r="I214" s="355"/>
      <c r="J214" s="357" t="s">
        <v>906</v>
      </c>
      <c r="K214" s="344"/>
      <c r="L214" s="327" t="s">
        <v>76</v>
      </c>
      <c r="N214" s="327" t="s">
        <v>896</v>
      </c>
    </row>
    <row r="215" spans="1:14" s="345" customFormat="1" ht="15.75" x14ac:dyDescent="0.2">
      <c r="A215" s="355">
        <f t="shared" si="7"/>
        <v>189</v>
      </c>
      <c r="B215" s="355" t="s">
        <v>972</v>
      </c>
      <c r="C215" s="376" t="s">
        <v>1004</v>
      </c>
      <c r="D215" s="377" t="s">
        <v>0</v>
      </c>
      <c r="E215" s="351">
        <v>0</v>
      </c>
      <c r="F215" s="351">
        <v>0</v>
      </c>
      <c r="G215" s="351">
        <v>0</v>
      </c>
      <c r="H215" s="377">
        <v>10</v>
      </c>
      <c r="I215" s="355"/>
      <c r="J215" s="357" t="s">
        <v>906</v>
      </c>
      <c r="K215" s="344"/>
      <c r="L215" s="327" t="s">
        <v>76</v>
      </c>
      <c r="N215" s="327" t="s">
        <v>896</v>
      </c>
    </row>
    <row r="216" spans="1:14" s="345" customFormat="1" ht="15.75" x14ac:dyDescent="0.2">
      <c r="A216" s="355">
        <f t="shared" si="7"/>
        <v>190</v>
      </c>
      <c r="B216" s="355" t="s">
        <v>973</v>
      </c>
      <c r="C216" s="376" t="s">
        <v>1005</v>
      </c>
      <c r="D216" s="377" t="s">
        <v>551</v>
      </c>
      <c r="E216" s="351">
        <v>0</v>
      </c>
      <c r="F216" s="351">
        <v>0</v>
      </c>
      <c r="G216" s="351">
        <v>0</v>
      </c>
      <c r="H216" s="377">
        <v>200</v>
      </c>
      <c r="I216" s="355"/>
      <c r="J216" s="357" t="s">
        <v>906</v>
      </c>
      <c r="K216" s="344"/>
      <c r="L216" s="327" t="s">
        <v>76</v>
      </c>
      <c r="N216" s="261" t="s">
        <v>896</v>
      </c>
    </row>
    <row r="217" spans="1:14" s="345" customFormat="1" ht="15.75" x14ac:dyDescent="0.2">
      <c r="A217" s="355">
        <f t="shared" si="7"/>
        <v>191</v>
      </c>
      <c r="B217" s="355" t="s">
        <v>555</v>
      </c>
      <c r="C217" s="376" t="s">
        <v>556</v>
      </c>
      <c r="D217" s="377" t="s">
        <v>551</v>
      </c>
      <c r="E217" s="351">
        <v>0</v>
      </c>
      <c r="F217" s="351">
        <v>0</v>
      </c>
      <c r="G217" s="351">
        <v>0</v>
      </c>
      <c r="H217" s="377">
        <v>200</v>
      </c>
      <c r="I217" s="355"/>
      <c r="J217" s="357" t="s">
        <v>906</v>
      </c>
      <c r="K217" s="344"/>
      <c r="L217" s="327" t="s">
        <v>76</v>
      </c>
      <c r="N217" s="327" t="s">
        <v>896</v>
      </c>
    </row>
    <row r="218" spans="1:14" s="345" customFormat="1" ht="15.75" x14ac:dyDescent="0.2">
      <c r="A218" s="355">
        <f t="shared" si="7"/>
        <v>192</v>
      </c>
      <c r="B218" s="355" t="s">
        <v>974</v>
      </c>
      <c r="C218" s="376" t="s">
        <v>1006</v>
      </c>
      <c r="D218" s="377" t="s">
        <v>551</v>
      </c>
      <c r="E218" s="351">
        <v>0</v>
      </c>
      <c r="F218" s="351">
        <v>0</v>
      </c>
      <c r="G218" s="351">
        <v>0</v>
      </c>
      <c r="H218" s="377">
        <v>200</v>
      </c>
      <c r="I218" s="355"/>
      <c r="J218" s="357" t="s">
        <v>906</v>
      </c>
      <c r="K218" s="344"/>
      <c r="L218" s="327" t="s">
        <v>76</v>
      </c>
      <c r="N218" s="327" t="s">
        <v>896</v>
      </c>
    </row>
    <row r="219" spans="1:14" s="345" customFormat="1" ht="15.75" x14ac:dyDescent="0.2">
      <c r="A219" s="355">
        <f t="shared" si="7"/>
        <v>193</v>
      </c>
      <c r="B219" s="355" t="s">
        <v>975</v>
      </c>
      <c r="C219" s="376" t="s">
        <v>1007</v>
      </c>
      <c r="D219" s="377" t="s">
        <v>551</v>
      </c>
      <c r="E219" s="351">
        <v>0</v>
      </c>
      <c r="F219" s="351">
        <v>0</v>
      </c>
      <c r="G219" s="351">
        <v>0</v>
      </c>
      <c r="H219" s="377">
        <v>200</v>
      </c>
      <c r="I219" s="355"/>
      <c r="J219" s="357" t="s">
        <v>906</v>
      </c>
      <c r="K219" s="344"/>
      <c r="L219" s="327" t="s">
        <v>76</v>
      </c>
      <c r="N219" s="327" t="s">
        <v>896</v>
      </c>
    </row>
    <row r="220" spans="1:14" s="345" customFormat="1" ht="15.75" x14ac:dyDescent="0.2">
      <c r="A220" s="355">
        <f t="shared" si="7"/>
        <v>194</v>
      </c>
      <c r="B220" s="355" t="s">
        <v>976</v>
      </c>
      <c r="C220" s="376" t="s">
        <v>1008</v>
      </c>
      <c r="D220" s="377" t="s">
        <v>551</v>
      </c>
      <c r="E220" s="351">
        <v>0</v>
      </c>
      <c r="F220" s="351">
        <v>0</v>
      </c>
      <c r="G220" s="351">
        <v>0</v>
      </c>
      <c r="H220" s="377">
        <v>200</v>
      </c>
      <c r="I220" s="355"/>
      <c r="J220" s="357" t="s">
        <v>906</v>
      </c>
      <c r="K220" s="344"/>
      <c r="L220" s="327" t="s">
        <v>76</v>
      </c>
      <c r="N220" s="261" t="s">
        <v>896</v>
      </c>
    </row>
    <row r="221" spans="1:14" s="345" customFormat="1" ht="15.75" x14ac:dyDescent="0.2">
      <c r="A221" s="355">
        <f t="shared" si="7"/>
        <v>195</v>
      </c>
      <c r="B221" s="355" t="s">
        <v>977</v>
      </c>
      <c r="C221" s="376" t="s">
        <v>1009</v>
      </c>
      <c r="D221" s="377" t="s">
        <v>551</v>
      </c>
      <c r="E221" s="351">
        <v>0</v>
      </c>
      <c r="F221" s="351">
        <v>0</v>
      </c>
      <c r="G221" s="351">
        <v>0</v>
      </c>
      <c r="H221" s="377">
        <v>200</v>
      </c>
      <c r="I221" s="355"/>
      <c r="J221" s="357" t="s">
        <v>906</v>
      </c>
      <c r="K221" s="344"/>
      <c r="L221" s="327" t="s">
        <v>76</v>
      </c>
      <c r="N221" s="327" t="s">
        <v>896</v>
      </c>
    </row>
    <row r="222" spans="1:14" s="345" customFormat="1" ht="15.75" x14ac:dyDescent="0.2">
      <c r="A222" s="355">
        <f t="shared" si="7"/>
        <v>196</v>
      </c>
      <c r="B222" s="355" t="s">
        <v>978</v>
      </c>
      <c r="C222" s="376" t="s">
        <v>1010</v>
      </c>
      <c r="D222" s="377" t="s">
        <v>551</v>
      </c>
      <c r="E222" s="351">
        <v>0</v>
      </c>
      <c r="F222" s="351">
        <v>0</v>
      </c>
      <c r="G222" s="351">
        <v>0</v>
      </c>
      <c r="H222" s="377">
        <v>200</v>
      </c>
      <c r="I222" s="355"/>
      <c r="J222" s="357" t="s">
        <v>906</v>
      </c>
      <c r="K222" s="344"/>
      <c r="L222" s="327" t="s">
        <v>76</v>
      </c>
      <c r="N222" s="327" t="s">
        <v>896</v>
      </c>
    </row>
    <row r="223" spans="1:14" s="345" customFormat="1" ht="15.75" x14ac:dyDescent="0.2">
      <c r="A223" s="355">
        <f t="shared" si="7"/>
        <v>197</v>
      </c>
      <c r="B223" s="355" t="s">
        <v>979</v>
      </c>
      <c r="C223" s="376" t="s">
        <v>1011</v>
      </c>
      <c r="D223" s="377" t="s">
        <v>390</v>
      </c>
      <c r="E223" s="351">
        <v>0</v>
      </c>
      <c r="F223" s="351">
        <v>0</v>
      </c>
      <c r="G223" s="351">
        <v>0</v>
      </c>
      <c r="H223" s="377">
        <v>15000</v>
      </c>
      <c r="I223" s="355"/>
      <c r="J223" s="357" t="s">
        <v>906</v>
      </c>
      <c r="K223" s="344"/>
      <c r="L223" s="327" t="s">
        <v>76</v>
      </c>
      <c r="N223" s="327" t="s">
        <v>896</v>
      </c>
    </row>
    <row r="224" spans="1:14" s="345" customFormat="1" ht="15.75" x14ac:dyDescent="0.2">
      <c r="A224" s="355">
        <f t="shared" si="7"/>
        <v>198</v>
      </c>
      <c r="B224" s="355" t="s">
        <v>980</v>
      </c>
      <c r="C224" s="376" t="s">
        <v>553</v>
      </c>
      <c r="D224" s="377" t="s">
        <v>0</v>
      </c>
      <c r="E224" s="351">
        <v>0</v>
      </c>
      <c r="F224" s="351">
        <v>0</v>
      </c>
      <c r="G224" s="351">
        <v>0</v>
      </c>
      <c r="H224" s="377">
        <v>50</v>
      </c>
      <c r="I224" s="355"/>
      <c r="J224" s="357" t="s">
        <v>906</v>
      </c>
      <c r="K224" s="344"/>
      <c r="L224" s="327" t="s">
        <v>76</v>
      </c>
      <c r="N224" s="261" t="s">
        <v>896</v>
      </c>
    </row>
    <row r="225" spans="1:14" s="345" customFormat="1" ht="15.75" x14ac:dyDescent="0.2">
      <c r="A225" s="355">
        <f t="shared" si="7"/>
        <v>199</v>
      </c>
      <c r="B225" s="355" t="s">
        <v>981</v>
      </c>
      <c r="C225" s="376" t="s">
        <v>1012</v>
      </c>
      <c r="D225" s="377" t="s">
        <v>428</v>
      </c>
      <c r="E225" s="351">
        <v>0</v>
      </c>
      <c r="F225" s="351">
        <v>0</v>
      </c>
      <c r="G225" s="351">
        <v>0</v>
      </c>
      <c r="H225" s="377">
        <v>600</v>
      </c>
      <c r="I225" s="355"/>
      <c r="J225" s="357" t="s">
        <v>906</v>
      </c>
      <c r="K225" s="344"/>
      <c r="L225" s="327" t="s">
        <v>76</v>
      </c>
      <c r="N225" s="327" t="s">
        <v>896</v>
      </c>
    </row>
    <row r="226" spans="1:14" s="345" customFormat="1" ht="15.75" x14ac:dyDescent="0.2">
      <c r="A226" s="355">
        <f t="shared" si="7"/>
        <v>200</v>
      </c>
      <c r="B226" s="355" t="s">
        <v>982</v>
      </c>
      <c r="C226" s="376" t="s">
        <v>1013</v>
      </c>
      <c r="D226" s="377" t="s">
        <v>428</v>
      </c>
      <c r="E226" s="351">
        <v>0</v>
      </c>
      <c r="F226" s="351">
        <v>0</v>
      </c>
      <c r="G226" s="351">
        <v>0</v>
      </c>
      <c r="H226" s="377">
        <v>600</v>
      </c>
      <c r="I226" s="355"/>
      <c r="J226" s="357" t="s">
        <v>906</v>
      </c>
      <c r="K226" s="344"/>
      <c r="L226" s="327" t="s">
        <v>76</v>
      </c>
      <c r="N226" s="327" t="s">
        <v>896</v>
      </c>
    </row>
    <row r="227" spans="1:14" s="345" customFormat="1" ht="15.75" x14ac:dyDescent="0.2">
      <c r="A227" s="355">
        <f t="shared" si="7"/>
        <v>201</v>
      </c>
      <c r="B227" s="355"/>
      <c r="C227" s="376" t="s">
        <v>1014</v>
      </c>
      <c r="D227" s="377" t="s">
        <v>74</v>
      </c>
      <c r="E227" s="351">
        <v>0</v>
      </c>
      <c r="F227" s="351">
        <v>0</v>
      </c>
      <c r="G227" s="351">
        <v>0</v>
      </c>
      <c r="H227" s="377">
        <v>200</v>
      </c>
      <c r="I227" s="355"/>
      <c r="J227" s="357" t="s">
        <v>906</v>
      </c>
      <c r="K227" s="344"/>
      <c r="L227" s="327" t="s">
        <v>76</v>
      </c>
      <c r="N227" s="327" t="s">
        <v>896</v>
      </c>
    </row>
    <row r="228" spans="1:14" s="345" customFormat="1" ht="15.75" x14ac:dyDescent="0.2">
      <c r="A228" s="355">
        <f t="shared" si="7"/>
        <v>202</v>
      </c>
      <c r="B228" s="355" t="s">
        <v>147</v>
      </c>
      <c r="C228" s="376" t="s">
        <v>148</v>
      </c>
      <c r="D228" s="377" t="s">
        <v>66</v>
      </c>
      <c r="E228" s="351">
        <v>0</v>
      </c>
      <c r="F228" s="351">
        <v>0</v>
      </c>
      <c r="G228" s="351">
        <v>0</v>
      </c>
      <c r="H228" s="377">
        <v>600</v>
      </c>
      <c r="I228" s="355"/>
      <c r="J228" s="357" t="s">
        <v>906</v>
      </c>
      <c r="K228" s="344"/>
      <c r="L228" s="327" t="s">
        <v>76</v>
      </c>
      <c r="N228" s="261" t="s">
        <v>896</v>
      </c>
    </row>
    <row r="229" spans="1:14" s="345" customFormat="1" ht="15.75" x14ac:dyDescent="0.2">
      <c r="A229" s="355">
        <f t="shared" si="7"/>
        <v>203</v>
      </c>
      <c r="B229" s="355" t="s">
        <v>983</v>
      </c>
      <c r="C229" s="376" t="s">
        <v>1015</v>
      </c>
      <c r="D229" s="377" t="s">
        <v>66</v>
      </c>
      <c r="E229" s="351">
        <v>0</v>
      </c>
      <c r="F229" s="351">
        <v>0</v>
      </c>
      <c r="G229" s="351">
        <v>0</v>
      </c>
      <c r="H229" s="377">
        <v>60</v>
      </c>
      <c r="I229" s="355"/>
      <c r="J229" s="357" t="s">
        <v>906</v>
      </c>
      <c r="K229" s="344"/>
      <c r="L229" s="327" t="s">
        <v>76</v>
      </c>
      <c r="N229" s="327" t="s">
        <v>896</v>
      </c>
    </row>
    <row r="230" spans="1:14" s="345" customFormat="1" ht="25.5" x14ac:dyDescent="0.2">
      <c r="A230" s="355">
        <f t="shared" si="7"/>
        <v>204</v>
      </c>
      <c r="B230" s="355" t="s">
        <v>984</v>
      </c>
      <c r="C230" s="376" t="s">
        <v>1016</v>
      </c>
      <c r="D230" s="377" t="s">
        <v>66</v>
      </c>
      <c r="E230" s="351">
        <v>0</v>
      </c>
      <c r="F230" s="351">
        <v>0</v>
      </c>
      <c r="G230" s="351">
        <v>0</v>
      </c>
      <c r="H230" s="377">
        <v>60</v>
      </c>
      <c r="I230" s="355"/>
      <c r="J230" s="357" t="s">
        <v>906</v>
      </c>
      <c r="K230" s="344"/>
      <c r="L230" s="327" t="s">
        <v>76</v>
      </c>
      <c r="N230" s="327" t="s">
        <v>896</v>
      </c>
    </row>
    <row r="231" spans="1:14" s="345" customFormat="1" ht="15.75" x14ac:dyDescent="0.2">
      <c r="A231" s="355">
        <f t="shared" si="7"/>
        <v>205</v>
      </c>
      <c r="B231" s="355" t="s">
        <v>985</v>
      </c>
      <c r="C231" s="376" t="s">
        <v>1017</v>
      </c>
      <c r="D231" s="377" t="s">
        <v>66</v>
      </c>
      <c r="E231" s="351">
        <v>0</v>
      </c>
      <c r="F231" s="351">
        <v>0</v>
      </c>
      <c r="G231" s="351">
        <v>0</v>
      </c>
      <c r="H231" s="377">
        <v>60</v>
      </c>
      <c r="I231" s="355"/>
      <c r="J231" s="357" t="s">
        <v>906</v>
      </c>
      <c r="K231" s="344"/>
      <c r="L231" s="327" t="s">
        <v>76</v>
      </c>
      <c r="N231" s="327" t="s">
        <v>896</v>
      </c>
    </row>
    <row r="232" spans="1:14" x14ac:dyDescent="0.25">
      <c r="A232" s="355">
        <f t="shared" si="7"/>
        <v>206</v>
      </c>
      <c r="B232" s="355" t="s">
        <v>1231</v>
      </c>
      <c r="C232" s="357" t="s">
        <v>1232</v>
      </c>
      <c r="D232" s="355" t="s">
        <v>1203</v>
      </c>
      <c r="E232" s="375">
        <v>100</v>
      </c>
      <c r="F232" s="355"/>
      <c r="G232" s="355"/>
      <c r="H232" s="375">
        <v>100</v>
      </c>
      <c r="I232" s="355"/>
      <c r="J232" s="357" t="s">
        <v>906</v>
      </c>
      <c r="K232" s="344"/>
      <c r="L232" s="327" t="s">
        <v>76</v>
      </c>
    </row>
    <row r="233" spans="1:14" x14ac:dyDescent="0.25">
      <c r="A233" s="355">
        <f t="shared" si="7"/>
        <v>207</v>
      </c>
      <c r="B233" s="355" t="s">
        <v>1233</v>
      </c>
      <c r="C233" s="357" t="s">
        <v>1234</v>
      </c>
      <c r="D233" s="355" t="s">
        <v>0</v>
      </c>
      <c r="E233" s="375">
        <v>15</v>
      </c>
      <c r="F233" s="355"/>
      <c r="G233" s="355"/>
      <c r="H233" s="375">
        <v>15</v>
      </c>
      <c r="I233" s="355"/>
      <c r="J233" s="357" t="s">
        <v>906</v>
      </c>
      <c r="K233" s="344"/>
      <c r="L233" s="327" t="s">
        <v>76</v>
      </c>
    </row>
    <row r="234" spans="1:14" ht="38.25" x14ac:dyDescent="0.25">
      <c r="A234" s="355">
        <f t="shared" si="7"/>
        <v>208</v>
      </c>
      <c r="B234" s="355" t="s">
        <v>1235</v>
      </c>
      <c r="C234" s="357" t="s">
        <v>1236</v>
      </c>
      <c r="D234" s="355" t="s">
        <v>428</v>
      </c>
      <c r="E234" s="375">
        <v>30</v>
      </c>
      <c r="F234" s="355"/>
      <c r="G234" s="355"/>
      <c r="H234" s="375">
        <v>30</v>
      </c>
      <c r="I234" s="355"/>
      <c r="J234" s="357" t="s">
        <v>906</v>
      </c>
      <c r="K234" s="344"/>
      <c r="L234" s="327" t="s">
        <v>76</v>
      </c>
    </row>
    <row r="1046242" spans="3:11" s="232" customFormat="1" ht="26.25" customHeight="1" x14ac:dyDescent="0.25">
      <c r="C1046242" s="126"/>
      <c r="H1046242" s="346"/>
      <c r="J1046242" s="347"/>
      <c r="K1046242" s="311"/>
    </row>
  </sheetData>
  <autoFilter ref="A21:AF231" xr:uid="{00000000-0009-0000-0000-000005000000}"/>
  <mergeCells count="9">
    <mergeCell ref="K168:K170"/>
    <mergeCell ref="K171:K173"/>
    <mergeCell ref="K175:K176"/>
    <mergeCell ref="A10:B10"/>
    <mergeCell ref="A11:B11"/>
    <mergeCell ref="A12:B12"/>
    <mergeCell ref="H12:I12"/>
    <mergeCell ref="B14:J14"/>
    <mergeCell ref="B15:J15"/>
  </mergeCells>
  <printOptions horizontalCentered="1"/>
  <pageMargins left="0" right="0" top="0.25" bottom="0.25" header="0.3" footer="0.3"/>
  <pageSetup scale="5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046235"/>
  <sheetViews>
    <sheetView tabSelected="1" topLeftCell="A38" zoomScale="80" zoomScaleNormal="80" workbookViewId="0">
      <selection activeCell="H34" sqref="H34"/>
    </sheetView>
  </sheetViews>
  <sheetFormatPr defaultColWidth="9.140625" defaultRowHeight="16.5" x14ac:dyDescent="0.25"/>
  <cols>
    <col min="1" max="1" width="7.85546875" style="5" customWidth="1"/>
    <col min="2" max="2" width="23.42578125" style="5" customWidth="1"/>
    <col min="3" max="3" width="28.85546875" style="49" customWidth="1"/>
    <col min="4" max="4" width="10.42578125" style="5" customWidth="1"/>
    <col min="5" max="5" width="16.5703125" style="5" bestFit="1" customWidth="1"/>
    <col min="6" max="7" width="11.7109375" style="5" customWidth="1"/>
    <col min="8" max="8" width="9.85546875" style="237" customWidth="1"/>
    <col min="9" max="9" width="14.28515625" style="5" bestFit="1" customWidth="1"/>
    <col min="10" max="10" width="61.28515625" style="49" customWidth="1"/>
    <col min="11" max="11" width="22.42578125" style="94" bestFit="1" customWidth="1"/>
    <col min="12" max="12" width="21" style="8" bestFit="1" customWidth="1"/>
    <col min="13" max="13" width="3.85546875" style="8" bestFit="1" customWidth="1"/>
    <col min="14" max="24" width="5.5703125" style="8" customWidth="1"/>
    <col min="25" max="16384" width="9.140625" style="8"/>
  </cols>
  <sheetData>
    <row r="1" spans="1:20" ht="28.5" hidden="1" customHeight="1" x14ac:dyDescent="0.25">
      <c r="A1" s="5" t="s">
        <v>8</v>
      </c>
      <c r="C1" s="87"/>
      <c r="D1" s="88"/>
      <c r="E1" s="88"/>
      <c r="F1" s="88"/>
      <c r="G1" s="88"/>
      <c r="H1" s="88"/>
      <c r="I1" s="88"/>
      <c r="J1" s="87"/>
      <c r="K1" s="91"/>
      <c r="L1" s="92"/>
      <c r="M1" s="92"/>
      <c r="N1" s="92"/>
      <c r="O1" s="92"/>
      <c r="P1" s="92"/>
      <c r="Q1" s="92"/>
      <c r="R1" s="92"/>
      <c r="S1" s="92"/>
      <c r="T1" s="92"/>
    </row>
    <row r="2" spans="1:20" ht="28.5" hidden="1" customHeight="1" x14ac:dyDescent="0.25">
      <c r="A2" s="83" t="s">
        <v>9</v>
      </c>
      <c r="B2" s="83"/>
      <c r="C2" s="87"/>
      <c r="D2" s="88"/>
      <c r="E2" s="88"/>
      <c r="F2" s="88"/>
      <c r="G2" s="88"/>
      <c r="H2" s="88"/>
      <c r="I2" s="88"/>
      <c r="J2" s="87"/>
      <c r="K2" s="91"/>
      <c r="L2" s="92"/>
      <c r="M2" s="92"/>
      <c r="N2" s="92"/>
      <c r="O2" s="92"/>
      <c r="P2" s="92"/>
      <c r="Q2" s="92"/>
      <c r="R2" s="92"/>
      <c r="S2" s="92"/>
      <c r="T2" s="92"/>
    </row>
    <row r="3" spans="1:20" ht="19.5" hidden="1" customHeight="1" x14ac:dyDescent="0.25">
      <c r="C3" s="87"/>
      <c r="D3" s="88"/>
      <c r="E3" s="88"/>
      <c r="F3" s="88"/>
      <c r="G3" s="88"/>
      <c r="H3" s="88"/>
      <c r="I3" s="88"/>
      <c r="J3" s="87"/>
      <c r="K3" s="91"/>
      <c r="L3" s="92"/>
      <c r="M3" s="92"/>
      <c r="N3" s="92"/>
      <c r="O3" s="92"/>
      <c r="P3" s="92"/>
      <c r="Q3" s="92"/>
      <c r="R3" s="92"/>
      <c r="S3" s="92"/>
      <c r="T3" s="92"/>
    </row>
    <row r="4" spans="1:20" ht="14.25" hidden="1" customHeight="1" x14ac:dyDescent="0.25">
      <c r="C4" s="87"/>
      <c r="D4" s="88"/>
      <c r="E4" s="88"/>
      <c r="F4" s="88"/>
      <c r="G4" s="88"/>
      <c r="H4" s="88"/>
      <c r="I4" s="88"/>
      <c r="J4" s="87"/>
      <c r="K4" s="91"/>
      <c r="L4" s="92"/>
      <c r="M4" s="92"/>
      <c r="N4" s="92"/>
      <c r="O4" s="92"/>
      <c r="P4" s="92"/>
      <c r="Q4" s="92"/>
      <c r="R4" s="92"/>
      <c r="S4" s="92"/>
      <c r="T4" s="92"/>
    </row>
    <row r="5" spans="1:20" ht="14.25" hidden="1" customHeight="1" x14ac:dyDescent="0.25">
      <c r="B5" s="5" t="s">
        <v>14</v>
      </c>
      <c r="C5" s="87"/>
      <c r="D5" s="88"/>
      <c r="E5" s="88"/>
      <c r="F5" s="88"/>
      <c r="G5" s="88"/>
      <c r="H5" s="88"/>
      <c r="I5" s="88"/>
      <c r="J5" s="87"/>
      <c r="K5" s="91"/>
      <c r="L5" s="92"/>
      <c r="M5" s="92"/>
      <c r="N5" s="92"/>
      <c r="O5" s="92"/>
      <c r="P5" s="92"/>
      <c r="Q5" s="92"/>
      <c r="R5" s="92"/>
      <c r="S5" s="92"/>
      <c r="T5" s="92"/>
    </row>
    <row r="6" spans="1:20" ht="14.25" hidden="1" customHeight="1" x14ac:dyDescent="0.25">
      <c r="B6" s="5" t="s">
        <v>12</v>
      </c>
      <c r="C6" s="87"/>
      <c r="D6" s="88"/>
      <c r="E6" s="88"/>
      <c r="F6" s="88"/>
      <c r="G6" s="88"/>
      <c r="H6" s="88"/>
      <c r="I6" s="88"/>
      <c r="J6" s="87"/>
      <c r="K6" s="91"/>
      <c r="L6" s="92"/>
      <c r="M6" s="92"/>
      <c r="N6" s="92"/>
      <c r="O6" s="92"/>
      <c r="P6" s="92"/>
      <c r="Q6" s="92"/>
      <c r="R6" s="92"/>
      <c r="S6" s="92"/>
      <c r="T6" s="92"/>
    </row>
    <row r="7" spans="1:20" ht="14.25" hidden="1" customHeight="1" x14ac:dyDescent="0.25">
      <c r="B7" s="5" t="s">
        <v>15</v>
      </c>
      <c r="C7" s="87"/>
      <c r="D7" s="88"/>
      <c r="E7" s="88"/>
      <c r="F7" s="88"/>
      <c r="G7" s="88"/>
      <c r="H7" s="88"/>
      <c r="I7" s="88"/>
      <c r="J7" s="87"/>
      <c r="K7" s="91"/>
      <c r="L7" s="92"/>
      <c r="M7" s="92"/>
      <c r="N7" s="92"/>
      <c r="O7" s="92"/>
      <c r="P7" s="92"/>
      <c r="Q7" s="92"/>
      <c r="R7" s="92"/>
      <c r="S7" s="92"/>
      <c r="T7" s="92"/>
    </row>
    <row r="8" spans="1:20" ht="14.25" hidden="1" customHeight="1" x14ac:dyDescent="0.25">
      <c r="B8" s="5" t="s">
        <v>13</v>
      </c>
      <c r="C8" s="87"/>
      <c r="D8" s="88"/>
      <c r="E8" s="88"/>
      <c r="F8" s="88"/>
      <c r="G8" s="88"/>
      <c r="H8" s="88"/>
      <c r="I8" s="88"/>
      <c r="J8" s="87"/>
      <c r="K8" s="91"/>
      <c r="L8" s="92"/>
      <c r="M8" s="92"/>
      <c r="N8" s="92"/>
      <c r="O8" s="92"/>
      <c r="P8" s="92"/>
      <c r="Q8" s="92"/>
      <c r="R8" s="92"/>
      <c r="S8" s="92"/>
      <c r="T8" s="92"/>
    </row>
    <row r="9" spans="1:20" ht="14.25" hidden="1" customHeight="1" x14ac:dyDescent="0.25">
      <c r="C9" s="87"/>
      <c r="D9" s="88"/>
      <c r="E9" s="88"/>
      <c r="F9" s="88"/>
      <c r="G9" s="88"/>
      <c r="H9" s="88"/>
      <c r="I9" s="88"/>
      <c r="J9" s="87"/>
      <c r="K9" s="91"/>
      <c r="L9" s="92"/>
      <c r="M9" s="92"/>
      <c r="N9" s="92"/>
      <c r="O9" s="92"/>
      <c r="P9" s="92"/>
      <c r="Q9" s="92"/>
      <c r="R9" s="92"/>
      <c r="S9" s="92"/>
      <c r="T9" s="92"/>
    </row>
    <row r="10" spans="1:20" ht="45" customHeight="1" x14ac:dyDescent="0.25">
      <c r="A10" s="487" t="s">
        <v>109</v>
      </c>
      <c r="B10" s="487"/>
      <c r="C10" s="87"/>
      <c r="D10" s="88"/>
      <c r="E10" s="88"/>
      <c r="F10" s="88"/>
      <c r="G10" s="88"/>
      <c r="H10" s="88"/>
      <c r="I10" s="88"/>
      <c r="J10" s="93" t="s">
        <v>371</v>
      </c>
      <c r="L10" s="92"/>
      <c r="M10" s="92"/>
      <c r="N10" s="92"/>
      <c r="O10" s="92"/>
      <c r="P10" s="92"/>
      <c r="Q10" s="92"/>
      <c r="R10" s="92"/>
      <c r="S10" s="92"/>
      <c r="T10" s="92"/>
    </row>
    <row r="11" spans="1:20" ht="18.75" x14ac:dyDescent="0.25">
      <c r="A11" s="488" t="s">
        <v>9</v>
      </c>
      <c r="B11" s="488"/>
      <c r="C11" s="95"/>
      <c r="D11" s="96"/>
      <c r="E11" s="96"/>
      <c r="F11" s="96"/>
      <c r="G11" s="96"/>
      <c r="H11" s="96"/>
      <c r="I11" s="96"/>
      <c r="J11" s="229"/>
      <c r="K11" s="99"/>
      <c r="L11" s="95"/>
      <c r="M11" s="95"/>
      <c r="N11" s="95"/>
      <c r="O11" s="95"/>
      <c r="P11" s="95"/>
      <c r="Q11" s="95"/>
      <c r="R11" s="95"/>
      <c r="S11" s="95"/>
      <c r="T11" s="95"/>
    </row>
    <row r="12" spans="1:20" x14ac:dyDescent="0.25">
      <c r="A12" s="486" t="s">
        <v>893</v>
      </c>
      <c r="B12" s="486"/>
      <c r="C12" s="6"/>
      <c r="H12" s="489"/>
      <c r="I12" s="489"/>
      <c r="J12" s="6"/>
    </row>
    <row r="13" spans="1:20" x14ac:dyDescent="0.25">
      <c r="B13" s="8"/>
      <c r="C13" s="6"/>
      <c r="H13" s="5"/>
      <c r="J13" s="6"/>
    </row>
    <row r="14" spans="1:20" s="104" customFormat="1" ht="25.5" x14ac:dyDescent="0.25">
      <c r="A14" s="103"/>
      <c r="B14" s="490" t="s">
        <v>368</v>
      </c>
      <c r="C14" s="490"/>
      <c r="D14" s="490"/>
      <c r="E14" s="490"/>
      <c r="F14" s="490"/>
      <c r="G14" s="490"/>
      <c r="H14" s="490"/>
      <c r="I14" s="490"/>
      <c r="J14" s="490"/>
      <c r="K14" s="91"/>
    </row>
    <row r="15" spans="1:20" x14ac:dyDescent="0.25">
      <c r="B15" s="486" t="s">
        <v>948</v>
      </c>
      <c r="C15" s="486"/>
      <c r="D15" s="486"/>
      <c r="E15" s="486"/>
      <c r="F15" s="486"/>
      <c r="G15" s="486"/>
      <c r="H15" s="486"/>
      <c r="I15" s="486"/>
      <c r="J15" s="486"/>
      <c r="K15" s="105"/>
    </row>
    <row r="16" spans="1:20" x14ac:dyDescent="0.25">
      <c r="B16" s="8"/>
      <c r="C16" s="6"/>
      <c r="H16" s="5"/>
      <c r="J16" s="6"/>
      <c r="K16" s="105"/>
    </row>
    <row r="17" spans="1:24" x14ac:dyDescent="0.25">
      <c r="B17" s="8" t="s">
        <v>220</v>
      </c>
      <c r="C17" s="6"/>
      <c r="H17" s="5"/>
      <c r="J17" s="6" t="s">
        <v>797</v>
      </c>
      <c r="K17" s="105"/>
    </row>
    <row r="18" spans="1:24" x14ac:dyDescent="0.25">
      <c r="B18" s="8" t="s">
        <v>947</v>
      </c>
      <c r="C18" s="6"/>
      <c r="H18" s="5"/>
      <c r="J18" s="6" t="s">
        <v>513</v>
      </c>
      <c r="K18" s="105"/>
    </row>
    <row r="19" spans="1:24" x14ac:dyDescent="0.25">
      <c r="B19" s="8"/>
      <c r="C19" s="6"/>
      <c r="H19" s="5"/>
      <c r="J19" s="6" t="s">
        <v>514</v>
      </c>
      <c r="K19" s="105"/>
    </row>
    <row r="20" spans="1:24" x14ac:dyDescent="0.25">
      <c r="A20" s="106"/>
      <c r="B20" s="107"/>
      <c r="C20" s="108"/>
      <c r="D20" s="106"/>
      <c r="E20" s="106"/>
      <c r="F20" s="106"/>
      <c r="G20" s="106"/>
      <c r="H20" s="106"/>
      <c r="I20" s="106"/>
      <c r="J20" s="108"/>
      <c r="K20" s="111"/>
      <c r="L20" s="107"/>
    </row>
    <row r="21" spans="1:24" s="259" customFormat="1" ht="101.25" customHeight="1" x14ac:dyDescent="0.25">
      <c r="A21" s="270" t="s">
        <v>5</v>
      </c>
      <c r="B21" s="270" t="s">
        <v>10</v>
      </c>
      <c r="C21" s="270" t="s">
        <v>11</v>
      </c>
      <c r="D21" s="270" t="s">
        <v>6</v>
      </c>
      <c r="E21" s="270" t="s">
        <v>373</v>
      </c>
      <c r="F21" s="270" t="s">
        <v>404</v>
      </c>
      <c r="G21" s="270" t="s">
        <v>946</v>
      </c>
      <c r="H21" s="271" t="s">
        <v>406</v>
      </c>
      <c r="I21" s="272" t="s">
        <v>407</v>
      </c>
      <c r="J21" s="270" t="s">
        <v>408</v>
      </c>
      <c r="K21" s="273" t="s">
        <v>35</v>
      </c>
      <c r="L21" s="274" t="s">
        <v>108</v>
      </c>
      <c r="M21" s="260"/>
      <c r="N21" s="260"/>
      <c r="O21" s="260"/>
      <c r="P21" s="260"/>
      <c r="Q21" s="260"/>
      <c r="R21" s="264"/>
      <c r="S21" s="260"/>
      <c r="T21" s="260"/>
      <c r="U21" s="264"/>
    </row>
    <row r="22" spans="1:24" s="260" customFormat="1" ht="33" customHeight="1" x14ac:dyDescent="0.25">
      <c r="A22" s="497" t="s">
        <v>18</v>
      </c>
      <c r="B22" s="498"/>
      <c r="C22" s="499"/>
      <c r="D22" s="265"/>
      <c r="E22" s="265"/>
      <c r="F22" s="265"/>
      <c r="G22" s="265"/>
      <c r="H22" s="265"/>
      <c r="I22" s="265"/>
      <c r="J22" s="265"/>
      <c r="K22" s="275"/>
      <c r="L22" s="274"/>
      <c r="M22" s="260" t="s">
        <v>895</v>
      </c>
      <c r="N22" s="260" t="s">
        <v>896</v>
      </c>
      <c r="O22" s="260" t="s">
        <v>812</v>
      </c>
      <c r="P22" s="260" t="s">
        <v>813</v>
      </c>
      <c r="Q22" s="260" t="s">
        <v>827</v>
      </c>
      <c r="R22" s="260" t="s">
        <v>840</v>
      </c>
      <c r="S22" s="260" t="s">
        <v>897</v>
      </c>
      <c r="T22" s="260" t="s">
        <v>849</v>
      </c>
      <c r="U22" s="260" t="s">
        <v>852</v>
      </c>
      <c r="V22" s="260" t="s">
        <v>854</v>
      </c>
      <c r="W22" s="260" t="s">
        <v>858</v>
      </c>
      <c r="X22" s="260" t="s">
        <v>870</v>
      </c>
    </row>
    <row r="23" spans="1:24" s="261" customFormat="1" ht="15.75" x14ac:dyDescent="0.25">
      <c r="A23" s="265">
        <v>1</v>
      </c>
      <c r="B23" s="265" t="s">
        <v>153</v>
      </c>
      <c r="C23" s="276" t="s">
        <v>54</v>
      </c>
      <c r="D23" s="265" t="s">
        <v>2</v>
      </c>
      <c r="E23" s="272">
        <v>2123.181537552</v>
      </c>
      <c r="F23" s="272">
        <v>1369</v>
      </c>
      <c r="G23" s="272">
        <f>E23-F23</f>
        <v>754.18153755200001</v>
      </c>
      <c r="H23" s="272">
        <v>200</v>
      </c>
      <c r="I23" s="265" t="s">
        <v>905</v>
      </c>
      <c r="J23" s="266" t="s">
        <v>814</v>
      </c>
      <c r="K23" s="277">
        <v>0</v>
      </c>
      <c r="L23" s="265" t="s">
        <v>88</v>
      </c>
      <c r="M23" s="259" t="s">
        <v>895</v>
      </c>
      <c r="N23" s="259" t="s">
        <v>896</v>
      </c>
      <c r="O23" s="259"/>
      <c r="P23" s="259"/>
      <c r="Q23" s="264"/>
      <c r="R23" s="264"/>
      <c r="S23" s="264"/>
      <c r="T23" s="264"/>
      <c r="U23" s="264"/>
      <c r="V23" s="259"/>
      <c r="W23" s="259"/>
      <c r="X23" s="259"/>
    </row>
    <row r="24" spans="1:24" s="262" customFormat="1" ht="15.75" x14ac:dyDescent="0.25">
      <c r="A24" s="265">
        <v>2</v>
      </c>
      <c r="B24" s="276" t="s">
        <v>153</v>
      </c>
      <c r="C24" s="276" t="s">
        <v>54</v>
      </c>
      <c r="D24" s="265" t="s">
        <v>2</v>
      </c>
      <c r="E24" s="272">
        <v>0</v>
      </c>
      <c r="F24" s="272">
        <v>0</v>
      </c>
      <c r="G24" s="272">
        <f t="shared" ref="G24:G47" si="0">E24-F24</f>
        <v>0</v>
      </c>
      <c r="H24" s="272">
        <v>60</v>
      </c>
      <c r="I24" s="265"/>
      <c r="J24" s="266" t="s">
        <v>161</v>
      </c>
      <c r="K24" s="277">
        <v>0</v>
      </c>
      <c r="L24" s="276" t="s">
        <v>140</v>
      </c>
      <c r="M24" s="264" t="s">
        <v>895</v>
      </c>
      <c r="N24" s="259" t="s">
        <v>896</v>
      </c>
      <c r="O24" s="264"/>
      <c r="P24" s="264"/>
      <c r="Q24" s="264"/>
      <c r="R24" s="264"/>
      <c r="S24" s="264"/>
      <c r="T24" s="264"/>
      <c r="U24" s="264"/>
      <c r="V24" s="264"/>
      <c r="W24" s="264"/>
      <c r="X24" s="264"/>
    </row>
    <row r="25" spans="1:24" s="262" customFormat="1" ht="15.75" x14ac:dyDescent="0.25">
      <c r="A25" s="265">
        <v>3</v>
      </c>
      <c r="B25" s="266" t="s">
        <v>141</v>
      </c>
      <c r="C25" s="266" t="s">
        <v>142</v>
      </c>
      <c r="D25" s="265" t="s">
        <v>2</v>
      </c>
      <c r="E25" s="272">
        <v>0</v>
      </c>
      <c r="F25" s="272">
        <v>0</v>
      </c>
      <c r="G25" s="272">
        <f t="shared" si="0"/>
        <v>0</v>
      </c>
      <c r="H25" s="272">
        <v>1040</v>
      </c>
      <c r="I25" s="265"/>
      <c r="J25" s="266" t="s">
        <v>143</v>
      </c>
      <c r="K25" s="278"/>
      <c r="L25" s="276" t="s">
        <v>140</v>
      </c>
      <c r="M25" s="264" t="s">
        <v>895</v>
      </c>
      <c r="N25" s="259" t="s">
        <v>896</v>
      </c>
      <c r="O25" s="264"/>
      <c r="P25" s="264"/>
      <c r="Q25" s="264"/>
      <c r="R25" s="264"/>
      <c r="S25" s="264"/>
      <c r="T25" s="264"/>
      <c r="U25" s="264"/>
      <c r="V25" s="264"/>
      <c r="W25" s="264"/>
      <c r="X25" s="264"/>
    </row>
    <row r="26" spans="1:24" s="262" customFormat="1" ht="15.75" x14ac:dyDescent="0.25">
      <c r="A26" s="265">
        <v>4</v>
      </c>
      <c r="B26" s="266" t="s">
        <v>158</v>
      </c>
      <c r="C26" s="266" t="s">
        <v>159</v>
      </c>
      <c r="D26" s="265" t="s">
        <v>2</v>
      </c>
      <c r="E26" s="272">
        <v>0</v>
      </c>
      <c r="F26" s="272">
        <v>0</v>
      </c>
      <c r="G26" s="272">
        <f t="shared" si="0"/>
        <v>0</v>
      </c>
      <c r="H26" s="272">
        <f>VLOOKUP(B26,'[1]Tháng 7.2025'!$B$23:$H$153,7,0)</f>
        <v>60</v>
      </c>
      <c r="I26" s="265"/>
      <c r="J26" s="266" t="s">
        <v>848</v>
      </c>
      <c r="K26" s="278"/>
      <c r="L26" s="276" t="s">
        <v>140</v>
      </c>
      <c r="M26" s="264" t="s">
        <v>895</v>
      </c>
      <c r="N26" s="259" t="s">
        <v>896</v>
      </c>
      <c r="O26" s="264"/>
      <c r="P26" s="264"/>
      <c r="Q26" s="264"/>
      <c r="R26" s="264"/>
      <c r="S26" s="264"/>
      <c r="T26" s="264"/>
      <c r="U26" s="264"/>
      <c r="V26" s="264"/>
      <c r="W26" s="264"/>
      <c r="X26" s="264"/>
    </row>
    <row r="27" spans="1:24" s="258" customFormat="1" ht="31.5" x14ac:dyDescent="0.25">
      <c r="A27" s="265">
        <v>5</v>
      </c>
      <c r="B27" s="272" t="s">
        <v>515</v>
      </c>
      <c r="C27" s="266" t="s">
        <v>516</v>
      </c>
      <c r="D27" s="265" t="s">
        <v>2</v>
      </c>
      <c r="E27" s="272">
        <v>0</v>
      </c>
      <c r="F27" s="272">
        <v>0</v>
      </c>
      <c r="G27" s="272">
        <f t="shared" si="0"/>
        <v>0</v>
      </c>
      <c r="H27" s="272">
        <v>0</v>
      </c>
      <c r="I27" s="265"/>
      <c r="J27" s="266" t="s">
        <v>517</v>
      </c>
      <c r="K27" s="277"/>
      <c r="L27" s="272" t="s">
        <v>88</v>
      </c>
      <c r="M27" s="279" t="s">
        <v>895</v>
      </c>
      <c r="N27" s="279"/>
      <c r="O27" s="279"/>
      <c r="P27" s="279"/>
      <c r="Q27" s="280"/>
      <c r="R27" s="280"/>
      <c r="S27" s="280"/>
      <c r="T27" s="264"/>
      <c r="U27" s="264"/>
      <c r="V27" s="259"/>
      <c r="W27" s="259"/>
      <c r="X27" s="259"/>
    </row>
    <row r="28" spans="1:24" s="261" customFormat="1" ht="31.5" x14ac:dyDescent="0.25">
      <c r="A28" s="265">
        <v>6</v>
      </c>
      <c r="B28" s="272" t="s">
        <v>850</v>
      </c>
      <c r="C28" s="266" t="s">
        <v>633</v>
      </c>
      <c r="D28" s="265" t="s">
        <v>2</v>
      </c>
      <c r="E28" s="272">
        <v>0</v>
      </c>
      <c r="F28" s="272">
        <v>0</v>
      </c>
      <c r="G28" s="272">
        <f t="shared" si="0"/>
        <v>0</v>
      </c>
      <c r="H28" s="263">
        <v>50</v>
      </c>
      <c r="I28" s="265"/>
      <c r="J28" s="276" t="s">
        <v>851</v>
      </c>
      <c r="K28" s="277"/>
      <c r="L28" s="272" t="s">
        <v>88</v>
      </c>
      <c r="M28" s="279" t="s">
        <v>895</v>
      </c>
      <c r="N28" s="279" t="s">
        <v>896</v>
      </c>
      <c r="O28" s="279"/>
      <c r="P28" s="279"/>
      <c r="Q28" s="280"/>
      <c r="R28" s="280"/>
      <c r="S28" s="280"/>
      <c r="T28" s="264"/>
      <c r="U28" s="264"/>
      <c r="V28" s="259"/>
      <c r="W28" s="259"/>
      <c r="X28" s="259"/>
    </row>
    <row r="29" spans="1:24" s="261" customFormat="1" ht="31.5" x14ac:dyDescent="0.25">
      <c r="A29" s="265">
        <v>7</v>
      </c>
      <c r="B29" s="272" t="s">
        <v>850</v>
      </c>
      <c r="C29" s="266" t="s">
        <v>633</v>
      </c>
      <c r="D29" s="265" t="s">
        <v>2</v>
      </c>
      <c r="E29" s="272">
        <v>0</v>
      </c>
      <c r="F29" s="272">
        <v>0</v>
      </c>
      <c r="G29" s="272">
        <f t="shared" si="0"/>
        <v>0</v>
      </c>
      <c r="H29" s="263">
        <v>209</v>
      </c>
      <c r="I29" s="265"/>
      <c r="J29" s="276" t="s">
        <v>863</v>
      </c>
      <c r="K29" s="277"/>
      <c r="L29" s="272" t="s">
        <v>140</v>
      </c>
      <c r="M29" s="279" t="s">
        <v>895</v>
      </c>
      <c r="N29" s="279" t="s">
        <v>896</v>
      </c>
      <c r="O29" s="279"/>
      <c r="P29" s="279"/>
      <c r="Q29" s="280"/>
      <c r="R29" s="280"/>
      <c r="S29" s="280"/>
      <c r="T29" s="264"/>
      <c r="U29" s="264"/>
      <c r="V29" s="259"/>
      <c r="W29" s="259"/>
      <c r="X29" s="259"/>
    </row>
    <row r="30" spans="1:24" s="261" customFormat="1" ht="31.5" x14ac:dyDescent="0.25">
      <c r="A30" s="265">
        <v>8</v>
      </c>
      <c r="B30" s="272" t="s">
        <v>806</v>
      </c>
      <c r="C30" s="266" t="s">
        <v>807</v>
      </c>
      <c r="D30" s="272" t="s">
        <v>2</v>
      </c>
      <c r="E30" s="272">
        <v>0</v>
      </c>
      <c r="F30" s="272">
        <v>0</v>
      </c>
      <c r="G30" s="272">
        <f t="shared" si="0"/>
        <v>0</v>
      </c>
      <c r="H30" s="272">
        <f>VLOOKUP(B30,'[1]Tháng 7.2025'!$B$23:$H$153,7,0)</f>
        <v>208</v>
      </c>
      <c r="I30" s="265"/>
      <c r="J30" s="266" t="s">
        <v>833</v>
      </c>
      <c r="K30" s="278">
        <v>1076</v>
      </c>
      <c r="L30" s="265" t="s">
        <v>88</v>
      </c>
      <c r="M30" s="259" t="s">
        <v>895</v>
      </c>
      <c r="N30" s="259" t="s">
        <v>896</v>
      </c>
      <c r="O30" s="259"/>
      <c r="P30" s="259"/>
      <c r="Q30" s="264"/>
      <c r="R30" s="264"/>
      <c r="S30" s="264"/>
      <c r="T30" s="264"/>
      <c r="U30" s="264"/>
      <c r="V30" s="259"/>
      <c r="W30" s="259"/>
      <c r="X30" s="259"/>
    </row>
    <row r="31" spans="1:24" s="261" customFormat="1" ht="31.5" x14ac:dyDescent="0.25">
      <c r="A31" s="265">
        <v>9</v>
      </c>
      <c r="B31" s="272" t="s">
        <v>3</v>
      </c>
      <c r="C31" s="266" t="s">
        <v>4</v>
      </c>
      <c r="D31" s="265" t="s">
        <v>2</v>
      </c>
      <c r="E31" s="272">
        <v>0</v>
      </c>
      <c r="F31" s="272">
        <v>0</v>
      </c>
      <c r="G31" s="272">
        <f t="shared" si="0"/>
        <v>0</v>
      </c>
      <c r="H31" s="272">
        <v>400</v>
      </c>
      <c r="I31" s="265"/>
      <c r="J31" s="266" t="s">
        <v>823</v>
      </c>
      <c r="K31" s="278" t="s">
        <v>843</v>
      </c>
      <c r="L31" s="265" t="s">
        <v>88</v>
      </c>
      <c r="M31" s="259" t="s">
        <v>895</v>
      </c>
      <c r="N31" s="259" t="s">
        <v>896</v>
      </c>
      <c r="O31" s="259"/>
      <c r="P31" s="259"/>
      <c r="Q31" s="264"/>
      <c r="R31" s="264"/>
      <c r="S31" s="264"/>
      <c r="T31" s="264"/>
      <c r="U31" s="264"/>
      <c r="V31" s="259"/>
      <c r="W31" s="259"/>
      <c r="X31" s="259"/>
    </row>
    <row r="32" spans="1:24" s="261" customFormat="1" ht="47.25" x14ac:dyDescent="0.25">
      <c r="A32" s="265">
        <v>10</v>
      </c>
      <c r="B32" s="272" t="s">
        <v>85</v>
      </c>
      <c r="C32" s="266" t="s">
        <v>86</v>
      </c>
      <c r="D32" s="265" t="s">
        <v>2</v>
      </c>
      <c r="E32" s="272">
        <v>0</v>
      </c>
      <c r="F32" s="272">
        <v>0</v>
      </c>
      <c r="G32" s="272">
        <f t="shared" si="0"/>
        <v>0</v>
      </c>
      <c r="H32" s="272">
        <v>200</v>
      </c>
      <c r="I32" s="265"/>
      <c r="J32" s="266" t="s">
        <v>219</v>
      </c>
      <c r="K32" s="278">
        <v>6843</v>
      </c>
      <c r="L32" s="265" t="s">
        <v>88</v>
      </c>
      <c r="M32" s="259" t="s">
        <v>895</v>
      </c>
      <c r="N32" s="259" t="s">
        <v>896</v>
      </c>
      <c r="O32" s="259"/>
      <c r="P32" s="259"/>
      <c r="Q32" s="264"/>
      <c r="R32" s="264"/>
      <c r="S32" s="264"/>
      <c r="T32" s="264"/>
      <c r="U32" s="264"/>
      <c r="V32" s="259"/>
      <c r="W32" s="259"/>
      <c r="X32" s="259"/>
    </row>
    <row r="33" spans="1:24" s="261" customFormat="1" ht="31.5" x14ac:dyDescent="0.25">
      <c r="A33" s="265">
        <v>11</v>
      </c>
      <c r="B33" s="272" t="s">
        <v>1064</v>
      </c>
      <c r="C33" s="266" t="s">
        <v>1065</v>
      </c>
      <c r="D33" s="265" t="s">
        <v>2</v>
      </c>
      <c r="E33" s="272">
        <v>0</v>
      </c>
      <c r="F33" s="272">
        <v>0</v>
      </c>
      <c r="G33" s="272">
        <f t="shared" si="0"/>
        <v>0</v>
      </c>
      <c r="H33" s="272">
        <v>1253</v>
      </c>
      <c r="I33" s="265"/>
      <c r="J33" s="266" t="s">
        <v>824</v>
      </c>
      <c r="K33" s="278"/>
      <c r="L33" s="265" t="s">
        <v>88</v>
      </c>
      <c r="M33" s="259" t="s">
        <v>895</v>
      </c>
      <c r="N33" s="259" t="s">
        <v>896</v>
      </c>
      <c r="O33" s="259"/>
      <c r="P33" s="259"/>
      <c r="Q33" s="264"/>
      <c r="R33" s="264"/>
      <c r="S33" s="264"/>
      <c r="T33" s="264"/>
      <c r="U33" s="264"/>
      <c r="V33" s="259"/>
      <c r="W33" s="259"/>
      <c r="X33" s="259"/>
    </row>
    <row r="34" spans="1:24" s="261" customFormat="1" ht="31.5" x14ac:dyDescent="0.25">
      <c r="A34" s="265">
        <v>12</v>
      </c>
      <c r="B34" s="272" t="s">
        <v>56</v>
      </c>
      <c r="C34" s="266" t="s">
        <v>57</v>
      </c>
      <c r="D34" s="265" t="s">
        <v>2</v>
      </c>
      <c r="E34" s="272">
        <v>3904.1383977600008</v>
      </c>
      <c r="F34" s="272">
        <v>0</v>
      </c>
      <c r="G34" s="272">
        <f t="shared" si="0"/>
        <v>3904.1383977600008</v>
      </c>
      <c r="H34" s="272">
        <v>418</v>
      </c>
      <c r="I34" s="265"/>
      <c r="J34" s="266" t="s">
        <v>877</v>
      </c>
      <c r="K34" s="278"/>
      <c r="L34" s="265" t="s">
        <v>88</v>
      </c>
      <c r="M34" s="259" t="s">
        <v>895</v>
      </c>
      <c r="N34" s="259" t="s">
        <v>896</v>
      </c>
      <c r="O34" s="259"/>
      <c r="P34" s="259"/>
      <c r="Q34" s="264"/>
      <c r="R34" s="264"/>
      <c r="S34" s="264"/>
      <c r="T34" s="264"/>
      <c r="U34" s="264"/>
      <c r="V34" s="259"/>
      <c r="W34" s="259"/>
      <c r="X34" s="259"/>
    </row>
    <row r="35" spans="1:24" s="261" customFormat="1" ht="31.5" x14ac:dyDescent="0.25">
      <c r="A35" s="265">
        <v>13</v>
      </c>
      <c r="B35" s="272" t="s">
        <v>79</v>
      </c>
      <c r="C35" s="266" t="s">
        <v>80</v>
      </c>
      <c r="D35" s="265" t="s">
        <v>2</v>
      </c>
      <c r="E35" s="272">
        <v>0</v>
      </c>
      <c r="F35" s="272">
        <v>0</v>
      </c>
      <c r="G35" s="272">
        <f t="shared" si="0"/>
        <v>0</v>
      </c>
      <c r="H35" s="272">
        <v>200</v>
      </c>
      <c r="I35" s="265"/>
      <c r="J35" s="266" t="s">
        <v>511</v>
      </c>
      <c r="K35" s="278" t="s">
        <v>88</v>
      </c>
      <c r="L35" s="265" t="s">
        <v>88</v>
      </c>
      <c r="M35" s="259"/>
      <c r="N35" s="259" t="s">
        <v>896</v>
      </c>
      <c r="O35" s="259"/>
      <c r="P35" s="259"/>
      <c r="Q35" s="264"/>
      <c r="R35" s="264"/>
      <c r="S35" s="264"/>
      <c r="T35" s="264"/>
      <c r="U35" s="264"/>
      <c r="V35" s="259"/>
      <c r="W35" s="259"/>
      <c r="X35" s="259"/>
    </row>
    <row r="36" spans="1:24" s="261" customFormat="1" ht="31.5" x14ac:dyDescent="0.25">
      <c r="A36" s="265">
        <v>14</v>
      </c>
      <c r="B36" s="272" t="s">
        <v>447</v>
      </c>
      <c r="C36" s="266" t="s">
        <v>701</v>
      </c>
      <c r="D36" s="265" t="s">
        <v>2</v>
      </c>
      <c r="E36" s="272">
        <v>0</v>
      </c>
      <c r="F36" s="272">
        <v>0</v>
      </c>
      <c r="G36" s="272">
        <f t="shared" si="0"/>
        <v>0</v>
      </c>
      <c r="H36" s="272">
        <v>300</v>
      </c>
      <c r="I36" s="265"/>
      <c r="J36" s="276" t="s">
        <v>778</v>
      </c>
      <c r="K36" s="278"/>
      <c r="L36" s="265" t="s">
        <v>88</v>
      </c>
      <c r="M36" s="259" t="s">
        <v>895</v>
      </c>
      <c r="N36" s="259" t="s">
        <v>896</v>
      </c>
      <c r="O36" s="259"/>
      <c r="P36" s="259"/>
      <c r="Q36" s="264"/>
      <c r="R36" s="264"/>
      <c r="S36" s="264"/>
      <c r="T36" s="264"/>
      <c r="U36" s="264"/>
      <c r="V36" s="259"/>
      <c r="W36" s="259"/>
      <c r="X36" s="259"/>
    </row>
    <row r="37" spans="1:24" s="262" customFormat="1" ht="31.5" x14ac:dyDescent="0.25">
      <c r="A37" s="265">
        <v>15</v>
      </c>
      <c r="B37" s="266" t="s">
        <v>83</v>
      </c>
      <c r="C37" s="266" t="s">
        <v>1022</v>
      </c>
      <c r="D37" s="265" t="s">
        <v>2</v>
      </c>
      <c r="E37" s="272">
        <v>0</v>
      </c>
      <c r="F37" s="272">
        <v>0</v>
      </c>
      <c r="G37" s="272">
        <f t="shared" si="0"/>
        <v>0</v>
      </c>
      <c r="H37" s="263">
        <v>200</v>
      </c>
      <c r="I37" s="265"/>
      <c r="J37" s="276" t="s">
        <v>778</v>
      </c>
      <c r="K37" s="278"/>
      <c r="L37" s="265" t="s">
        <v>88</v>
      </c>
      <c r="M37" s="264"/>
      <c r="N37" s="281" t="s">
        <v>896</v>
      </c>
      <c r="O37" s="264"/>
      <c r="P37" s="264"/>
      <c r="Q37" s="264"/>
      <c r="R37" s="264"/>
      <c r="S37" s="264"/>
      <c r="T37" s="264"/>
      <c r="U37" s="264"/>
      <c r="V37" s="264"/>
      <c r="W37" s="264"/>
      <c r="X37" s="264"/>
    </row>
    <row r="38" spans="1:24" s="262" customFormat="1" ht="31.5" x14ac:dyDescent="0.25">
      <c r="A38" s="265">
        <v>16</v>
      </c>
      <c r="B38" s="266" t="s">
        <v>816</v>
      </c>
      <c r="C38" s="266" t="s">
        <v>817</v>
      </c>
      <c r="D38" s="265" t="s">
        <v>2</v>
      </c>
      <c r="E38" s="272">
        <v>0</v>
      </c>
      <c r="F38" s="272">
        <v>0</v>
      </c>
      <c r="G38" s="272">
        <f t="shared" si="0"/>
        <v>0</v>
      </c>
      <c r="H38" s="272">
        <v>300</v>
      </c>
      <c r="I38" s="265"/>
      <c r="J38" s="266" t="s">
        <v>957</v>
      </c>
      <c r="K38" s="278"/>
      <c r="L38" s="276" t="s">
        <v>140</v>
      </c>
      <c r="M38" s="264"/>
      <c r="N38" s="281" t="s">
        <v>896</v>
      </c>
      <c r="O38" s="264"/>
      <c r="P38" s="264"/>
      <c r="Q38" s="264"/>
      <c r="R38" s="264"/>
      <c r="S38" s="264"/>
      <c r="T38" s="264"/>
      <c r="U38" s="264"/>
      <c r="V38" s="264"/>
      <c r="W38" s="264"/>
      <c r="X38" s="264"/>
    </row>
    <row r="39" spans="1:24" s="262" customFormat="1" ht="31.5" x14ac:dyDescent="0.25">
      <c r="A39" s="265">
        <v>17</v>
      </c>
      <c r="B39" s="266" t="s">
        <v>25</v>
      </c>
      <c r="C39" s="266" t="s">
        <v>703</v>
      </c>
      <c r="D39" s="265" t="s">
        <v>2</v>
      </c>
      <c r="E39" s="272">
        <v>0</v>
      </c>
      <c r="F39" s="272">
        <v>0</v>
      </c>
      <c r="G39" s="272">
        <f t="shared" si="0"/>
        <v>0</v>
      </c>
      <c r="H39" s="272">
        <f>VLOOKUP(B39,'[1]Tháng 7.2025'!$B$23:$H$153,7,0)</f>
        <v>200</v>
      </c>
      <c r="I39" s="265"/>
      <c r="J39" s="266" t="s">
        <v>815</v>
      </c>
      <c r="K39" s="278"/>
      <c r="L39" s="276" t="s">
        <v>88</v>
      </c>
      <c r="M39" s="264" t="s">
        <v>895</v>
      </c>
      <c r="N39" s="264" t="s">
        <v>896</v>
      </c>
      <c r="O39" s="264"/>
      <c r="P39" s="264"/>
      <c r="Q39" s="264"/>
      <c r="R39" s="264"/>
      <c r="S39" s="264"/>
      <c r="T39" s="264"/>
      <c r="U39" s="264"/>
      <c r="V39" s="264"/>
      <c r="W39" s="264"/>
      <c r="X39" s="264"/>
    </row>
    <row r="40" spans="1:24" s="261" customFormat="1" ht="63" x14ac:dyDescent="0.25">
      <c r="A40" s="265">
        <v>18</v>
      </c>
      <c r="B40" s="265" t="s">
        <v>841</v>
      </c>
      <c r="C40" s="266" t="s">
        <v>842</v>
      </c>
      <c r="D40" s="272" t="s">
        <v>2</v>
      </c>
      <c r="E40" s="272">
        <v>2491.5585329840001</v>
      </c>
      <c r="F40" s="272">
        <v>0</v>
      </c>
      <c r="G40" s="272">
        <f t="shared" si="0"/>
        <v>2491.5585329840001</v>
      </c>
      <c r="H40" s="272">
        <v>300</v>
      </c>
      <c r="I40" s="265"/>
      <c r="J40" s="282" t="s">
        <v>949</v>
      </c>
      <c r="K40" s="283" t="s">
        <v>110</v>
      </c>
      <c r="L40" s="265" t="s">
        <v>76</v>
      </c>
      <c r="M40" s="259" t="s">
        <v>895</v>
      </c>
      <c r="N40" s="259" t="s">
        <v>896</v>
      </c>
      <c r="O40" s="259"/>
      <c r="P40" s="259"/>
      <c r="Q40" s="264"/>
      <c r="R40" s="264"/>
      <c r="S40" s="264"/>
      <c r="T40" s="264"/>
      <c r="U40" s="264"/>
      <c r="V40" s="259"/>
      <c r="W40" s="259"/>
      <c r="X40" s="259"/>
    </row>
    <row r="41" spans="1:24" s="259" customFormat="1" ht="110.25" x14ac:dyDescent="0.25">
      <c r="A41" s="265">
        <v>19</v>
      </c>
      <c r="B41" s="272" t="s">
        <v>81</v>
      </c>
      <c r="C41" s="266" t="s">
        <v>82</v>
      </c>
      <c r="D41" s="265" t="s">
        <v>66</v>
      </c>
      <c r="E41" s="272">
        <v>0</v>
      </c>
      <c r="F41" s="272">
        <v>0</v>
      </c>
      <c r="G41" s="272">
        <f t="shared" si="0"/>
        <v>0</v>
      </c>
      <c r="H41" s="272">
        <v>540</v>
      </c>
      <c r="I41" s="265"/>
      <c r="J41" s="266" t="s">
        <v>1059</v>
      </c>
      <c r="K41" s="284">
        <v>9385</v>
      </c>
      <c r="L41" s="265" t="s">
        <v>88</v>
      </c>
      <c r="Q41" s="264"/>
      <c r="R41" s="264"/>
      <c r="S41" s="264"/>
      <c r="T41" s="264"/>
      <c r="U41" s="264"/>
    </row>
    <row r="42" spans="1:24" s="261" customFormat="1" ht="32.25" customHeight="1" x14ac:dyDescent="0.25">
      <c r="A42" s="265">
        <v>20</v>
      </c>
      <c r="B42" s="272" t="s">
        <v>945</v>
      </c>
      <c r="C42" s="266" t="s">
        <v>878</v>
      </c>
      <c r="D42" s="265" t="s">
        <v>66</v>
      </c>
      <c r="E42" s="272">
        <v>0</v>
      </c>
      <c r="F42" s="272">
        <v>880</v>
      </c>
      <c r="G42" s="272">
        <f t="shared" si="0"/>
        <v>-880</v>
      </c>
      <c r="H42" s="272">
        <v>3000</v>
      </c>
      <c r="I42" s="265"/>
      <c r="J42" s="266" t="s">
        <v>853</v>
      </c>
      <c r="K42" s="284">
        <v>9385</v>
      </c>
      <c r="L42" s="265" t="s">
        <v>88</v>
      </c>
      <c r="M42" s="259" t="s">
        <v>895</v>
      </c>
      <c r="N42" s="259" t="s">
        <v>896</v>
      </c>
      <c r="O42" s="259"/>
      <c r="P42" s="259"/>
      <c r="Q42" s="264"/>
      <c r="R42" s="264"/>
      <c r="S42" s="264"/>
      <c r="T42" s="264"/>
      <c r="U42" s="264"/>
      <c r="V42" s="259"/>
      <c r="W42" s="259"/>
      <c r="X42" s="259"/>
    </row>
    <row r="43" spans="1:24" s="261" customFormat="1" ht="31.5" x14ac:dyDescent="0.25">
      <c r="A43" s="265">
        <v>21</v>
      </c>
      <c r="B43" s="272" t="s">
        <v>415</v>
      </c>
      <c r="C43" s="266" t="s">
        <v>950</v>
      </c>
      <c r="D43" s="265" t="s">
        <v>66</v>
      </c>
      <c r="E43" s="272">
        <v>3553.5790576240001</v>
      </c>
      <c r="F43" s="272">
        <v>0</v>
      </c>
      <c r="G43" s="272">
        <f t="shared" si="0"/>
        <v>3553.5790576240001</v>
      </c>
      <c r="H43" s="272">
        <v>680</v>
      </c>
      <c r="I43" s="265"/>
      <c r="J43" s="266" t="s">
        <v>951</v>
      </c>
      <c r="K43" s="284"/>
      <c r="L43" s="265" t="s">
        <v>76</v>
      </c>
      <c r="M43" s="259"/>
      <c r="N43" s="259" t="s">
        <v>896</v>
      </c>
      <c r="O43" s="259"/>
      <c r="P43" s="259"/>
      <c r="Q43" s="264"/>
      <c r="R43" s="264"/>
      <c r="S43" s="264"/>
      <c r="T43" s="264"/>
      <c r="U43" s="264"/>
      <c r="V43" s="259"/>
      <c r="W43" s="259"/>
      <c r="X43" s="259"/>
    </row>
    <row r="44" spans="1:24" s="258" customFormat="1" ht="31.5" x14ac:dyDescent="0.25">
      <c r="A44" s="265">
        <v>22</v>
      </c>
      <c r="B44" s="272" t="s">
        <v>24</v>
      </c>
      <c r="C44" s="266" t="s">
        <v>43</v>
      </c>
      <c r="D44" s="265" t="s">
        <v>2</v>
      </c>
      <c r="E44" s="272">
        <v>0</v>
      </c>
      <c r="F44" s="272">
        <v>0</v>
      </c>
      <c r="G44" s="272">
        <f t="shared" si="0"/>
        <v>0</v>
      </c>
      <c r="H44" s="272">
        <v>0</v>
      </c>
      <c r="I44" s="265"/>
      <c r="J44" s="266" t="s">
        <v>815</v>
      </c>
      <c r="K44" s="278"/>
      <c r="L44" s="276" t="s">
        <v>88</v>
      </c>
      <c r="M44" s="264" t="s">
        <v>895</v>
      </c>
      <c r="N44" s="259"/>
      <c r="O44" s="259"/>
      <c r="P44" s="259"/>
      <c r="Q44" s="264"/>
      <c r="R44" s="264"/>
      <c r="S44" s="264"/>
      <c r="T44" s="264"/>
      <c r="U44" s="264"/>
      <c r="V44" s="259"/>
      <c r="W44" s="259"/>
      <c r="X44" s="259"/>
    </row>
    <row r="45" spans="1:24" s="259" customFormat="1" ht="63" x14ac:dyDescent="0.25">
      <c r="A45" s="265">
        <v>23</v>
      </c>
      <c r="B45" s="272" t="s">
        <v>705</v>
      </c>
      <c r="C45" s="266" t="s">
        <v>706</v>
      </c>
      <c r="D45" s="265" t="s">
        <v>2</v>
      </c>
      <c r="E45" s="272">
        <f>VLOOKUP(B45,'[1]Tháng 7.2025'!$B$23:$H$153,4,0)</f>
        <v>0</v>
      </c>
      <c r="F45" s="272">
        <f>VLOOKUP(B45,'[1]Tháng 7.2025'!$B$23:$H$153,5,0)</f>
        <v>0</v>
      </c>
      <c r="G45" s="272">
        <f t="shared" si="0"/>
        <v>0</v>
      </c>
      <c r="H45" s="272">
        <v>0</v>
      </c>
      <c r="I45" s="265"/>
      <c r="J45" s="266" t="s">
        <v>707</v>
      </c>
      <c r="K45" s="278"/>
      <c r="L45" s="265" t="s">
        <v>88</v>
      </c>
      <c r="Q45" s="264"/>
      <c r="R45" s="264"/>
      <c r="S45" s="264"/>
      <c r="T45" s="264"/>
      <c r="U45" s="264"/>
    </row>
    <row r="46" spans="1:24" s="258" customFormat="1" ht="46.5" customHeight="1" x14ac:dyDescent="0.25">
      <c r="A46" s="265">
        <v>24</v>
      </c>
      <c r="B46" s="272" t="s">
        <v>447</v>
      </c>
      <c r="C46" s="272" t="s">
        <v>448</v>
      </c>
      <c r="D46" s="265" t="s">
        <v>2</v>
      </c>
      <c r="E46" s="272">
        <v>0</v>
      </c>
      <c r="F46" s="272">
        <v>0</v>
      </c>
      <c r="G46" s="272">
        <f t="shared" si="0"/>
        <v>0</v>
      </c>
      <c r="H46" s="272">
        <v>0</v>
      </c>
      <c r="I46" s="265"/>
      <c r="J46" s="272" t="s">
        <v>869</v>
      </c>
      <c r="K46" s="278"/>
      <c r="L46" s="265" t="s">
        <v>88</v>
      </c>
      <c r="M46" s="259"/>
      <c r="N46" s="259"/>
      <c r="O46" s="259"/>
      <c r="P46" s="259"/>
      <c r="Q46" s="264"/>
      <c r="R46" s="264"/>
      <c r="S46" s="264"/>
      <c r="T46" s="264"/>
      <c r="U46" s="264"/>
      <c r="V46" s="259"/>
      <c r="W46" s="259"/>
      <c r="X46" s="259"/>
    </row>
    <row r="47" spans="1:24" s="261" customFormat="1" ht="46.5" customHeight="1" x14ac:dyDescent="0.25">
      <c r="A47" s="265">
        <v>25</v>
      </c>
      <c r="B47" s="272" t="s">
        <v>866</v>
      </c>
      <c r="C47" s="272" t="s">
        <v>867</v>
      </c>
      <c r="D47" s="265" t="s">
        <v>2</v>
      </c>
      <c r="E47" s="272">
        <v>0</v>
      </c>
      <c r="F47" s="272">
        <v>0</v>
      </c>
      <c r="G47" s="272">
        <f t="shared" si="0"/>
        <v>0</v>
      </c>
      <c r="H47" s="272">
        <v>150</v>
      </c>
      <c r="I47" s="265"/>
      <c r="J47" s="272" t="s">
        <v>958</v>
      </c>
      <c r="K47" s="278"/>
      <c r="L47" s="265" t="s">
        <v>76</v>
      </c>
      <c r="M47" s="259"/>
      <c r="N47" s="259" t="s">
        <v>896</v>
      </c>
      <c r="O47" s="259"/>
      <c r="P47" s="259"/>
      <c r="Q47" s="264"/>
      <c r="R47" s="264"/>
      <c r="S47" s="264"/>
      <c r="T47" s="264"/>
      <c r="U47" s="264"/>
      <c r="V47" s="259"/>
      <c r="W47" s="259"/>
      <c r="X47" s="259"/>
    </row>
    <row r="48" spans="1:24" s="260" customFormat="1" ht="48.75" customHeight="1" x14ac:dyDescent="0.25">
      <c r="A48" s="274" t="s">
        <v>19</v>
      </c>
      <c r="B48" s="265"/>
      <c r="C48" s="265"/>
      <c r="D48" s="265"/>
      <c r="E48" s="272"/>
      <c r="F48" s="272"/>
      <c r="G48" s="272"/>
      <c r="H48" s="272"/>
      <c r="I48" s="265"/>
      <c r="J48" s="265"/>
      <c r="K48" s="275"/>
      <c r="L48" s="274"/>
      <c r="O48" s="259"/>
      <c r="Q48" s="285"/>
      <c r="R48" s="285"/>
      <c r="S48" s="285"/>
      <c r="T48" s="285"/>
      <c r="U48" s="285"/>
    </row>
    <row r="49" spans="1:24" s="259" customFormat="1" ht="48.75" customHeight="1" x14ac:dyDescent="0.25">
      <c r="A49" s="265">
        <v>26</v>
      </c>
      <c r="B49" s="272" t="s">
        <v>819</v>
      </c>
      <c r="C49" s="266" t="s">
        <v>820</v>
      </c>
      <c r="D49" s="265" t="s">
        <v>0</v>
      </c>
      <c r="E49" s="272">
        <v>28</v>
      </c>
      <c r="F49" s="272">
        <f>VLOOKUP(B49,'[1]Tháng 7.2025'!$B$23:$H$153,5,0)</f>
        <v>0</v>
      </c>
      <c r="G49" s="272">
        <f t="shared" ref="G49:G131" si="1">E49-F49</f>
        <v>28</v>
      </c>
      <c r="H49" s="272">
        <v>6</v>
      </c>
      <c r="I49" s="265"/>
      <c r="J49" s="266" t="s">
        <v>882</v>
      </c>
      <c r="K49" s="277">
        <v>50</v>
      </c>
      <c r="L49" s="265" t="s">
        <v>76</v>
      </c>
      <c r="Q49" s="264"/>
      <c r="R49" s="264"/>
      <c r="S49" s="264"/>
      <c r="T49" s="264"/>
      <c r="U49" s="264"/>
    </row>
    <row r="50" spans="1:24" s="261" customFormat="1" ht="47.25" x14ac:dyDescent="0.25">
      <c r="A50" s="265">
        <v>27</v>
      </c>
      <c r="B50" s="272" t="s">
        <v>821</v>
      </c>
      <c r="C50" s="266" t="s">
        <v>822</v>
      </c>
      <c r="D50" s="265" t="s">
        <v>0</v>
      </c>
      <c r="E50" s="272">
        <v>10</v>
      </c>
      <c r="F50" s="272">
        <v>0</v>
      </c>
      <c r="G50" s="272">
        <f t="shared" si="1"/>
        <v>10</v>
      </c>
      <c r="H50" s="272">
        <v>2</v>
      </c>
      <c r="I50" s="265"/>
      <c r="J50" s="266" t="s">
        <v>956</v>
      </c>
      <c r="K50" s="278">
        <v>18</v>
      </c>
      <c r="L50" s="265" t="s">
        <v>76</v>
      </c>
      <c r="M50" s="259" t="s">
        <v>895</v>
      </c>
      <c r="N50" s="259" t="s">
        <v>896</v>
      </c>
      <c r="O50" s="259"/>
      <c r="P50" s="259"/>
      <c r="Q50" s="264"/>
      <c r="R50" s="264"/>
      <c r="S50" s="264"/>
      <c r="T50" s="264"/>
      <c r="U50" s="264"/>
      <c r="V50" s="259"/>
      <c r="W50" s="259"/>
      <c r="X50" s="259"/>
    </row>
    <row r="51" spans="1:24" s="261" customFormat="1" ht="47.25" x14ac:dyDescent="0.25">
      <c r="A51" s="265">
        <v>28</v>
      </c>
      <c r="B51" s="272" t="s">
        <v>954</v>
      </c>
      <c r="C51" s="266" t="s">
        <v>860</v>
      </c>
      <c r="D51" s="265" t="s">
        <v>0</v>
      </c>
      <c r="E51" s="272">
        <v>8</v>
      </c>
      <c r="F51" s="272">
        <v>0</v>
      </c>
      <c r="G51" s="272">
        <f t="shared" si="1"/>
        <v>8</v>
      </c>
      <c r="H51" s="272">
        <v>1</v>
      </c>
      <c r="I51" s="265"/>
      <c r="J51" s="266" t="s">
        <v>955</v>
      </c>
      <c r="K51" s="278"/>
      <c r="L51" s="265" t="s">
        <v>76</v>
      </c>
      <c r="M51" s="259"/>
      <c r="N51" s="259" t="s">
        <v>896</v>
      </c>
      <c r="O51" s="259"/>
      <c r="P51" s="259"/>
      <c r="Q51" s="264"/>
      <c r="R51" s="264"/>
      <c r="S51" s="264"/>
      <c r="T51" s="264"/>
      <c r="U51" s="264"/>
      <c r="V51" s="259"/>
      <c r="W51" s="259"/>
      <c r="X51" s="259"/>
    </row>
    <row r="52" spans="1:24" s="261" customFormat="1" ht="47.25" x14ac:dyDescent="0.25">
      <c r="A52" s="265">
        <v>29</v>
      </c>
      <c r="B52" s="272" t="s">
        <v>828</v>
      </c>
      <c r="C52" s="266" t="s">
        <v>832</v>
      </c>
      <c r="D52" s="265" t="s">
        <v>0</v>
      </c>
      <c r="E52" s="272">
        <v>20</v>
      </c>
      <c r="F52" s="272">
        <v>0</v>
      </c>
      <c r="G52" s="272">
        <f t="shared" si="1"/>
        <v>20</v>
      </c>
      <c r="H52" s="272">
        <v>1</v>
      </c>
      <c r="I52" s="265"/>
      <c r="J52" s="266" t="s">
        <v>953</v>
      </c>
      <c r="K52" s="278"/>
      <c r="L52" s="265" t="s">
        <v>76</v>
      </c>
      <c r="M52" s="259" t="s">
        <v>895</v>
      </c>
      <c r="N52" s="259" t="s">
        <v>896</v>
      </c>
      <c r="O52" s="259"/>
      <c r="P52" s="259"/>
      <c r="Q52" s="264"/>
      <c r="R52" s="264"/>
      <c r="S52" s="264"/>
      <c r="T52" s="264"/>
      <c r="U52" s="264"/>
      <c r="V52" s="259"/>
      <c r="W52" s="259"/>
      <c r="X52" s="259"/>
    </row>
    <row r="53" spans="1:24" s="262" customFormat="1" ht="31.5" x14ac:dyDescent="0.25">
      <c r="A53" s="265">
        <v>30</v>
      </c>
      <c r="B53" s="272" t="s">
        <v>829</v>
      </c>
      <c r="C53" s="266" t="s">
        <v>830</v>
      </c>
      <c r="D53" s="265" t="s">
        <v>0</v>
      </c>
      <c r="E53" s="272">
        <v>28</v>
      </c>
      <c r="F53" s="272">
        <v>0</v>
      </c>
      <c r="G53" s="272">
        <f t="shared" si="1"/>
        <v>28</v>
      </c>
      <c r="H53" s="272">
        <v>1</v>
      </c>
      <c r="I53" s="265"/>
      <c r="J53" s="266" t="s">
        <v>952</v>
      </c>
      <c r="K53" s="278"/>
      <c r="L53" s="265" t="s">
        <v>76</v>
      </c>
      <c r="M53" s="264" t="s">
        <v>895</v>
      </c>
      <c r="N53" s="264" t="s">
        <v>896</v>
      </c>
      <c r="O53" s="264"/>
      <c r="P53" s="264"/>
      <c r="Q53" s="264"/>
      <c r="R53" s="264"/>
      <c r="S53" s="264"/>
      <c r="T53" s="264"/>
      <c r="U53" s="264"/>
      <c r="V53" s="264"/>
      <c r="W53" s="264"/>
      <c r="X53" s="264"/>
    </row>
    <row r="54" spans="1:24" s="262" customFormat="1" ht="110.25" x14ac:dyDescent="0.25">
      <c r="A54" s="265">
        <v>31</v>
      </c>
      <c r="B54" s="272"/>
      <c r="C54" s="266" t="s">
        <v>64</v>
      </c>
      <c r="D54" s="265" t="s">
        <v>0</v>
      </c>
      <c r="E54" s="272">
        <v>48</v>
      </c>
      <c r="F54" s="272">
        <v>0</v>
      </c>
      <c r="G54" s="272">
        <f t="shared" si="1"/>
        <v>48</v>
      </c>
      <c r="H54" s="272">
        <v>36</v>
      </c>
      <c r="I54" s="265"/>
      <c r="J54" s="266" t="s">
        <v>904</v>
      </c>
      <c r="K54" s="278"/>
      <c r="L54" s="265" t="s">
        <v>76</v>
      </c>
      <c r="M54" s="264" t="s">
        <v>895</v>
      </c>
      <c r="N54" s="264" t="s">
        <v>896</v>
      </c>
      <c r="O54" s="264"/>
      <c r="P54" s="264"/>
      <c r="Q54" s="264"/>
      <c r="R54" s="264"/>
      <c r="S54" s="264"/>
      <c r="T54" s="264"/>
      <c r="U54" s="264"/>
      <c r="V54" s="264"/>
      <c r="W54" s="264"/>
      <c r="X54" s="264"/>
    </row>
    <row r="55" spans="1:24" s="262" customFormat="1" ht="63" x14ac:dyDescent="0.25">
      <c r="A55" s="265">
        <v>32</v>
      </c>
      <c r="B55" s="282" t="s">
        <v>112</v>
      </c>
      <c r="C55" s="282" t="s">
        <v>60</v>
      </c>
      <c r="D55" s="265" t="s">
        <v>0</v>
      </c>
      <c r="E55" s="272">
        <v>18</v>
      </c>
      <c r="F55" s="272">
        <v>0</v>
      </c>
      <c r="G55" s="272">
        <f t="shared" si="1"/>
        <v>18</v>
      </c>
      <c r="H55" s="272">
        <v>4</v>
      </c>
      <c r="I55" s="265"/>
      <c r="J55" s="286" t="s">
        <v>900</v>
      </c>
      <c r="K55" s="278"/>
      <c r="L55" s="265" t="s">
        <v>76</v>
      </c>
      <c r="M55" s="264" t="s">
        <v>895</v>
      </c>
      <c r="N55" s="264" t="s">
        <v>896</v>
      </c>
      <c r="O55" s="264"/>
      <c r="P55" s="264"/>
      <c r="Q55" s="264"/>
      <c r="R55" s="264"/>
      <c r="S55" s="264"/>
      <c r="T55" s="264"/>
      <c r="U55" s="264"/>
      <c r="V55" s="264"/>
      <c r="W55" s="264"/>
      <c r="X55" s="264"/>
    </row>
    <row r="56" spans="1:24" s="258" customFormat="1" ht="78.75" x14ac:dyDescent="0.25">
      <c r="A56" s="265">
        <v>33</v>
      </c>
      <c r="B56" s="272" t="s">
        <v>295</v>
      </c>
      <c r="C56" s="266" t="s">
        <v>296</v>
      </c>
      <c r="D56" s="265" t="s">
        <v>0</v>
      </c>
      <c r="E56" s="272">
        <v>0</v>
      </c>
      <c r="F56" s="272">
        <v>0</v>
      </c>
      <c r="G56" s="272">
        <f t="shared" si="1"/>
        <v>0</v>
      </c>
      <c r="H56" s="272">
        <v>6</v>
      </c>
      <c r="I56" s="287"/>
      <c r="J56" s="266" t="s">
        <v>798</v>
      </c>
      <c r="K56" s="278">
        <v>0</v>
      </c>
      <c r="L56" s="265" t="s">
        <v>88</v>
      </c>
      <c r="M56" s="259" t="s">
        <v>895</v>
      </c>
      <c r="N56" s="259"/>
      <c r="O56" s="259"/>
      <c r="P56" s="259"/>
      <c r="Q56" s="264"/>
      <c r="R56" s="264"/>
      <c r="S56" s="264"/>
      <c r="T56" s="264"/>
      <c r="U56" s="264"/>
      <c r="V56" s="259"/>
      <c r="W56" s="259"/>
      <c r="X56" s="259"/>
    </row>
    <row r="57" spans="1:24" s="259" customFormat="1" ht="47.25" x14ac:dyDescent="0.25">
      <c r="A57" s="265">
        <v>34</v>
      </c>
      <c r="B57" s="265" t="s">
        <v>89</v>
      </c>
      <c r="C57" s="266" t="s">
        <v>90</v>
      </c>
      <c r="D57" s="265" t="s">
        <v>0</v>
      </c>
      <c r="E57" s="272">
        <v>0</v>
      </c>
      <c r="F57" s="272">
        <v>0</v>
      </c>
      <c r="G57" s="272">
        <f t="shared" si="1"/>
        <v>0</v>
      </c>
      <c r="H57" s="272">
        <f>VLOOKUP(B57,'[1]Tháng 7.2025'!$B$23:$H$153,7,0)</f>
        <v>6</v>
      </c>
      <c r="I57" s="287"/>
      <c r="J57" s="266" t="s">
        <v>97</v>
      </c>
      <c r="K57" s="278">
        <v>0</v>
      </c>
      <c r="L57" s="265" t="s">
        <v>88</v>
      </c>
      <c r="Q57" s="264"/>
      <c r="R57" s="264"/>
      <c r="S57" s="264"/>
      <c r="T57" s="264"/>
      <c r="U57" s="264"/>
    </row>
    <row r="58" spans="1:24" s="261" customFormat="1" ht="110.25" x14ac:dyDescent="0.25">
      <c r="A58" s="265">
        <v>35</v>
      </c>
      <c r="B58" s="272" t="s">
        <v>855</v>
      </c>
      <c r="C58" s="266" t="s">
        <v>627</v>
      </c>
      <c r="D58" s="265" t="s">
        <v>0</v>
      </c>
      <c r="E58" s="272">
        <v>0</v>
      </c>
      <c r="F58" s="272">
        <v>0</v>
      </c>
      <c r="G58" s="272">
        <f t="shared" si="1"/>
        <v>0</v>
      </c>
      <c r="H58" s="272">
        <v>2</v>
      </c>
      <c r="I58" s="287"/>
      <c r="J58" s="266" t="s">
        <v>628</v>
      </c>
      <c r="K58" s="278"/>
      <c r="L58" s="265" t="s">
        <v>88</v>
      </c>
      <c r="M58" s="259" t="s">
        <v>895</v>
      </c>
      <c r="N58" s="259" t="s">
        <v>896</v>
      </c>
      <c r="O58" s="259"/>
      <c r="P58" s="259"/>
      <c r="Q58" s="264"/>
      <c r="R58" s="264"/>
      <c r="S58" s="264"/>
      <c r="T58" s="264"/>
      <c r="U58" s="264"/>
      <c r="V58" s="259"/>
      <c r="W58" s="259"/>
      <c r="X58" s="259"/>
    </row>
    <row r="59" spans="1:24" s="261" customFormat="1" ht="173.25" x14ac:dyDescent="0.25">
      <c r="A59" s="265">
        <v>36</v>
      </c>
      <c r="B59" s="272" t="s">
        <v>91</v>
      </c>
      <c r="C59" s="266" t="s">
        <v>92</v>
      </c>
      <c r="D59" s="265" t="s">
        <v>0</v>
      </c>
      <c r="E59" s="272">
        <v>0</v>
      </c>
      <c r="F59" s="272">
        <v>0</v>
      </c>
      <c r="G59" s="272">
        <f t="shared" si="1"/>
        <v>0</v>
      </c>
      <c r="H59" s="272">
        <v>6</v>
      </c>
      <c r="I59" s="287"/>
      <c r="J59" s="266" t="s">
        <v>98</v>
      </c>
      <c r="K59" s="278"/>
      <c r="L59" s="265" t="s">
        <v>88</v>
      </c>
      <c r="M59" s="259" t="s">
        <v>895</v>
      </c>
      <c r="N59" s="259" t="s">
        <v>896</v>
      </c>
      <c r="O59" s="259"/>
      <c r="P59" s="259"/>
      <c r="Q59" s="264"/>
      <c r="R59" s="264"/>
      <c r="S59" s="264"/>
      <c r="T59" s="264"/>
      <c r="U59" s="264"/>
      <c r="V59" s="259"/>
      <c r="W59" s="259"/>
      <c r="X59" s="259"/>
    </row>
    <row r="60" spans="1:24" s="262" customFormat="1" ht="63" x14ac:dyDescent="0.25">
      <c r="A60" s="265">
        <v>37</v>
      </c>
      <c r="B60" s="272" t="s">
        <v>338</v>
      </c>
      <c r="C60" s="266" t="s">
        <v>339</v>
      </c>
      <c r="D60" s="265" t="s">
        <v>0</v>
      </c>
      <c r="E60" s="272">
        <v>0</v>
      </c>
      <c r="F60" s="272">
        <v>0</v>
      </c>
      <c r="G60" s="272">
        <f t="shared" si="1"/>
        <v>0</v>
      </c>
      <c r="H60" s="272">
        <v>218</v>
      </c>
      <c r="I60" s="287"/>
      <c r="J60" s="266" t="s">
        <v>632</v>
      </c>
      <c r="K60" s="278"/>
      <c r="L60" s="276" t="s">
        <v>88</v>
      </c>
      <c r="M60" s="264" t="s">
        <v>895</v>
      </c>
      <c r="N60" s="259" t="s">
        <v>896</v>
      </c>
      <c r="O60" s="264"/>
      <c r="P60" s="264"/>
      <c r="Q60" s="264"/>
      <c r="R60" s="264"/>
      <c r="S60" s="264"/>
      <c r="T60" s="264"/>
      <c r="U60" s="264"/>
      <c r="V60" s="264"/>
      <c r="W60" s="264"/>
      <c r="X60" s="264"/>
    </row>
    <row r="61" spans="1:24" s="262" customFormat="1" ht="78.75" x14ac:dyDescent="0.25">
      <c r="A61" s="265">
        <v>38</v>
      </c>
      <c r="B61" s="272" t="s">
        <v>844</v>
      </c>
      <c r="C61" s="266" t="s">
        <v>845</v>
      </c>
      <c r="D61" s="265" t="s">
        <v>0</v>
      </c>
      <c r="E61" s="272">
        <v>0</v>
      </c>
      <c r="F61" s="272">
        <v>0</v>
      </c>
      <c r="G61" s="272">
        <f t="shared" si="1"/>
        <v>0</v>
      </c>
      <c r="H61" s="272">
        <f>VLOOKUP(B61,'[1]Tháng 7.2025'!$B$23:$H$153,7,0)</f>
        <v>10</v>
      </c>
      <c r="I61" s="287"/>
      <c r="J61" s="266" t="s">
        <v>632</v>
      </c>
      <c r="K61" s="278"/>
      <c r="L61" s="276" t="s">
        <v>88</v>
      </c>
      <c r="M61" s="264"/>
      <c r="N61" s="259" t="s">
        <v>896</v>
      </c>
      <c r="O61" s="264"/>
      <c r="P61" s="264"/>
      <c r="Q61" s="264"/>
      <c r="R61" s="264"/>
      <c r="S61" s="264"/>
      <c r="T61" s="264"/>
      <c r="U61" s="264"/>
      <c r="V61" s="264"/>
      <c r="W61" s="264"/>
      <c r="X61" s="264"/>
    </row>
    <row r="62" spans="1:24" s="261" customFormat="1" ht="63" x14ac:dyDescent="0.25">
      <c r="A62" s="265">
        <v>39</v>
      </c>
      <c r="B62" s="272" t="s">
        <v>615</v>
      </c>
      <c r="C62" s="266" t="s">
        <v>616</v>
      </c>
      <c r="D62" s="265" t="s">
        <v>0</v>
      </c>
      <c r="E62" s="272">
        <v>1000</v>
      </c>
      <c r="F62" s="272">
        <v>40</v>
      </c>
      <c r="G62" s="272">
        <f t="shared" si="1"/>
        <v>960</v>
      </c>
      <c r="H62" s="272">
        <v>100</v>
      </c>
      <c r="I62" s="287"/>
      <c r="J62" s="266" t="s">
        <v>617</v>
      </c>
      <c r="K62" s="278">
        <v>1815</v>
      </c>
      <c r="L62" s="265" t="s">
        <v>76</v>
      </c>
      <c r="M62" s="259" t="s">
        <v>895</v>
      </c>
      <c r="N62" s="259" t="s">
        <v>896</v>
      </c>
      <c r="O62" s="259"/>
      <c r="P62" s="259"/>
      <c r="Q62" s="264"/>
      <c r="R62" s="264"/>
      <c r="S62" s="264"/>
      <c r="T62" s="264"/>
      <c r="U62" s="264"/>
      <c r="V62" s="259"/>
      <c r="W62" s="259"/>
      <c r="X62" s="259"/>
    </row>
    <row r="63" spans="1:24" s="261" customFormat="1" ht="63" x14ac:dyDescent="0.25">
      <c r="A63" s="265">
        <v>40</v>
      </c>
      <c r="B63" s="272" t="s">
        <v>618</v>
      </c>
      <c r="C63" s="266" t="s">
        <v>619</v>
      </c>
      <c r="D63" s="265" t="s">
        <v>0</v>
      </c>
      <c r="E63" s="272">
        <v>175</v>
      </c>
      <c r="F63" s="272">
        <v>8</v>
      </c>
      <c r="G63" s="272">
        <f t="shared" si="1"/>
        <v>167</v>
      </c>
      <c r="H63" s="272">
        <v>40</v>
      </c>
      <c r="I63" s="287"/>
      <c r="J63" s="266" t="s">
        <v>620</v>
      </c>
      <c r="K63" s="278"/>
      <c r="L63" s="265" t="s">
        <v>76</v>
      </c>
      <c r="M63" s="259" t="s">
        <v>895</v>
      </c>
      <c r="N63" s="259" t="s">
        <v>896</v>
      </c>
      <c r="O63" s="259"/>
      <c r="P63" s="259"/>
      <c r="Q63" s="264"/>
      <c r="R63" s="264"/>
      <c r="S63" s="264"/>
      <c r="T63" s="264"/>
      <c r="U63" s="264"/>
      <c r="V63" s="259"/>
      <c r="W63" s="259"/>
      <c r="X63" s="259"/>
    </row>
    <row r="64" spans="1:24" s="261" customFormat="1" ht="39.75" customHeight="1" x14ac:dyDescent="0.25">
      <c r="A64" s="265">
        <v>41</v>
      </c>
      <c r="B64" s="272" t="s">
        <v>93</v>
      </c>
      <c r="C64" s="266" t="s">
        <v>94</v>
      </c>
      <c r="D64" s="265" t="s">
        <v>0</v>
      </c>
      <c r="E64" s="272">
        <v>0</v>
      </c>
      <c r="F64" s="272">
        <v>0</v>
      </c>
      <c r="G64" s="272">
        <f t="shared" si="1"/>
        <v>0</v>
      </c>
      <c r="H64" s="272">
        <v>6</v>
      </c>
      <c r="I64" s="287"/>
      <c r="J64" s="266" t="s">
        <v>99</v>
      </c>
      <c r="K64" s="278">
        <v>0</v>
      </c>
      <c r="L64" s="265" t="s">
        <v>88</v>
      </c>
      <c r="M64" s="259" t="s">
        <v>895</v>
      </c>
      <c r="N64" s="259" t="s">
        <v>896</v>
      </c>
      <c r="O64" s="259"/>
      <c r="P64" s="259"/>
      <c r="Q64" s="264"/>
      <c r="R64" s="264"/>
      <c r="S64" s="264"/>
      <c r="T64" s="264"/>
      <c r="U64" s="264"/>
      <c r="V64" s="259"/>
      <c r="W64" s="259"/>
      <c r="X64" s="259"/>
    </row>
    <row r="65" spans="1:24" s="261" customFormat="1" ht="63" x14ac:dyDescent="0.25">
      <c r="A65" s="265">
        <v>42</v>
      </c>
      <c r="B65" s="272" t="s">
        <v>95</v>
      </c>
      <c r="C65" s="266" t="s">
        <v>96</v>
      </c>
      <c r="D65" s="265" t="s">
        <v>0</v>
      </c>
      <c r="E65" s="272">
        <v>0</v>
      </c>
      <c r="F65" s="272">
        <v>0</v>
      </c>
      <c r="G65" s="272">
        <f t="shared" si="1"/>
        <v>0</v>
      </c>
      <c r="H65" s="272">
        <v>6</v>
      </c>
      <c r="I65" s="287"/>
      <c r="J65" s="266" t="s">
        <v>100</v>
      </c>
      <c r="K65" s="278"/>
      <c r="L65" s="272" t="s">
        <v>88</v>
      </c>
      <c r="M65" s="279" t="s">
        <v>895</v>
      </c>
      <c r="N65" s="259" t="s">
        <v>896</v>
      </c>
      <c r="O65" s="259"/>
      <c r="P65" s="279"/>
      <c r="Q65" s="264"/>
      <c r="R65" s="280"/>
      <c r="S65" s="280"/>
      <c r="T65" s="264"/>
      <c r="U65" s="264"/>
      <c r="V65" s="259"/>
      <c r="W65" s="259"/>
      <c r="X65" s="259"/>
    </row>
    <row r="66" spans="1:24" s="261" customFormat="1" ht="63" x14ac:dyDescent="0.25">
      <c r="A66" s="265">
        <v>43</v>
      </c>
      <c r="B66" s="265" t="s">
        <v>630</v>
      </c>
      <c r="C66" s="266" t="s">
        <v>631</v>
      </c>
      <c r="D66" s="265" t="s">
        <v>0</v>
      </c>
      <c r="E66" s="272">
        <v>0</v>
      </c>
      <c r="F66" s="272">
        <v>0</v>
      </c>
      <c r="G66" s="272">
        <f t="shared" si="1"/>
        <v>0</v>
      </c>
      <c r="H66" s="272">
        <v>6</v>
      </c>
      <c r="I66" s="287"/>
      <c r="J66" s="266" t="s">
        <v>101</v>
      </c>
      <c r="K66" s="278"/>
      <c r="L66" s="272" t="s">
        <v>88</v>
      </c>
      <c r="M66" s="279" t="s">
        <v>895</v>
      </c>
      <c r="N66" s="259" t="s">
        <v>896</v>
      </c>
      <c r="O66" s="279"/>
      <c r="P66" s="279"/>
      <c r="Q66" s="264"/>
      <c r="R66" s="280"/>
      <c r="S66" s="280"/>
      <c r="T66" s="264"/>
      <c r="U66" s="264"/>
      <c r="V66" s="259"/>
      <c r="W66" s="259"/>
      <c r="X66" s="259"/>
    </row>
    <row r="67" spans="1:24" s="261" customFormat="1" ht="78.75" x14ac:dyDescent="0.25">
      <c r="A67" s="265">
        <v>44</v>
      </c>
      <c r="B67" s="272" t="s">
        <v>856</v>
      </c>
      <c r="C67" s="266" t="s">
        <v>39</v>
      </c>
      <c r="D67" s="265" t="s">
        <v>0</v>
      </c>
      <c r="E67" s="272">
        <v>0</v>
      </c>
      <c r="F67" s="272">
        <v>0</v>
      </c>
      <c r="G67" s="272">
        <f t="shared" si="1"/>
        <v>0</v>
      </c>
      <c r="H67" s="272">
        <v>5</v>
      </c>
      <c r="I67" s="287"/>
      <c r="J67" s="266" t="s">
        <v>623</v>
      </c>
      <c r="K67" s="278"/>
      <c r="L67" s="265" t="s">
        <v>88</v>
      </c>
      <c r="M67" s="259" t="s">
        <v>895</v>
      </c>
      <c r="N67" s="259" t="s">
        <v>896</v>
      </c>
      <c r="O67" s="279"/>
      <c r="P67" s="259"/>
      <c r="Q67" s="264"/>
      <c r="R67" s="264"/>
      <c r="S67" s="264"/>
      <c r="T67" s="264"/>
      <c r="U67" s="264"/>
      <c r="V67" s="259"/>
      <c r="W67" s="259"/>
      <c r="X67" s="259"/>
    </row>
    <row r="68" spans="1:24" s="261" customFormat="1" ht="78.75" x14ac:dyDescent="0.25">
      <c r="A68" s="265">
        <v>45</v>
      </c>
      <c r="B68" s="272" t="s">
        <v>857</v>
      </c>
      <c r="C68" s="266" t="s">
        <v>37</v>
      </c>
      <c r="D68" s="265" t="s">
        <v>17</v>
      </c>
      <c r="E68" s="272">
        <v>0</v>
      </c>
      <c r="F68" s="272">
        <v>0</v>
      </c>
      <c r="G68" s="272">
        <f t="shared" si="1"/>
        <v>0</v>
      </c>
      <c r="H68" s="272">
        <v>4</v>
      </c>
      <c r="I68" s="287"/>
      <c r="J68" s="266" t="s">
        <v>846</v>
      </c>
      <c r="K68" s="278" t="s">
        <v>121</v>
      </c>
      <c r="L68" s="265" t="s">
        <v>88</v>
      </c>
      <c r="M68" s="259" t="s">
        <v>895</v>
      </c>
      <c r="N68" s="259" t="s">
        <v>896</v>
      </c>
      <c r="O68" s="279"/>
      <c r="P68" s="259"/>
      <c r="Q68" s="264"/>
      <c r="R68" s="264"/>
      <c r="S68" s="264"/>
      <c r="T68" s="264"/>
      <c r="U68" s="264"/>
      <c r="V68" s="259"/>
      <c r="W68" s="259"/>
      <c r="X68" s="259"/>
    </row>
    <row r="69" spans="1:24" s="261" customFormat="1" ht="94.5" x14ac:dyDescent="0.25">
      <c r="A69" s="265">
        <v>46</v>
      </c>
      <c r="B69" s="272" t="s">
        <v>825</v>
      </c>
      <c r="C69" s="266" t="s">
        <v>26</v>
      </c>
      <c r="D69" s="265" t="s">
        <v>17</v>
      </c>
      <c r="E69" s="272">
        <v>0</v>
      </c>
      <c r="F69" s="272">
        <v>0</v>
      </c>
      <c r="G69" s="272">
        <f t="shared" si="1"/>
        <v>0</v>
      </c>
      <c r="H69" s="272">
        <f>VLOOKUP(B69,'[1]Tháng 7.2025'!$B$23:$H$153,7,0)</f>
        <v>2</v>
      </c>
      <c r="I69" s="287"/>
      <c r="J69" s="266" t="s">
        <v>847</v>
      </c>
      <c r="K69" s="277">
        <v>0</v>
      </c>
      <c r="L69" s="265" t="s">
        <v>88</v>
      </c>
      <c r="M69" s="259" t="s">
        <v>895</v>
      </c>
      <c r="N69" s="259" t="s">
        <v>896</v>
      </c>
      <c r="O69" s="279"/>
      <c r="P69" s="259"/>
      <c r="Q69" s="264"/>
      <c r="R69" s="264"/>
      <c r="S69" s="264"/>
      <c r="T69" s="264"/>
      <c r="U69" s="264"/>
      <c r="V69" s="259"/>
      <c r="W69" s="259"/>
      <c r="X69" s="259"/>
    </row>
    <row r="70" spans="1:24" s="264" customFormat="1" ht="31.5" x14ac:dyDescent="0.25">
      <c r="A70" s="265">
        <v>47</v>
      </c>
      <c r="B70" s="272" t="s">
        <v>459</v>
      </c>
      <c r="C70" s="266" t="s">
        <v>460</v>
      </c>
      <c r="D70" s="265" t="s">
        <v>59</v>
      </c>
      <c r="E70" s="272">
        <v>0</v>
      </c>
      <c r="F70" s="272">
        <v>0</v>
      </c>
      <c r="G70" s="272">
        <f t="shared" si="1"/>
        <v>0</v>
      </c>
      <c r="H70" s="272">
        <f>VLOOKUP(B70,'[1]Tháng 7.2025'!$B$23:$H$153,7,0)</f>
        <v>2</v>
      </c>
      <c r="I70" s="287"/>
      <c r="J70" s="266" t="s">
        <v>461</v>
      </c>
      <c r="K70" s="277"/>
      <c r="L70" s="276" t="s">
        <v>140</v>
      </c>
    </row>
    <row r="71" spans="1:24" s="261" customFormat="1" ht="94.5" x14ac:dyDescent="0.25">
      <c r="A71" s="265">
        <v>48</v>
      </c>
      <c r="B71" s="272" t="s">
        <v>361</v>
      </c>
      <c r="C71" s="266" t="s">
        <v>362</v>
      </c>
      <c r="D71" s="272" t="s">
        <v>0</v>
      </c>
      <c r="E71" s="272">
        <v>0</v>
      </c>
      <c r="F71" s="272">
        <v>0</v>
      </c>
      <c r="G71" s="272">
        <f t="shared" si="1"/>
        <v>0</v>
      </c>
      <c r="H71" s="272">
        <f>VLOOKUP(B71,'[1]Tháng 7.2025'!$B$23:$H$153,7,0)</f>
        <v>6</v>
      </c>
      <c r="I71" s="272"/>
      <c r="J71" s="266" t="s">
        <v>879</v>
      </c>
      <c r="K71" s="277"/>
      <c r="L71" s="265" t="s">
        <v>88</v>
      </c>
      <c r="M71" s="259" t="s">
        <v>895</v>
      </c>
      <c r="N71" s="259" t="s">
        <v>896</v>
      </c>
      <c r="O71" s="259"/>
      <c r="P71" s="259"/>
      <c r="Q71" s="264"/>
      <c r="R71" s="264"/>
      <c r="S71" s="264"/>
      <c r="T71" s="264"/>
      <c r="U71" s="264"/>
      <c r="V71" s="259"/>
      <c r="W71" s="259"/>
      <c r="X71" s="259"/>
    </row>
    <row r="72" spans="1:24" s="259" customFormat="1" ht="47.25" x14ac:dyDescent="0.25">
      <c r="A72" s="265">
        <v>49</v>
      </c>
      <c r="B72" s="272" t="s">
        <v>829</v>
      </c>
      <c r="C72" s="266" t="s">
        <v>831</v>
      </c>
      <c r="D72" s="265" t="s">
        <v>172</v>
      </c>
      <c r="E72" s="272">
        <v>0</v>
      </c>
      <c r="F72" s="272">
        <v>0</v>
      </c>
      <c r="G72" s="272">
        <f t="shared" si="1"/>
        <v>0</v>
      </c>
      <c r="H72" s="272">
        <v>5</v>
      </c>
      <c r="I72" s="265"/>
      <c r="J72" s="266" t="s">
        <v>859</v>
      </c>
      <c r="K72" s="278"/>
      <c r="L72" s="265" t="s">
        <v>76</v>
      </c>
      <c r="Q72" s="264"/>
      <c r="R72" s="264"/>
      <c r="S72" s="264"/>
      <c r="T72" s="264"/>
      <c r="U72" s="264"/>
    </row>
    <row r="73" spans="1:24" s="261" customFormat="1" ht="47.25" x14ac:dyDescent="0.25">
      <c r="A73" s="265">
        <v>50</v>
      </c>
      <c r="B73" s="272" t="s">
        <v>335</v>
      </c>
      <c r="C73" s="266" t="s">
        <v>336</v>
      </c>
      <c r="D73" s="265" t="s">
        <v>0</v>
      </c>
      <c r="E73" s="272">
        <v>0</v>
      </c>
      <c r="F73" s="272">
        <v>0</v>
      </c>
      <c r="G73" s="272">
        <f t="shared" si="1"/>
        <v>0</v>
      </c>
      <c r="H73" s="272">
        <v>2</v>
      </c>
      <c r="I73" s="265"/>
      <c r="J73" s="266" t="s">
        <v>1023</v>
      </c>
      <c r="K73" s="278"/>
      <c r="L73" s="265" t="s">
        <v>140</v>
      </c>
      <c r="M73" s="259"/>
      <c r="N73" s="259" t="s">
        <v>896</v>
      </c>
      <c r="O73" s="259"/>
      <c r="P73" s="259"/>
      <c r="Q73" s="264"/>
      <c r="R73" s="264"/>
      <c r="S73" s="264"/>
      <c r="T73" s="264"/>
      <c r="U73" s="264"/>
      <c r="V73" s="259"/>
      <c r="W73" s="259"/>
      <c r="X73" s="259"/>
    </row>
    <row r="74" spans="1:24" s="261" customFormat="1" ht="63" x14ac:dyDescent="0.25">
      <c r="A74" s="265">
        <v>51</v>
      </c>
      <c r="B74" s="272" t="s">
        <v>340</v>
      </c>
      <c r="C74" s="266" t="s">
        <v>341</v>
      </c>
      <c r="D74" s="265" t="s">
        <v>0</v>
      </c>
      <c r="E74" s="272">
        <v>0</v>
      </c>
      <c r="F74" s="272">
        <v>0</v>
      </c>
      <c r="G74" s="272">
        <f t="shared" si="1"/>
        <v>0</v>
      </c>
      <c r="H74" s="272">
        <v>2</v>
      </c>
      <c r="I74" s="265"/>
      <c r="J74" s="266" t="s">
        <v>1024</v>
      </c>
      <c r="K74" s="278"/>
      <c r="L74" s="265" t="s">
        <v>140</v>
      </c>
      <c r="M74" s="259"/>
      <c r="N74" s="259" t="s">
        <v>896</v>
      </c>
      <c r="O74" s="259"/>
      <c r="P74" s="259"/>
      <c r="Q74" s="264"/>
      <c r="R74" s="264"/>
      <c r="S74" s="264"/>
      <c r="T74" s="264"/>
      <c r="U74" s="264"/>
      <c r="V74" s="259"/>
      <c r="W74" s="259"/>
      <c r="X74" s="259"/>
    </row>
    <row r="75" spans="1:24" s="261" customFormat="1" ht="31.5" x14ac:dyDescent="0.25">
      <c r="A75" s="265">
        <v>52</v>
      </c>
      <c r="B75" s="265"/>
      <c r="C75" s="272" t="s">
        <v>1060</v>
      </c>
      <c r="D75" s="272" t="s">
        <v>59</v>
      </c>
      <c r="E75" s="272">
        <v>0</v>
      </c>
      <c r="F75" s="272">
        <v>0</v>
      </c>
      <c r="G75" s="272">
        <f t="shared" si="1"/>
        <v>0</v>
      </c>
      <c r="H75" s="272">
        <v>1</v>
      </c>
      <c r="I75" s="265"/>
      <c r="J75" s="266" t="s">
        <v>1063</v>
      </c>
      <c r="K75" s="278"/>
      <c r="L75" s="265" t="s">
        <v>76</v>
      </c>
      <c r="M75" s="259"/>
      <c r="N75" s="259"/>
      <c r="O75" s="259"/>
      <c r="P75" s="259"/>
      <c r="Q75" s="264"/>
      <c r="R75" s="264"/>
      <c r="S75" s="264"/>
      <c r="T75" s="264"/>
      <c r="U75" s="264"/>
      <c r="V75" s="259"/>
      <c r="W75" s="259"/>
      <c r="X75" s="259"/>
    </row>
    <row r="76" spans="1:24" s="261" customFormat="1" ht="31.5" x14ac:dyDescent="0.25">
      <c r="A76" s="265">
        <v>53</v>
      </c>
      <c r="B76" s="265"/>
      <c r="C76" s="272" t="s">
        <v>1061</v>
      </c>
      <c r="D76" s="272" t="s">
        <v>0</v>
      </c>
      <c r="E76" s="272">
        <v>0</v>
      </c>
      <c r="F76" s="272">
        <v>0</v>
      </c>
      <c r="G76" s="272">
        <f t="shared" si="1"/>
        <v>0</v>
      </c>
      <c r="H76" s="272">
        <v>1</v>
      </c>
      <c r="I76" s="265"/>
      <c r="J76" s="266" t="s">
        <v>1063</v>
      </c>
      <c r="K76" s="278"/>
      <c r="L76" s="265" t="s">
        <v>76</v>
      </c>
      <c r="M76" s="259"/>
      <c r="N76" s="259"/>
      <c r="O76" s="259"/>
      <c r="P76" s="259"/>
      <c r="Q76" s="264"/>
      <c r="R76" s="264"/>
      <c r="S76" s="264"/>
      <c r="T76" s="264"/>
      <c r="U76" s="264"/>
      <c r="V76" s="259"/>
      <c r="W76" s="259"/>
      <c r="X76" s="259"/>
    </row>
    <row r="77" spans="1:24" s="261" customFormat="1" ht="31.5" x14ac:dyDescent="0.25">
      <c r="A77" s="265">
        <v>54</v>
      </c>
      <c r="B77" s="265"/>
      <c r="C77" s="272" t="s">
        <v>1062</v>
      </c>
      <c r="D77" s="272" t="s">
        <v>0</v>
      </c>
      <c r="E77" s="272">
        <v>0</v>
      </c>
      <c r="F77" s="272">
        <v>0</v>
      </c>
      <c r="G77" s="272">
        <f t="shared" si="1"/>
        <v>0</v>
      </c>
      <c r="H77" s="272">
        <v>1</v>
      </c>
      <c r="I77" s="265"/>
      <c r="J77" s="266" t="s">
        <v>1063</v>
      </c>
      <c r="K77" s="278"/>
      <c r="L77" s="265" t="s">
        <v>76</v>
      </c>
      <c r="M77" s="259"/>
      <c r="N77" s="259"/>
      <c r="O77" s="259"/>
      <c r="P77" s="259"/>
      <c r="Q77" s="264"/>
      <c r="R77" s="264"/>
      <c r="S77" s="264"/>
      <c r="T77" s="264"/>
      <c r="U77" s="264"/>
      <c r="V77" s="259"/>
      <c r="W77" s="259"/>
      <c r="X77" s="259"/>
    </row>
    <row r="78" spans="1:24" s="261" customFormat="1" ht="78.75" x14ac:dyDescent="0.25">
      <c r="A78" s="265">
        <v>55</v>
      </c>
      <c r="B78" s="265" t="s">
        <v>1066</v>
      </c>
      <c r="C78" s="272" t="s">
        <v>1099</v>
      </c>
      <c r="D78" s="272" t="s">
        <v>0</v>
      </c>
      <c r="E78" s="272">
        <v>0</v>
      </c>
      <c r="F78" s="272">
        <v>0</v>
      </c>
      <c r="G78" s="272">
        <f t="shared" si="1"/>
        <v>0</v>
      </c>
      <c r="H78" s="272">
        <v>1014</v>
      </c>
      <c r="I78" s="265"/>
      <c r="J78" s="266" t="s">
        <v>1135</v>
      </c>
      <c r="K78" s="278"/>
      <c r="L78" s="265" t="s">
        <v>197</v>
      </c>
      <c r="M78" s="259"/>
      <c r="N78" s="259"/>
      <c r="O78" s="259"/>
      <c r="P78" s="259"/>
      <c r="Q78" s="264"/>
      <c r="R78" s="264"/>
      <c r="S78" s="264"/>
      <c r="T78" s="264"/>
      <c r="U78" s="264"/>
      <c r="V78" s="259"/>
      <c r="W78" s="259"/>
      <c r="X78" s="259"/>
    </row>
    <row r="79" spans="1:24" s="261" customFormat="1" ht="15.75" x14ac:dyDescent="0.25">
      <c r="A79" s="265">
        <v>56</v>
      </c>
      <c r="B79" s="265" t="s">
        <v>1067</v>
      </c>
      <c r="C79" s="272" t="s">
        <v>1100</v>
      </c>
      <c r="D79" s="272" t="s">
        <v>0</v>
      </c>
      <c r="E79" s="272">
        <v>0</v>
      </c>
      <c r="F79" s="272">
        <v>0</v>
      </c>
      <c r="G79" s="272">
        <f t="shared" si="1"/>
        <v>0</v>
      </c>
      <c r="H79" s="272">
        <v>60</v>
      </c>
      <c r="I79" s="265"/>
      <c r="J79" s="266" t="s">
        <v>1136</v>
      </c>
      <c r="K79" s="278"/>
      <c r="L79" s="265" t="s">
        <v>197</v>
      </c>
      <c r="M79" s="259"/>
      <c r="N79" s="259"/>
      <c r="O79" s="259"/>
      <c r="P79" s="259"/>
      <c r="Q79" s="264"/>
      <c r="R79" s="264"/>
      <c r="S79" s="264"/>
      <c r="T79" s="264"/>
      <c r="U79" s="264"/>
      <c r="V79" s="259"/>
      <c r="W79" s="259"/>
      <c r="X79" s="259"/>
    </row>
    <row r="80" spans="1:24" s="261" customFormat="1" ht="31.5" x14ac:dyDescent="0.25">
      <c r="A80" s="265">
        <v>57</v>
      </c>
      <c r="B80" s="265" t="s">
        <v>1068</v>
      </c>
      <c r="C80" s="272" t="s">
        <v>1101</v>
      </c>
      <c r="D80" s="272" t="s">
        <v>0</v>
      </c>
      <c r="E80" s="272">
        <v>0</v>
      </c>
      <c r="F80" s="272">
        <v>0</v>
      </c>
      <c r="G80" s="272">
        <f t="shared" si="1"/>
        <v>0</v>
      </c>
      <c r="H80" s="272">
        <v>30</v>
      </c>
      <c r="I80" s="265"/>
      <c r="J80" s="266" t="s">
        <v>1137</v>
      </c>
      <c r="K80" s="278"/>
      <c r="L80" s="265" t="s">
        <v>197</v>
      </c>
      <c r="M80" s="259"/>
      <c r="N80" s="259"/>
      <c r="O80" s="259"/>
      <c r="P80" s="259"/>
      <c r="Q80" s="264"/>
      <c r="R80" s="264"/>
      <c r="S80" s="264"/>
      <c r="T80" s="264"/>
      <c r="U80" s="264"/>
      <c r="V80" s="259"/>
      <c r="W80" s="259"/>
      <c r="X80" s="259"/>
    </row>
    <row r="81" spans="1:24" s="261" customFormat="1" ht="31.5" x14ac:dyDescent="0.25">
      <c r="A81" s="265">
        <v>58</v>
      </c>
      <c r="B81" s="265" t="s">
        <v>1069</v>
      </c>
      <c r="C81" s="272" t="s">
        <v>1102</v>
      </c>
      <c r="D81" s="272" t="s">
        <v>0</v>
      </c>
      <c r="E81" s="272">
        <v>0</v>
      </c>
      <c r="F81" s="272">
        <v>0</v>
      </c>
      <c r="G81" s="272">
        <f t="shared" si="1"/>
        <v>0</v>
      </c>
      <c r="H81" s="272">
        <v>500</v>
      </c>
      <c r="I81" s="265"/>
      <c r="J81" s="266" t="s">
        <v>1138</v>
      </c>
      <c r="K81" s="278"/>
      <c r="L81" s="265" t="s">
        <v>197</v>
      </c>
      <c r="M81" s="259"/>
      <c r="N81" s="259"/>
      <c r="O81" s="259"/>
      <c r="P81" s="259"/>
      <c r="Q81" s="264"/>
      <c r="R81" s="264"/>
      <c r="S81" s="264"/>
      <c r="T81" s="264"/>
      <c r="U81" s="264"/>
      <c r="V81" s="259"/>
      <c r="W81" s="259"/>
      <c r="X81" s="259"/>
    </row>
    <row r="82" spans="1:24" s="261" customFormat="1" ht="31.5" x14ac:dyDescent="0.25">
      <c r="A82" s="265">
        <v>59</v>
      </c>
      <c r="B82" s="265" t="s">
        <v>1070</v>
      </c>
      <c r="C82" s="272" t="s">
        <v>1103</v>
      </c>
      <c r="D82" s="272" t="s">
        <v>0</v>
      </c>
      <c r="E82" s="272">
        <v>0</v>
      </c>
      <c r="F82" s="272">
        <v>0</v>
      </c>
      <c r="G82" s="272">
        <f t="shared" si="1"/>
        <v>0</v>
      </c>
      <c r="H82" s="272">
        <v>12</v>
      </c>
      <c r="I82" s="265"/>
      <c r="J82" s="266" t="s">
        <v>1139</v>
      </c>
      <c r="K82" s="278"/>
      <c r="L82" s="265" t="s">
        <v>197</v>
      </c>
      <c r="M82" s="259"/>
      <c r="N82" s="259"/>
      <c r="O82" s="259"/>
      <c r="P82" s="259"/>
      <c r="Q82" s="264"/>
      <c r="R82" s="264"/>
      <c r="S82" s="264"/>
      <c r="T82" s="264"/>
      <c r="U82" s="264"/>
      <c r="V82" s="259"/>
      <c r="W82" s="259"/>
      <c r="X82" s="259"/>
    </row>
    <row r="83" spans="1:24" s="261" customFormat="1" ht="47.25" x14ac:dyDescent="0.25">
      <c r="A83" s="265">
        <v>60</v>
      </c>
      <c r="B83" s="265" t="s">
        <v>519</v>
      </c>
      <c r="C83" s="272" t="s">
        <v>518</v>
      </c>
      <c r="D83" s="272" t="s">
        <v>0</v>
      </c>
      <c r="E83" s="272">
        <v>0</v>
      </c>
      <c r="F83" s="272">
        <v>0</v>
      </c>
      <c r="G83" s="272">
        <f t="shared" si="1"/>
        <v>0</v>
      </c>
      <c r="H83" s="272">
        <v>4</v>
      </c>
      <c r="I83" s="265"/>
      <c r="J83" s="266" t="s">
        <v>1140</v>
      </c>
      <c r="K83" s="278"/>
      <c r="L83" s="265" t="s">
        <v>197</v>
      </c>
      <c r="M83" s="259"/>
      <c r="N83" s="259"/>
      <c r="O83" s="259"/>
      <c r="P83" s="259"/>
      <c r="Q83" s="264"/>
      <c r="R83" s="264"/>
      <c r="S83" s="264"/>
      <c r="T83" s="264"/>
      <c r="U83" s="264"/>
      <c r="V83" s="259"/>
      <c r="W83" s="259"/>
      <c r="X83" s="259"/>
    </row>
    <row r="84" spans="1:24" s="261" customFormat="1" ht="31.5" x14ac:dyDescent="0.25">
      <c r="A84" s="265">
        <v>61</v>
      </c>
      <c r="B84" s="265" t="s">
        <v>871</v>
      </c>
      <c r="C84" s="272" t="s">
        <v>872</v>
      </c>
      <c r="D84" s="272" t="s">
        <v>0</v>
      </c>
      <c r="E84" s="272">
        <v>0</v>
      </c>
      <c r="F84" s="272">
        <v>0</v>
      </c>
      <c r="G84" s="272">
        <f t="shared" si="1"/>
        <v>0</v>
      </c>
      <c r="H84" s="272">
        <v>8</v>
      </c>
      <c r="I84" s="265"/>
      <c r="J84" s="266" t="s">
        <v>1141</v>
      </c>
      <c r="K84" s="278"/>
      <c r="L84" s="265" t="s">
        <v>197</v>
      </c>
      <c r="M84" s="259"/>
      <c r="N84" s="259"/>
      <c r="O84" s="259"/>
      <c r="P84" s="259"/>
      <c r="Q84" s="264"/>
      <c r="R84" s="264"/>
      <c r="S84" s="264"/>
      <c r="T84" s="264"/>
      <c r="U84" s="264"/>
      <c r="V84" s="259"/>
      <c r="W84" s="259"/>
      <c r="X84" s="259"/>
    </row>
    <row r="85" spans="1:24" s="261" customFormat="1" ht="31.5" x14ac:dyDescent="0.25">
      <c r="A85" s="265">
        <v>62</v>
      </c>
      <c r="B85" s="265" t="s">
        <v>711</v>
      </c>
      <c r="C85" s="272" t="s">
        <v>712</v>
      </c>
      <c r="D85" s="272" t="s">
        <v>0</v>
      </c>
      <c r="E85" s="272">
        <v>0</v>
      </c>
      <c r="F85" s="272">
        <v>0</v>
      </c>
      <c r="G85" s="272">
        <f t="shared" si="1"/>
        <v>0</v>
      </c>
      <c r="H85" s="272">
        <v>3</v>
      </c>
      <c r="I85" s="265"/>
      <c r="J85" s="266" t="s">
        <v>1141</v>
      </c>
      <c r="K85" s="278"/>
      <c r="L85" s="265" t="s">
        <v>197</v>
      </c>
      <c r="M85" s="259"/>
      <c r="N85" s="259"/>
      <c r="O85" s="259"/>
      <c r="P85" s="259"/>
      <c r="Q85" s="264"/>
      <c r="R85" s="264"/>
      <c r="S85" s="264"/>
      <c r="T85" s="264"/>
      <c r="U85" s="264"/>
      <c r="V85" s="259"/>
      <c r="W85" s="259"/>
      <c r="X85" s="259"/>
    </row>
    <row r="86" spans="1:24" s="261" customFormat="1" ht="31.5" x14ac:dyDescent="0.25">
      <c r="A86" s="265">
        <v>63</v>
      </c>
      <c r="B86" s="265" t="s">
        <v>716</v>
      </c>
      <c r="C86" s="272" t="s">
        <v>717</v>
      </c>
      <c r="D86" s="272" t="s">
        <v>0</v>
      </c>
      <c r="E86" s="272">
        <v>0</v>
      </c>
      <c r="F86" s="272">
        <v>0</v>
      </c>
      <c r="G86" s="272">
        <f t="shared" si="1"/>
        <v>0</v>
      </c>
      <c r="H86" s="272">
        <v>7</v>
      </c>
      <c r="I86" s="265"/>
      <c r="J86" s="266" t="s">
        <v>1142</v>
      </c>
      <c r="K86" s="278"/>
      <c r="L86" s="265" t="s">
        <v>197</v>
      </c>
      <c r="M86" s="259"/>
      <c r="N86" s="259"/>
      <c r="O86" s="259"/>
      <c r="P86" s="259"/>
      <c r="Q86" s="264"/>
      <c r="R86" s="264"/>
      <c r="S86" s="264"/>
      <c r="T86" s="264"/>
      <c r="U86" s="264"/>
      <c r="V86" s="259"/>
      <c r="W86" s="259"/>
      <c r="X86" s="259"/>
    </row>
    <row r="87" spans="1:24" s="261" customFormat="1" ht="63" x14ac:dyDescent="0.25">
      <c r="A87" s="265">
        <v>64</v>
      </c>
      <c r="B87" s="265" t="s">
        <v>316</v>
      </c>
      <c r="C87" s="272" t="s">
        <v>317</v>
      </c>
      <c r="D87" s="272" t="s">
        <v>0</v>
      </c>
      <c r="E87" s="272">
        <v>0</v>
      </c>
      <c r="F87" s="272">
        <v>0</v>
      </c>
      <c r="G87" s="272">
        <f t="shared" si="1"/>
        <v>0</v>
      </c>
      <c r="H87" s="272">
        <v>4</v>
      </c>
      <c r="I87" s="265"/>
      <c r="J87" s="266" t="s">
        <v>1143</v>
      </c>
      <c r="K87" s="278"/>
      <c r="L87" s="265" t="s">
        <v>197</v>
      </c>
      <c r="M87" s="259"/>
      <c r="N87" s="259"/>
      <c r="O87" s="259"/>
      <c r="P87" s="259"/>
      <c r="Q87" s="264"/>
      <c r="R87" s="264"/>
      <c r="S87" s="264"/>
      <c r="T87" s="264"/>
      <c r="U87" s="264"/>
      <c r="V87" s="259"/>
      <c r="W87" s="259"/>
      <c r="X87" s="259"/>
    </row>
    <row r="88" spans="1:24" s="261" customFormat="1" ht="78.75" x14ac:dyDescent="0.25">
      <c r="A88" s="265">
        <v>65</v>
      </c>
      <c r="B88" s="265" t="s">
        <v>1071</v>
      </c>
      <c r="C88" s="272" t="s">
        <v>1104</v>
      </c>
      <c r="D88" s="272" t="s">
        <v>0</v>
      </c>
      <c r="E88" s="272">
        <v>0</v>
      </c>
      <c r="F88" s="272">
        <v>0</v>
      </c>
      <c r="G88" s="272">
        <f t="shared" si="1"/>
        <v>0</v>
      </c>
      <c r="H88" s="272">
        <v>1</v>
      </c>
      <c r="I88" s="265"/>
      <c r="J88" s="266" t="s">
        <v>1144</v>
      </c>
      <c r="K88" s="278"/>
      <c r="L88" s="265" t="s">
        <v>197</v>
      </c>
      <c r="M88" s="259"/>
      <c r="N88" s="259"/>
      <c r="O88" s="259"/>
      <c r="P88" s="259"/>
      <c r="Q88" s="264"/>
      <c r="R88" s="264"/>
      <c r="S88" s="264"/>
      <c r="T88" s="264"/>
      <c r="U88" s="264"/>
      <c r="V88" s="259"/>
      <c r="W88" s="259"/>
      <c r="X88" s="259"/>
    </row>
    <row r="89" spans="1:24" s="261" customFormat="1" ht="31.5" x14ac:dyDescent="0.25">
      <c r="A89" s="265">
        <v>66</v>
      </c>
      <c r="B89" s="265" t="s">
        <v>708</v>
      </c>
      <c r="C89" s="272" t="s">
        <v>1105</v>
      </c>
      <c r="D89" s="272" t="s">
        <v>0</v>
      </c>
      <c r="E89" s="272">
        <v>0</v>
      </c>
      <c r="F89" s="272">
        <v>0</v>
      </c>
      <c r="G89" s="272">
        <f t="shared" si="1"/>
        <v>0</v>
      </c>
      <c r="H89" s="272">
        <v>2</v>
      </c>
      <c r="I89" s="265"/>
      <c r="J89" s="266" t="s">
        <v>1145</v>
      </c>
      <c r="K89" s="278"/>
      <c r="L89" s="265" t="s">
        <v>197</v>
      </c>
      <c r="M89" s="259"/>
      <c r="N89" s="259"/>
      <c r="O89" s="259"/>
      <c r="P89" s="259"/>
      <c r="Q89" s="264"/>
      <c r="R89" s="264"/>
      <c r="S89" s="264"/>
      <c r="T89" s="264"/>
      <c r="U89" s="264"/>
      <c r="V89" s="259"/>
      <c r="W89" s="259"/>
      <c r="X89" s="259"/>
    </row>
    <row r="90" spans="1:24" s="261" customFormat="1" ht="47.25" x14ac:dyDescent="0.25">
      <c r="A90" s="265">
        <v>67</v>
      </c>
      <c r="B90" s="265" t="s">
        <v>335</v>
      </c>
      <c r="C90" s="272" t="s">
        <v>336</v>
      </c>
      <c r="D90" s="272" t="s">
        <v>0</v>
      </c>
      <c r="E90" s="272">
        <v>0</v>
      </c>
      <c r="F90" s="272">
        <v>0</v>
      </c>
      <c r="G90" s="272">
        <f t="shared" si="1"/>
        <v>0</v>
      </c>
      <c r="H90" s="272">
        <v>2</v>
      </c>
      <c r="I90" s="265"/>
      <c r="J90" s="266" t="s">
        <v>1146</v>
      </c>
      <c r="K90" s="278"/>
      <c r="L90" s="265" t="s">
        <v>197</v>
      </c>
      <c r="M90" s="259"/>
      <c r="N90" s="259"/>
      <c r="O90" s="259"/>
      <c r="P90" s="259"/>
      <c r="Q90" s="264"/>
      <c r="R90" s="264"/>
      <c r="S90" s="264"/>
      <c r="T90" s="264"/>
      <c r="U90" s="264"/>
      <c r="V90" s="259"/>
      <c r="W90" s="259"/>
      <c r="X90" s="259"/>
    </row>
    <row r="91" spans="1:24" s="261" customFormat="1" ht="63" x14ac:dyDescent="0.25">
      <c r="A91" s="265">
        <v>68</v>
      </c>
      <c r="B91" s="265" t="s">
        <v>338</v>
      </c>
      <c r="C91" s="272" t="s">
        <v>339</v>
      </c>
      <c r="D91" s="272" t="s">
        <v>0</v>
      </c>
      <c r="E91" s="272">
        <v>0</v>
      </c>
      <c r="F91" s="272">
        <v>0</v>
      </c>
      <c r="G91" s="272">
        <f t="shared" si="1"/>
        <v>0</v>
      </c>
      <c r="H91" s="272">
        <v>218</v>
      </c>
      <c r="I91" s="265"/>
      <c r="J91" s="266" t="s">
        <v>1147</v>
      </c>
      <c r="K91" s="278"/>
      <c r="L91" s="265" t="s">
        <v>197</v>
      </c>
      <c r="M91" s="259"/>
      <c r="N91" s="259"/>
      <c r="O91" s="259"/>
      <c r="P91" s="259"/>
      <c r="Q91" s="264"/>
      <c r="R91" s="264"/>
      <c r="S91" s="264"/>
      <c r="T91" s="264"/>
      <c r="U91" s="264"/>
      <c r="V91" s="259"/>
      <c r="W91" s="259"/>
      <c r="X91" s="259"/>
    </row>
    <row r="92" spans="1:24" s="261" customFormat="1" ht="78.75" x14ac:dyDescent="0.25">
      <c r="A92" s="265">
        <v>69</v>
      </c>
      <c r="B92" s="265" t="s">
        <v>1072</v>
      </c>
      <c r="C92" s="272" t="s">
        <v>1106</v>
      </c>
      <c r="D92" s="272" t="s">
        <v>0</v>
      </c>
      <c r="E92" s="272">
        <v>0</v>
      </c>
      <c r="F92" s="272">
        <v>0</v>
      </c>
      <c r="G92" s="272">
        <f t="shared" si="1"/>
        <v>0</v>
      </c>
      <c r="H92" s="272">
        <v>5</v>
      </c>
      <c r="I92" s="265"/>
      <c r="J92" s="266" t="s">
        <v>1148</v>
      </c>
      <c r="K92" s="278"/>
      <c r="L92" s="265" t="s">
        <v>197</v>
      </c>
      <c r="M92" s="259"/>
      <c r="N92" s="259"/>
      <c r="O92" s="259"/>
      <c r="P92" s="259"/>
      <c r="Q92" s="264"/>
      <c r="R92" s="264"/>
      <c r="S92" s="264"/>
      <c r="T92" s="264"/>
      <c r="U92" s="264"/>
      <c r="V92" s="259"/>
      <c r="W92" s="259"/>
      <c r="X92" s="259"/>
    </row>
    <row r="93" spans="1:24" s="261" customFormat="1" ht="63" x14ac:dyDescent="0.25">
      <c r="A93" s="265">
        <v>70</v>
      </c>
      <c r="B93" s="265" t="s">
        <v>340</v>
      </c>
      <c r="C93" s="272" t="s">
        <v>341</v>
      </c>
      <c r="D93" s="272" t="s">
        <v>0</v>
      </c>
      <c r="E93" s="272">
        <v>0</v>
      </c>
      <c r="F93" s="272">
        <v>0</v>
      </c>
      <c r="G93" s="272">
        <f t="shared" si="1"/>
        <v>0</v>
      </c>
      <c r="H93" s="272">
        <v>4</v>
      </c>
      <c r="I93" s="265"/>
      <c r="J93" s="266" t="s">
        <v>1149</v>
      </c>
      <c r="K93" s="278"/>
      <c r="L93" s="265" t="s">
        <v>197</v>
      </c>
      <c r="M93" s="259"/>
      <c r="N93" s="259"/>
      <c r="O93" s="259"/>
      <c r="P93" s="259"/>
      <c r="Q93" s="264"/>
      <c r="R93" s="264"/>
      <c r="S93" s="264"/>
      <c r="T93" s="264"/>
      <c r="U93" s="264"/>
      <c r="V93" s="259"/>
      <c r="W93" s="259"/>
      <c r="X93" s="259"/>
    </row>
    <row r="94" spans="1:24" s="261" customFormat="1" ht="94.5" x14ac:dyDescent="0.25">
      <c r="A94" s="265">
        <v>71</v>
      </c>
      <c r="B94" s="265" t="s">
        <v>190</v>
      </c>
      <c r="C94" s="272" t="s">
        <v>191</v>
      </c>
      <c r="D94" s="272" t="s">
        <v>0</v>
      </c>
      <c r="E94" s="272">
        <v>0</v>
      </c>
      <c r="F94" s="272">
        <v>0</v>
      </c>
      <c r="G94" s="272">
        <f t="shared" si="1"/>
        <v>0</v>
      </c>
      <c r="H94" s="272">
        <v>1</v>
      </c>
      <c r="I94" s="265"/>
      <c r="J94" s="266" t="s">
        <v>1150</v>
      </c>
      <c r="K94" s="278"/>
      <c r="L94" s="265" t="s">
        <v>197</v>
      </c>
      <c r="M94" s="259"/>
      <c r="N94" s="259"/>
      <c r="O94" s="259"/>
      <c r="P94" s="259"/>
      <c r="Q94" s="264"/>
      <c r="R94" s="264"/>
      <c r="S94" s="264"/>
      <c r="T94" s="264"/>
      <c r="U94" s="264"/>
      <c r="V94" s="259"/>
      <c r="W94" s="259"/>
      <c r="X94" s="259"/>
    </row>
    <row r="95" spans="1:24" s="261" customFormat="1" ht="94.5" x14ac:dyDescent="0.25">
      <c r="A95" s="265">
        <v>72</v>
      </c>
      <c r="B95" s="265" t="s">
        <v>641</v>
      </c>
      <c r="C95" s="272" t="s">
        <v>1107</v>
      </c>
      <c r="D95" s="272" t="s">
        <v>0</v>
      </c>
      <c r="E95" s="272">
        <v>0</v>
      </c>
      <c r="F95" s="272">
        <v>0</v>
      </c>
      <c r="G95" s="272">
        <f t="shared" si="1"/>
        <v>0</v>
      </c>
      <c r="H95" s="272">
        <v>6</v>
      </c>
      <c r="I95" s="265"/>
      <c r="J95" s="266" t="s">
        <v>1151</v>
      </c>
      <c r="K95" s="278"/>
      <c r="L95" s="265" t="s">
        <v>197</v>
      </c>
      <c r="M95" s="259"/>
      <c r="N95" s="259"/>
      <c r="O95" s="259"/>
      <c r="P95" s="259"/>
      <c r="Q95" s="264"/>
      <c r="R95" s="264"/>
      <c r="S95" s="264"/>
      <c r="T95" s="264"/>
      <c r="U95" s="264"/>
      <c r="V95" s="259"/>
      <c r="W95" s="259"/>
      <c r="X95" s="259"/>
    </row>
    <row r="96" spans="1:24" s="261" customFormat="1" ht="94.5" x14ac:dyDescent="0.25">
      <c r="A96" s="265">
        <v>73</v>
      </c>
      <c r="B96" s="265" t="s">
        <v>1073</v>
      </c>
      <c r="C96" s="272" t="s">
        <v>1108</v>
      </c>
      <c r="D96" s="272" t="s">
        <v>0</v>
      </c>
      <c r="E96" s="272">
        <v>0</v>
      </c>
      <c r="F96" s="272">
        <v>0</v>
      </c>
      <c r="G96" s="272">
        <f t="shared" si="1"/>
        <v>0</v>
      </c>
      <c r="H96" s="272">
        <v>2</v>
      </c>
      <c r="I96" s="265"/>
      <c r="J96" s="266" t="s">
        <v>1151</v>
      </c>
      <c r="K96" s="278"/>
      <c r="L96" s="265" t="s">
        <v>197</v>
      </c>
      <c r="M96" s="259"/>
      <c r="N96" s="259"/>
      <c r="O96" s="259"/>
      <c r="P96" s="259"/>
      <c r="Q96" s="264"/>
      <c r="R96" s="264"/>
      <c r="S96" s="264"/>
      <c r="T96" s="264"/>
      <c r="U96" s="264"/>
      <c r="V96" s="259"/>
      <c r="W96" s="259"/>
      <c r="X96" s="259"/>
    </row>
    <row r="97" spans="1:24" s="261" customFormat="1" ht="78.75" x14ac:dyDescent="0.25">
      <c r="A97" s="265">
        <v>74</v>
      </c>
      <c r="B97" s="265" t="s">
        <v>1074</v>
      </c>
      <c r="C97" s="272" t="s">
        <v>1109</v>
      </c>
      <c r="D97" s="272" t="s">
        <v>0</v>
      </c>
      <c r="E97" s="272">
        <v>0</v>
      </c>
      <c r="F97" s="272">
        <v>0</v>
      </c>
      <c r="G97" s="272">
        <f t="shared" si="1"/>
        <v>0</v>
      </c>
      <c r="H97" s="272">
        <v>2</v>
      </c>
      <c r="I97" s="265"/>
      <c r="J97" s="266" t="s">
        <v>1144</v>
      </c>
      <c r="K97" s="278"/>
      <c r="L97" s="265" t="s">
        <v>197</v>
      </c>
      <c r="M97" s="259"/>
      <c r="N97" s="259"/>
      <c r="O97" s="259"/>
      <c r="P97" s="259"/>
      <c r="Q97" s="264"/>
      <c r="R97" s="264"/>
      <c r="S97" s="264"/>
      <c r="T97" s="264"/>
      <c r="U97" s="264"/>
      <c r="V97" s="259"/>
      <c r="W97" s="259"/>
      <c r="X97" s="259"/>
    </row>
    <row r="98" spans="1:24" s="261" customFormat="1" ht="47.25" x14ac:dyDescent="0.25">
      <c r="A98" s="265">
        <v>75</v>
      </c>
      <c r="B98" s="265" t="s">
        <v>1075</v>
      </c>
      <c r="C98" s="272" t="s">
        <v>1110</v>
      </c>
      <c r="D98" s="272" t="s">
        <v>0</v>
      </c>
      <c r="E98" s="272">
        <v>0</v>
      </c>
      <c r="F98" s="272">
        <v>0</v>
      </c>
      <c r="G98" s="272">
        <f t="shared" si="1"/>
        <v>0</v>
      </c>
      <c r="H98" s="272">
        <v>4</v>
      </c>
      <c r="I98" s="265"/>
      <c r="J98" s="266" t="s">
        <v>1152</v>
      </c>
      <c r="K98" s="278"/>
      <c r="L98" s="265" t="s">
        <v>197</v>
      </c>
      <c r="M98" s="259"/>
      <c r="N98" s="259"/>
      <c r="O98" s="259"/>
      <c r="P98" s="259"/>
      <c r="Q98" s="264"/>
      <c r="R98" s="264"/>
      <c r="S98" s="264"/>
      <c r="T98" s="264"/>
      <c r="U98" s="264"/>
      <c r="V98" s="259"/>
      <c r="W98" s="259"/>
      <c r="X98" s="259"/>
    </row>
    <row r="99" spans="1:24" s="261" customFormat="1" ht="63" x14ac:dyDescent="0.25">
      <c r="A99" s="265">
        <v>76</v>
      </c>
      <c r="B99" s="265" t="s">
        <v>1076</v>
      </c>
      <c r="C99" s="272" t="s">
        <v>1111</v>
      </c>
      <c r="D99" s="272" t="s">
        <v>0</v>
      </c>
      <c r="E99" s="272">
        <v>0</v>
      </c>
      <c r="F99" s="272">
        <v>0</v>
      </c>
      <c r="G99" s="272">
        <f t="shared" si="1"/>
        <v>0</v>
      </c>
      <c r="H99" s="272">
        <v>1</v>
      </c>
      <c r="I99" s="265"/>
      <c r="J99" s="266" t="s">
        <v>1152</v>
      </c>
      <c r="K99" s="278"/>
      <c r="L99" s="265" t="s">
        <v>197</v>
      </c>
      <c r="M99" s="259"/>
      <c r="N99" s="259"/>
      <c r="O99" s="259"/>
      <c r="P99" s="259"/>
      <c r="Q99" s="264"/>
      <c r="R99" s="264"/>
      <c r="S99" s="264"/>
      <c r="T99" s="264"/>
      <c r="U99" s="264"/>
      <c r="V99" s="259"/>
      <c r="W99" s="259"/>
      <c r="X99" s="259"/>
    </row>
    <row r="100" spans="1:24" s="261" customFormat="1" ht="78.75" x14ac:dyDescent="0.25">
      <c r="A100" s="265">
        <v>77</v>
      </c>
      <c r="B100" s="265" t="s">
        <v>1077</v>
      </c>
      <c r="C100" s="272" t="s">
        <v>1112</v>
      </c>
      <c r="D100" s="272" t="s">
        <v>0</v>
      </c>
      <c r="E100" s="272">
        <v>0</v>
      </c>
      <c r="F100" s="272">
        <v>0</v>
      </c>
      <c r="G100" s="272">
        <f t="shared" si="1"/>
        <v>0</v>
      </c>
      <c r="H100" s="272">
        <v>4</v>
      </c>
      <c r="I100" s="265"/>
      <c r="J100" s="266" t="s">
        <v>1153</v>
      </c>
      <c r="K100" s="278"/>
      <c r="L100" s="265" t="s">
        <v>197</v>
      </c>
      <c r="M100" s="259"/>
      <c r="N100" s="259"/>
      <c r="O100" s="259"/>
      <c r="P100" s="259"/>
      <c r="Q100" s="264"/>
      <c r="R100" s="264"/>
      <c r="S100" s="264"/>
      <c r="T100" s="264"/>
      <c r="U100" s="264"/>
      <c r="V100" s="259"/>
      <c r="W100" s="259"/>
      <c r="X100" s="259"/>
    </row>
    <row r="101" spans="1:24" s="261" customFormat="1" ht="63" x14ac:dyDescent="0.25">
      <c r="A101" s="265">
        <v>78</v>
      </c>
      <c r="B101" s="265" t="s">
        <v>1078</v>
      </c>
      <c r="C101" s="272" t="s">
        <v>1113</v>
      </c>
      <c r="D101" s="272" t="s">
        <v>0</v>
      </c>
      <c r="E101" s="272">
        <v>0</v>
      </c>
      <c r="F101" s="272">
        <v>0</v>
      </c>
      <c r="G101" s="272">
        <f t="shared" si="1"/>
        <v>0</v>
      </c>
      <c r="H101" s="272">
        <v>4</v>
      </c>
      <c r="I101" s="265"/>
      <c r="J101" s="266" t="s">
        <v>1154</v>
      </c>
      <c r="K101" s="278"/>
      <c r="L101" s="265" t="s">
        <v>197</v>
      </c>
      <c r="M101" s="259"/>
      <c r="N101" s="259"/>
      <c r="O101" s="259"/>
      <c r="P101" s="259"/>
      <c r="Q101" s="264"/>
      <c r="R101" s="264"/>
      <c r="S101" s="264"/>
      <c r="T101" s="264"/>
      <c r="U101" s="264"/>
      <c r="V101" s="259"/>
      <c r="W101" s="259"/>
      <c r="X101" s="259"/>
    </row>
    <row r="102" spans="1:24" s="261" customFormat="1" ht="94.5" x14ac:dyDescent="0.25">
      <c r="A102" s="265">
        <v>79</v>
      </c>
      <c r="B102" s="265" t="s">
        <v>1079</v>
      </c>
      <c r="C102" s="272" t="s">
        <v>1114</v>
      </c>
      <c r="D102" s="272" t="s">
        <v>0</v>
      </c>
      <c r="E102" s="272">
        <v>0</v>
      </c>
      <c r="F102" s="272">
        <v>0</v>
      </c>
      <c r="G102" s="272">
        <f t="shared" si="1"/>
        <v>0</v>
      </c>
      <c r="H102" s="272">
        <v>234</v>
      </c>
      <c r="I102" s="265"/>
      <c r="J102" s="266" t="s">
        <v>1155</v>
      </c>
      <c r="K102" s="278"/>
      <c r="L102" s="265" t="s">
        <v>197</v>
      </c>
      <c r="M102" s="259"/>
      <c r="N102" s="259"/>
      <c r="O102" s="259"/>
      <c r="P102" s="259"/>
      <c r="Q102" s="264"/>
      <c r="R102" s="264"/>
      <c r="S102" s="264"/>
      <c r="T102" s="264"/>
      <c r="U102" s="264"/>
      <c r="V102" s="259"/>
      <c r="W102" s="259"/>
      <c r="X102" s="259"/>
    </row>
    <row r="103" spans="1:24" s="261" customFormat="1" ht="31.5" x14ac:dyDescent="0.25">
      <c r="A103" s="265">
        <v>80</v>
      </c>
      <c r="B103" s="265" t="s">
        <v>821</v>
      </c>
      <c r="C103" s="272" t="s">
        <v>1115</v>
      </c>
      <c r="D103" s="272" t="s">
        <v>0</v>
      </c>
      <c r="E103" s="272">
        <v>0</v>
      </c>
      <c r="F103" s="272">
        <v>0</v>
      </c>
      <c r="G103" s="272">
        <f t="shared" si="1"/>
        <v>0</v>
      </c>
      <c r="H103" s="272">
        <v>10</v>
      </c>
      <c r="I103" s="265"/>
      <c r="J103" s="266" t="s">
        <v>1156</v>
      </c>
      <c r="K103" s="278"/>
      <c r="L103" s="265" t="s">
        <v>197</v>
      </c>
      <c r="M103" s="259"/>
      <c r="N103" s="259"/>
      <c r="O103" s="259"/>
      <c r="P103" s="259"/>
      <c r="Q103" s="264"/>
      <c r="R103" s="264"/>
      <c r="S103" s="264"/>
      <c r="T103" s="264"/>
      <c r="U103" s="264"/>
      <c r="V103" s="259"/>
      <c r="W103" s="259"/>
      <c r="X103" s="259"/>
    </row>
    <row r="104" spans="1:24" s="261" customFormat="1" ht="15.75" x14ac:dyDescent="0.25">
      <c r="A104" s="265">
        <v>81</v>
      </c>
      <c r="B104" s="265" t="s">
        <v>1080</v>
      </c>
      <c r="C104" s="272" t="s">
        <v>1116</v>
      </c>
      <c r="D104" s="272" t="s">
        <v>0</v>
      </c>
      <c r="E104" s="272">
        <v>0</v>
      </c>
      <c r="F104" s="272">
        <v>0</v>
      </c>
      <c r="G104" s="272">
        <f t="shared" si="1"/>
        <v>0</v>
      </c>
      <c r="H104" s="272">
        <v>7</v>
      </c>
      <c r="I104" s="265"/>
      <c r="J104" s="266" t="s">
        <v>1157</v>
      </c>
      <c r="K104" s="278"/>
      <c r="L104" s="265" t="s">
        <v>197</v>
      </c>
      <c r="M104" s="259"/>
      <c r="N104" s="259"/>
      <c r="O104" s="259"/>
      <c r="P104" s="259"/>
      <c r="Q104" s="264"/>
      <c r="R104" s="264"/>
      <c r="S104" s="264"/>
      <c r="T104" s="264"/>
      <c r="U104" s="264"/>
      <c r="V104" s="259"/>
      <c r="W104" s="259"/>
      <c r="X104" s="259"/>
    </row>
    <row r="105" spans="1:24" s="261" customFormat="1" ht="78.75" x14ac:dyDescent="0.25">
      <c r="A105" s="265">
        <v>82</v>
      </c>
      <c r="B105" s="265" t="s">
        <v>1081</v>
      </c>
      <c r="C105" s="272" t="s">
        <v>1117</v>
      </c>
      <c r="D105" s="272" t="s">
        <v>0</v>
      </c>
      <c r="E105" s="272">
        <v>0</v>
      </c>
      <c r="F105" s="272">
        <v>0</v>
      </c>
      <c r="G105" s="272">
        <f t="shared" si="1"/>
        <v>0</v>
      </c>
      <c r="H105" s="272">
        <v>10</v>
      </c>
      <c r="I105" s="265"/>
      <c r="J105" s="266" t="s">
        <v>1158</v>
      </c>
      <c r="K105" s="278"/>
      <c r="L105" s="265" t="s">
        <v>197</v>
      </c>
      <c r="M105" s="259"/>
      <c r="N105" s="259"/>
      <c r="O105" s="259"/>
      <c r="P105" s="259"/>
      <c r="Q105" s="264"/>
      <c r="R105" s="264"/>
      <c r="S105" s="264"/>
      <c r="T105" s="264"/>
      <c r="U105" s="264"/>
      <c r="V105" s="259"/>
      <c r="W105" s="259"/>
      <c r="X105" s="259"/>
    </row>
    <row r="106" spans="1:24" s="261" customFormat="1" ht="31.5" x14ac:dyDescent="0.25">
      <c r="A106" s="265">
        <v>83</v>
      </c>
      <c r="B106" s="265" t="s">
        <v>1082</v>
      </c>
      <c r="C106" s="272" t="s">
        <v>1118</v>
      </c>
      <c r="D106" s="272" t="s">
        <v>0</v>
      </c>
      <c r="E106" s="272">
        <v>0</v>
      </c>
      <c r="F106" s="272">
        <v>0</v>
      </c>
      <c r="G106" s="272">
        <f t="shared" si="1"/>
        <v>0</v>
      </c>
      <c r="H106" s="272">
        <v>24</v>
      </c>
      <c r="I106" s="265"/>
      <c r="J106" s="266" t="s">
        <v>1140</v>
      </c>
      <c r="K106" s="278"/>
      <c r="L106" s="265" t="s">
        <v>197</v>
      </c>
      <c r="M106" s="259"/>
      <c r="N106" s="259"/>
      <c r="O106" s="259"/>
      <c r="P106" s="259"/>
      <c r="Q106" s="264"/>
      <c r="R106" s="264"/>
      <c r="S106" s="264"/>
      <c r="T106" s="264"/>
      <c r="U106" s="264"/>
      <c r="V106" s="259"/>
      <c r="W106" s="259"/>
      <c r="X106" s="259"/>
    </row>
    <row r="107" spans="1:24" s="261" customFormat="1" ht="47.25" x14ac:dyDescent="0.25">
      <c r="A107" s="265">
        <v>84</v>
      </c>
      <c r="B107" s="265" t="s">
        <v>1083</v>
      </c>
      <c r="C107" s="272" t="s">
        <v>1119</v>
      </c>
      <c r="D107" s="272" t="s">
        <v>0</v>
      </c>
      <c r="E107" s="272">
        <v>0</v>
      </c>
      <c r="F107" s="272">
        <v>0</v>
      </c>
      <c r="G107" s="272">
        <f t="shared" si="1"/>
        <v>0</v>
      </c>
      <c r="H107" s="272">
        <v>10</v>
      </c>
      <c r="I107" s="265"/>
      <c r="J107" s="266" t="s">
        <v>1159</v>
      </c>
      <c r="K107" s="278"/>
      <c r="L107" s="265" t="s">
        <v>197</v>
      </c>
      <c r="M107" s="259"/>
      <c r="N107" s="259"/>
      <c r="O107" s="259"/>
      <c r="P107" s="259"/>
      <c r="Q107" s="264"/>
      <c r="R107" s="264"/>
      <c r="S107" s="264"/>
      <c r="T107" s="264"/>
      <c r="U107" s="264"/>
      <c r="V107" s="259"/>
      <c r="W107" s="259"/>
      <c r="X107" s="259"/>
    </row>
    <row r="108" spans="1:24" s="261" customFormat="1" ht="63" x14ac:dyDescent="0.25">
      <c r="A108" s="265">
        <v>85</v>
      </c>
      <c r="B108" s="265" t="s">
        <v>1084</v>
      </c>
      <c r="C108" s="272" t="s">
        <v>1120</v>
      </c>
      <c r="D108" s="272" t="s">
        <v>0</v>
      </c>
      <c r="E108" s="272">
        <v>0</v>
      </c>
      <c r="F108" s="272">
        <v>0</v>
      </c>
      <c r="G108" s="272">
        <f t="shared" si="1"/>
        <v>0</v>
      </c>
      <c r="H108" s="272">
        <v>1</v>
      </c>
      <c r="I108" s="265"/>
      <c r="J108" s="266" t="s">
        <v>1152</v>
      </c>
      <c r="K108" s="278"/>
      <c r="L108" s="265" t="s">
        <v>197</v>
      </c>
      <c r="M108" s="259"/>
      <c r="N108" s="259"/>
      <c r="O108" s="259"/>
      <c r="P108" s="259"/>
      <c r="Q108" s="264"/>
      <c r="R108" s="264"/>
      <c r="S108" s="264"/>
      <c r="T108" s="264"/>
      <c r="U108" s="264"/>
      <c r="V108" s="259"/>
      <c r="W108" s="259"/>
      <c r="X108" s="259"/>
    </row>
    <row r="109" spans="1:24" s="261" customFormat="1" ht="15.75" x14ac:dyDescent="0.25">
      <c r="A109" s="265">
        <v>86</v>
      </c>
      <c r="B109" s="265" t="s">
        <v>1085</v>
      </c>
      <c r="C109" s="272" t="s">
        <v>1121</v>
      </c>
      <c r="D109" s="272" t="s">
        <v>0</v>
      </c>
      <c r="E109" s="272">
        <v>0</v>
      </c>
      <c r="F109" s="272">
        <v>0</v>
      </c>
      <c r="G109" s="272">
        <f t="shared" si="1"/>
        <v>0</v>
      </c>
      <c r="H109" s="272">
        <v>1</v>
      </c>
      <c r="I109" s="265"/>
      <c r="J109" s="266" t="s">
        <v>1160</v>
      </c>
      <c r="K109" s="278"/>
      <c r="L109" s="265" t="s">
        <v>197</v>
      </c>
      <c r="M109" s="259"/>
      <c r="N109" s="259"/>
      <c r="O109" s="259"/>
      <c r="P109" s="259"/>
      <c r="Q109" s="264"/>
      <c r="R109" s="264"/>
      <c r="S109" s="264"/>
      <c r="T109" s="264"/>
      <c r="U109" s="264"/>
      <c r="V109" s="259"/>
      <c r="W109" s="259"/>
      <c r="X109" s="259"/>
    </row>
    <row r="110" spans="1:24" s="261" customFormat="1" ht="47.25" x14ac:dyDescent="0.25">
      <c r="A110" s="265">
        <v>87</v>
      </c>
      <c r="B110" s="265" t="s">
        <v>1086</v>
      </c>
      <c r="C110" s="272" t="s">
        <v>1122</v>
      </c>
      <c r="D110" s="272" t="s">
        <v>0</v>
      </c>
      <c r="E110" s="272">
        <v>0</v>
      </c>
      <c r="F110" s="272">
        <v>0</v>
      </c>
      <c r="G110" s="272">
        <f t="shared" si="1"/>
        <v>0</v>
      </c>
      <c r="H110" s="272">
        <v>4</v>
      </c>
      <c r="I110" s="265"/>
      <c r="J110" s="266" t="s">
        <v>1152</v>
      </c>
      <c r="K110" s="278"/>
      <c r="L110" s="265" t="s">
        <v>197</v>
      </c>
      <c r="M110" s="259"/>
      <c r="N110" s="259"/>
      <c r="O110" s="259"/>
      <c r="P110" s="259"/>
      <c r="Q110" s="264"/>
      <c r="R110" s="264"/>
      <c r="S110" s="264"/>
      <c r="T110" s="264"/>
      <c r="U110" s="264"/>
      <c r="V110" s="259"/>
      <c r="W110" s="259"/>
      <c r="X110" s="259"/>
    </row>
    <row r="111" spans="1:24" s="261" customFormat="1" ht="78.75" x14ac:dyDescent="0.25">
      <c r="A111" s="265">
        <v>88</v>
      </c>
      <c r="B111" s="265" t="s">
        <v>1087</v>
      </c>
      <c r="C111" s="272" t="s">
        <v>1123</v>
      </c>
      <c r="D111" s="272" t="s">
        <v>0</v>
      </c>
      <c r="E111" s="272">
        <v>0</v>
      </c>
      <c r="F111" s="272">
        <v>0</v>
      </c>
      <c r="G111" s="272">
        <f t="shared" si="1"/>
        <v>0</v>
      </c>
      <c r="H111" s="272">
        <v>12</v>
      </c>
      <c r="I111" s="265"/>
      <c r="J111" s="266" t="s">
        <v>1161</v>
      </c>
      <c r="K111" s="278"/>
      <c r="L111" s="265" t="s">
        <v>197</v>
      </c>
      <c r="M111" s="259"/>
      <c r="N111" s="259"/>
      <c r="O111" s="259"/>
      <c r="P111" s="259"/>
      <c r="Q111" s="264"/>
      <c r="R111" s="264"/>
      <c r="S111" s="264"/>
      <c r="T111" s="264"/>
      <c r="U111" s="264"/>
      <c r="V111" s="259"/>
      <c r="W111" s="259"/>
      <c r="X111" s="259"/>
    </row>
    <row r="112" spans="1:24" s="261" customFormat="1" ht="31.5" x14ac:dyDescent="0.25">
      <c r="A112" s="265">
        <v>89</v>
      </c>
      <c r="B112" s="265" t="s">
        <v>828</v>
      </c>
      <c r="C112" s="272" t="s">
        <v>1124</v>
      </c>
      <c r="D112" s="272" t="s">
        <v>0</v>
      </c>
      <c r="E112" s="272">
        <v>0</v>
      </c>
      <c r="F112" s="272">
        <v>0</v>
      </c>
      <c r="G112" s="272">
        <f t="shared" si="1"/>
        <v>0</v>
      </c>
      <c r="H112" s="272">
        <v>9</v>
      </c>
      <c r="I112" s="265"/>
      <c r="J112" s="266" t="s">
        <v>1162</v>
      </c>
      <c r="K112" s="278"/>
      <c r="L112" s="265" t="s">
        <v>197</v>
      </c>
      <c r="M112" s="259"/>
      <c r="N112" s="259"/>
      <c r="O112" s="259"/>
      <c r="P112" s="259"/>
      <c r="Q112" s="264"/>
      <c r="R112" s="264"/>
      <c r="S112" s="264"/>
      <c r="T112" s="264"/>
      <c r="U112" s="264"/>
      <c r="V112" s="259"/>
      <c r="W112" s="259"/>
      <c r="X112" s="259"/>
    </row>
    <row r="113" spans="1:24" s="261" customFormat="1" ht="31.5" x14ac:dyDescent="0.25">
      <c r="A113" s="265">
        <v>90</v>
      </c>
      <c r="B113" s="265" t="s">
        <v>829</v>
      </c>
      <c r="C113" s="272" t="s">
        <v>830</v>
      </c>
      <c r="D113" s="272" t="s">
        <v>0</v>
      </c>
      <c r="E113" s="272">
        <v>0</v>
      </c>
      <c r="F113" s="272">
        <v>0</v>
      </c>
      <c r="G113" s="272">
        <f t="shared" si="1"/>
        <v>0</v>
      </c>
      <c r="H113" s="272">
        <v>8</v>
      </c>
      <c r="I113" s="265"/>
      <c r="J113" s="266" t="s">
        <v>1163</v>
      </c>
      <c r="K113" s="278"/>
      <c r="L113" s="265" t="s">
        <v>197</v>
      </c>
      <c r="M113" s="259"/>
      <c r="N113" s="259"/>
      <c r="O113" s="259"/>
      <c r="P113" s="259"/>
      <c r="Q113" s="264"/>
      <c r="R113" s="264"/>
      <c r="S113" s="264"/>
      <c r="T113" s="264"/>
      <c r="U113" s="264"/>
      <c r="V113" s="259"/>
      <c r="W113" s="259"/>
      <c r="X113" s="259"/>
    </row>
    <row r="114" spans="1:24" s="261" customFormat="1" ht="63" x14ac:dyDescent="0.25">
      <c r="A114" s="265">
        <v>91</v>
      </c>
      <c r="B114" s="265" t="s">
        <v>1088</v>
      </c>
      <c r="C114" s="272" t="s">
        <v>1125</v>
      </c>
      <c r="D114" s="272" t="s">
        <v>0</v>
      </c>
      <c r="E114" s="272">
        <v>0</v>
      </c>
      <c r="F114" s="272">
        <v>0</v>
      </c>
      <c r="G114" s="272">
        <f t="shared" si="1"/>
        <v>0</v>
      </c>
      <c r="H114" s="272">
        <v>18</v>
      </c>
      <c r="I114" s="265"/>
      <c r="J114" s="266" t="s">
        <v>1161</v>
      </c>
      <c r="K114" s="278"/>
      <c r="L114" s="265" t="s">
        <v>197</v>
      </c>
      <c r="M114" s="259"/>
      <c r="N114" s="259"/>
      <c r="O114" s="259"/>
      <c r="P114" s="259"/>
      <c r="Q114" s="264"/>
      <c r="R114" s="264"/>
      <c r="S114" s="264"/>
      <c r="T114" s="264"/>
      <c r="U114" s="264"/>
      <c r="V114" s="259"/>
      <c r="W114" s="259"/>
      <c r="X114" s="259"/>
    </row>
    <row r="115" spans="1:24" s="261" customFormat="1" ht="31.5" x14ac:dyDescent="0.25">
      <c r="A115" s="265">
        <v>92</v>
      </c>
      <c r="B115" s="265" t="s">
        <v>1089</v>
      </c>
      <c r="C115" s="272" t="s">
        <v>1126</v>
      </c>
      <c r="D115" s="272" t="s">
        <v>0</v>
      </c>
      <c r="E115" s="272">
        <v>0</v>
      </c>
      <c r="F115" s="272">
        <v>0</v>
      </c>
      <c r="G115" s="272">
        <f t="shared" si="1"/>
        <v>0</v>
      </c>
      <c r="H115" s="272">
        <v>4</v>
      </c>
      <c r="I115" s="265"/>
      <c r="J115" s="266" t="s">
        <v>1164</v>
      </c>
      <c r="K115" s="278"/>
      <c r="L115" s="265" t="s">
        <v>197</v>
      </c>
      <c r="M115" s="259"/>
      <c r="N115" s="259"/>
      <c r="O115" s="259"/>
      <c r="P115" s="259"/>
      <c r="Q115" s="264"/>
      <c r="R115" s="264"/>
      <c r="S115" s="264"/>
      <c r="T115" s="264"/>
      <c r="U115" s="264"/>
      <c r="V115" s="259"/>
      <c r="W115" s="259"/>
      <c r="X115" s="259"/>
    </row>
    <row r="116" spans="1:24" s="261" customFormat="1" ht="63" x14ac:dyDescent="0.25">
      <c r="A116" s="265">
        <v>93</v>
      </c>
      <c r="B116" s="265" t="s">
        <v>357</v>
      </c>
      <c r="C116" s="272" t="s">
        <v>358</v>
      </c>
      <c r="D116" s="272" t="s">
        <v>0</v>
      </c>
      <c r="E116" s="272">
        <v>0</v>
      </c>
      <c r="F116" s="272">
        <v>0</v>
      </c>
      <c r="G116" s="272">
        <f t="shared" si="1"/>
        <v>0</v>
      </c>
      <c r="H116" s="272">
        <v>4</v>
      </c>
      <c r="I116" s="265"/>
      <c r="J116" s="266" t="s">
        <v>1165</v>
      </c>
      <c r="K116" s="278"/>
      <c r="L116" s="265" t="s">
        <v>197</v>
      </c>
      <c r="M116" s="259"/>
      <c r="N116" s="259"/>
      <c r="O116" s="259"/>
      <c r="P116" s="259"/>
      <c r="Q116" s="264"/>
      <c r="R116" s="264"/>
      <c r="S116" s="264"/>
      <c r="T116" s="264"/>
      <c r="U116" s="264"/>
      <c r="V116" s="259"/>
      <c r="W116" s="259"/>
      <c r="X116" s="259"/>
    </row>
    <row r="117" spans="1:24" s="261" customFormat="1" ht="31.5" x14ac:dyDescent="0.25">
      <c r="A117" s="265">
        <v>94</v>
      </c>
      <c r="B117" s="265" t="s">
        <v>1090</v>
      </c>
      <c r="C117" s="272" t="s">
        <v>1127</v>
      </c>
      <c r="D117" s="272" t="s">
        <v>0</v>
      </c>
      <c r="E117" s="272">
        <v>0</v>
      </c>
      <c r="F117" s="272">
        <v>0</v>
      </c>
      <c r="G117" s="272">
        <f t="shared" si="1"/>
        <v>0</v>
      </c>
      <c r="H117" s="272">
        <v>4</v>
      </c>
      <c r="I117" s="265"/>
      <c r="J117" s="266" t="s">
        <v>1166</v>
      </c>
      <c r="K117" s="278"/>
      <c r="L117" s="265" t="s">
        <v>197</v>
      </c>
      <c r="M117" s="259"/>
      <c r="N117" s="259"/>
      <c r="O117" s="259"/>
      <c r="P117" s="259"/>
      <c r="Q117" s="264"/>
      <c r="R117" s="264"/>
      <c r="S117" s="264"/>
      <c r="T117" s="264"/>
      <c r="U117" s="264"/>
      <c r="V117" s="259"/>
      <c r="W117" s="259"/>
      <c r="X117" s="259"/>
    </row>
    <row r="118" spans="1:24" s="261" customFormat="1" ht="78.75" x14ac:dyDescent="0.25">
      <c r="A118" s="265">
        <v>95</v>
      </c>
      <c r="B118" s="265" t="s">
        <v>1091</v>
      </c>
      <c r="C118" s="272" t="s">
        <v>39</v>
      </c>
      <c r="D118" s="272" t="s">
        <v>0</v>
      </c>
      <c r="E118" s="272">
        <v>0</v>
      </c>
      <c r="F118" s="272">
        <v>0</v>
      </c>
      <c r="G118" s="272">
        <f t="shared" si="1"/>
        <v>0</v>
      </c>
      <c r="H118" s="272">
        <v>4</v>
      </c>
      <c r="I118" s="265"/>
      <c r="J118" s="266" t="s">
        <v>1166</v>
      </c>
      <c r="K118" s="278"/>
      <c r="L118" s="265" t="s">
        <v>197</v>
      </c>
      <c r="M118" s="259"/>
      <c r="N118" s="259"/>
      <c r="O118" s="259"/>
      <c r="P118" s="259"/>
      <c r="Q118" s="264"/>
      <c r="R118" s="264"/>
      <c r="S118" s="264"/>
      <c r="T118" s="264"/>
      <c r="U118" s="264"/>
      <c r="V118" s="259"/>
      <c r="W118" s="259"/>
      <c r="X118" s="259"/>
    </row>
    <row r="119" spans="1:24" s="261" customFormat="1" ht="78.75" x14ac:dyDescent="0.25">
      <c r="A119" s="265">
        <v>96</v>
      </c>
      <c r="B119" s="265" t="s">
        <v>363</v>
      </c>
      <c r="C119" s="272" t="s">
        <v>364</v>
      </c>
      <c r="D119" s="272" t="s">
        <v>0</v>
      </c>
      <c r="E119" s="272">
        <v>0</v>
      </c>
      <c r="F119" s="272">
        <v>0</v>
      </c>
      <c r="G119" s="272">
        <f t="shared" si="1"/>
        <v>0</v>
      </c>
      <c r="H119" s="272">
        <v>26</v>
      </c>
      <c r="I119" s="265"/>
      <c r="J119" s="266" t="s">
        <v>1167</v>
      </c>
      <c r="K119" s="278"/>
      <c r="L119" s="265" t="s">
        <v>197</v>
      </c>
      <c r="M119" s="259"/>
      <c r="N119" s="259"/>
      <c r="O119" s="259"/>
      <c r="P119" s="259"/>
      <c r="Q119" s="264"/>
      <c r="R119" s="264"/>
      <c r="S119" s="264"/>
      <c r="T119" s="264"/>
      <c r="U119" s="264"/>
      <c r="V119" s="259"/>
      <c r="W119" s="259"/>
      <c r="X119" s="259"/>
    </row>
    <row r="120" spans="1:24" s="261" customFormat="1" ht="78.75" x14ac:dyDescent="0.25">
      <c r="A120" s="265">
        <v>97</v>
      </c>
      <c r="B120" s="265" t="s">
        <v>1092</v>
      </c>
      <c r="C120" s="272" t="s">
        <v>1128</v>
      </c>
      <c r="D120" s="272" t="s">
        <v>0</v>
      </c>
      <c r="E120" s="272">
        <v>0</v>
      </c>
      <c r="F120" s="272">
        <v>0</v>
      </c>
      <c r="G120" s="272">
        <f t="shared" si="1"/>
        <v>0</v>
      </c>
      <c r="H120" s="272">
        <v>2</v>
      </c>
      <c r="I120" s="265"/>
      <c r="J120" s="266" t="s">
        <v>1152</v>
      </c>
      <c r="K120" s="278"/>
      <c r="L120" s="265" t="s">
        <v>197</v>
      </c>
      <c r="M120" s="259"/>
      <c r="N120" s="259"/>
      <c r="O120" s="259"/>
      <c r="P120" s="259"/>
      <c r="Q120" s="264"/>
      <c r="R120" s="264"/>
      <c r="S120" s="264"/>
      <c r="T120" s="264"/>
      <c r="U120" s="264"/>
      <c r="V120" s="259"/>
      <c r="W120" s="259"/>
      <c r="X120" s="259"/>
    </row>
    <row r="121" spans="1:24" s="261" customFormat="1" ht="63" x14ac:dyDescent="0.25">
      <c r="A121" s="265">
        <v>98</v>
      </c>
      <c r="B121" s="265" t="s">
        <v>1093</v>
      </c>
      <c r="C121" s="272" t="s">
        <v>1129</v>
      </c>
      <c r="D121" s="272" t="s">
        <v>0</v>
      </c>
      <c r="E121" s="272">
        <v>0</v>
      </c>
      <c r="F121" s="272">
        <v>0</v>
      </c>
      <c r="G121" s="272">
        <f t="shared" si="1"/>
        <v>0</v>
      </c>
      <c r="H121" s="272">
        <v>1</v>
      </c>
      <c r="I121" s="265"/>
      <c r="J121" s="266" t="s">
        <v>1152</v>
      </c>
      <c r="K121" s="278"/>
      <c r="L121" s="265" t="s">
        <v>197</v>
      </c>
      <c r="M121" s="259"/>
      <c r="N121" s="259"/>
      <c r="O121" s="259"/>
      <c r="P121" s="259"/>
      <c r="Q121" s="264"/>
      <c r="R121" s="264"/>
      <c r="S121" s="264"/>
      <c r="T121" s="264"/>
      <c r="U121" s="264"/>
      <c r="V121" s="259"/>
      <c r="W121" s="259"/>
      <c r="X121" s="259"/>
    </row>
    <row r="122" spans="1:24" s="261" customFormat="1" ht="31.5" x14ac:dyDescent="0.25">
      <c r="A122" s="265">
        <v>99</v>
      </c>
      <c r="B122" s="265" t="s">
        <v>1094</v>
      </c>
      <c r="C122" s="272" t="s">
        <v>1130</v>
      </c>
      <c r="D122" s="272" t="s">
        <v>0</v>
      </c>
      <c r="E122" s="272">
        <v>0</v>
      </c>
      <c r="F122" s="272">
        <v>0</v>
      </c>
      <c r="G122" s="272">
        <f t="shared" si="1"/>
        <v>0</v>
      </c>
      <c r="H122" s="272">
        <v>2</v>
      </c>
      <c r="I122" s="265"/>
      <c r="J122" s="266" t="s">
        <v>1152</v>
      </c>
      <c r="K122" s="278"/>
      <c r="L122" s="265" t="s">
        <v>197</v>
      </c>
      <c r="M122" s="259"/>
      <c r="N122" s="259"/>
      <c r="O122" s="259"/>
      <c r="P122" s="259"/>
      <c r="Q122" s="264"/>
      <c r="R122" s="264"/>
      <c r="S122" s="264"/>
      <c r="T122" s="264"/>
      <c r="U122" s="264"/>
      <c r="V122" s="259"/>
      <c r="W122" s="259"/>
      <c r="X122" s="259"/>
    </row>
    <row r="123" spans="1:24" s="261" customFormat="1" ht="63" x14ac:dyDescent="0.25">
      <c r="A123" s="265">
        <v>100</v>
      </c>
      <c r="B123" s="265" t="s">
        <v>618</v>
      </c>
      <c r="C123" s="272" t="s">
        <v>619</v>
      </c>
      <c r="D123" s="272" t="s">
        <v>0</v>
      </c>
      <c r="E123" s="272">
        <v>175</v>
      </c>
      <c r="F123" s="272">
        <v>8</v>
      </c>
      <c r="G123" s="272">
        <f t="shared" si="1"/>
        <v>167</v>
      </c>
      <c r="H123" s="272">
        <v>100</v>
      </c>
      <c r="I123" s="265"/>
      <c r="J123" s="266" t="s">
        <v>1168</v>
      </c>
      <c r="K123" s="278"/>
      <c r="L123" s="265" t="s">
        <v>197</v>
      </c>
      <c r="M123" s="259"/>
      <c r="N123" s="259"/>
      <c r="O123" s="259"/>
      <c r="P123" s="259"/>
      <c r="Q123" s="264"/>
      <c r="R123" s="264"/>
      <c r="S123" s="264"/>
      <c r="T123" s="264"/>
      <c r="U123" s="264"/>
      <c r="V123" s="259"/>
      <c r="W123" s="259"/>
      <c r="X123" s="259"/>
    </row>
    <row r="124" spans="1:24" s="257" customFormat="1" ht="31.5" hidden="1" x14ac:dyDescent="0.25">
      <c r="A124" s="265">
        <v>36</v>
      </c>
      <c r="B124" s="272" t="s">
        <v>708</v>
      </c>
      <c r="C124" s="266" t="s">
        <v>709</v>
      </c>
      <c r="D124" s="272" t="s">
        <v>0</v>
      </c>
      <c r="E124" s="272">
        <v>0</v>
      </c>
      <c r="F124" s="272">
        <v>0</v>
      </c>
      <c r="G124" s="272">
        <f t="shared" si="1"/>
        <v>0</v>
      </c>
      <c r="H124" s="272">
        <v>2</v>
      </c>
      <c r="I124" s="272"/>
      <c r="J124" s="266" t="s">
        <v>710</v>
      </c>
      <c r="K124" s="277"/>
      <c r="L124" s="276" t="s">
        <v>140</v>
      </c>
      <c r="M124" s="264" t="s">
        <v>895</v>
      </c>
      <c r="N124" s="264"/>
      <c r="O124" s="264"/>
      <c r="P124" s="264"/>
      <c r="Q124" s="264"/>
      <c r="R124" s="264"/>
      <c r="S124" s="264"/>
      <c r="T124" s="264"/>
      <c r="U124" s="264"/>
      <c r="V124" s="264"/>
      <c r="W124" s="264"/>
      <c r="X124" s="264"/>
    </row>
    <row r="125" spans="1:24" s="262" customFormat="1" ht="47.25" hidden="1" x14ac:dyDescent="0.25">
      <c r="A125" s="265">
        <v>46</v>
      </c>
      <c r="B125" s="272" t="s">
        <v>715</v>
      </c>
      <c r="C125" s="266" t="s">
        <v>714</v>
      </c>
      <c r="D125" s="272" t="s">
        <v>0</v>
      </c>
      <c r="E125" s="272">
        <v>0</v>
      </c>
      <c r="F125" s="272">
        <v>0</v>
      </c>
      <c r="G125" s="272">
        <f t="shared" si="1"/>
        <v>0</v>
      </c>
      <c r="H125" s="272">
        <f>VLOOKUP(B125,'[1]Tháng 7.2025'!$B$23:$H$153,7,0)</f>
        <v>4</v>
      </c>
      <c r="I125" s="272"/>
      <c r="J125" s="266" t="s">
        <v>710</v>
      </c>
      <c r="K125" s="277"/>
      <c r="L125" s="276" t="s">
        <v>140</v>
      </c>
      <c r="M125" s="264"/>
      <c r="N125" s="264"/>
      <c r="O125" s="264"/>
      <c r="P125" s="264"/>
      <c r="Q125" s="264"/>
      <c r="R125" s="264"/>
      <c r="S125" s="264"/>
      <c r="T125" s="264"/>
      <c r="U125" s="264"/>
      <c r="V125" s="264"/>
      <c r="W125" s="264"/>
      <c r="X125" s="264"/>
    </row>
    <row r="126" spans="1:24" s="257" customFormat="1" ht="83.25" hidden="1" customHeight="1" x14ac:dyDescent="0.25">
      <c r="A126" s="265">
        <v>37</v>
      </c>
      <c r="B126" s="272" t="s">
        <v>716</v>
      </c>
      <c r="C126" s="266" t="s">
        <v>717</v>
      </c>
      <c r="D126" s="272" t="s">
        <v>59</v>
      </c>
      <c r="E126" s="272">
        <v>0</v>
      </c>
      <c r="F126" s="272">
        <v>0</v>
      </c>
      <c r="G126" s="272">
        <f t="shared" si="1"/>
        <v>0</v>
      </c>
      <c r="H126" s="272">
        <v>2</v>
      </c>
      <c r="I126" s="272"/>
      <c r="J126" s="266" t="s">
        <v>873</v>
      </c>
      <c r="K126" s="277"/>
      <c r="L126" s="276" t="s">
        <v>140</v>
      </c>
      <c r="M126" s="264" t="s">
        <v>895</v>
      </c>
      <c r="N126" s="264"/>
      <c r="O126" s="264"/>
      <c r="P126" s="264"/>
      <c r="Q126" s="264"/>
      <c r="R126" s="264"/>
      <c r="S126" s="264"/>
      <c r="T126" s="264"/>
      <c r="U126" s="264"/>
      <c r="V126" s="264"/>
      <c r="W126" s="264"/>
      <c r="X126" s="264"/>
    </row>
    <row r="127" spans="1:24" s="257" customFormat="1" ht="31.5" hidden="1" x14ac:dyDescent="0.25">
      <c r="A127" s="265">
        <v>38</v>
      </c>
      <c r="B127" s="272" t="s">
        <v>871</v>
      </c>
      <c r="C127" s="266" t="s">
        <v>872</v>
      </c>
      <c r="D127" s="272" t="s">
        <v>59</v>
      </c>
      <c r="E127" s="272">
        <v>0</v>
      </c>
      <c r="F127" s="272">
        <v>0</v>
      </c>
      <c r="G127" s="272">
        <f t="shared" si="1"/>
        <v>0</v>
      </c>
      <c r="H127" s="272">
        <v>2</v>
      </c>
      <c r="I127" s="272"/>
      <c r="J127" s="266" t="s">
        <v>874</v>
      </c>
      <c r="K127" s="277"/>
      <c r="L127" s="276" t="s">
        <v>140</v>
      </c>
      <c r="M127" s="264" t="s">
        <v>895</v>
      </c>
      <c r="N127" s="264"/>
      <c r="O127" s="264"/>
      <c r="P127" s="264"/>
      <c r="Q127" s="264"/>
      <c r="R127" s="264"/>
      <c r="S127" s="264"/>
      <c r="T127" s="264"/>
      <c r="U127" s="264"/>
      <c r="V127" s="264"/>
      <c r="W127" s="264"/>
      <c r="X127" s="264"/>
    </row>
    <row r="128" spans="1:24" s="257" customFormat="1" ht="31.5" hidden="1" x14ac:dyDescent="0.25">
      <c r="A128" s="265">
        <v>39</v>
      </c>
      <c r="B128" s="272" t="s">
        <v>711</v>
      </c>
      <c r="C128" s="266" t="s">
        <v>712</v>
      </c>
      <c r="D128" s="272" t="s">
        <v>59</v>
      </c>
      <c r="E128" s="272">
        <v>0</v>
      </c>
      <c r="F128" s="272">
        <v>0</v>
      </c>
      <c r="G128" s="272">
        <f t="shared" si="1"/>
        <v>0</v>
      </c>
      <c r="H128" s="272">
        <v>2</v>
      </c>
      <c r="I128" s="272"/>
      <c r="J128" s="266" t="s">
        <v>875</v>
      </c>
      <c r="K128" s="277"/>
      <c r="L128" s="276" t="s">
        <v>140</v>
      </c>
      <c r="M128" s="264" t="s">
        <v>895</v>
      </c>
      <c r="N128" s="264"/>
      <c r="O128" s="264"/>
      <c r="P128" s="264"/>
      <c r="Q128" s="264"/>
      <c r="R128" s="264"/>
      <c r="S128" s="264"/>
      <c r="T128" s="264"/>
      <c r="U128" s="264"/>
      <c r="V128" s="264"/>
      <c r="W128" s="264"/>
      <c r="X128" s="264"/>
    </row>
    <row r="129" spans="1:24" s="264" customFormat="1" ht="31.5" hidden="1" x14ac:dyDescent="0.25">
      <c r="A129" s="265">
        <v>50</v>
      </c>
      <c r="B129" s="272" t="s">
        <v>719</v>
      </c>
      <c r="C129" s="266" t="s">
        <v>720</v>
      </c>
      <c r="D129" s="272" t="s">
        <v>0</v>
      </c>
      <c r="E129" s="272">
        <f>VLOOKUP(B129,'[1]Tháng 7.2025'!$B$23:$H$153,4,0)</f>
        <v>10</v>
      </c>
      <c r="F129" s="272">
        <f>VLOOKUP(B129,'[1]Tháng 7.2025'!$B$23:$H$153,5,0)</f>
        <v>2</v>
      </c>
      <c r="G129" s="272">
        <f t="shared" si="1"/>
        <v>8</v>
      </c>
      <c r="H129" s="272">
        <f>VLOOKUP(B129,'[1]Tháng 7.2025'!$B$23:$H$153,7,0)</f>
        <v>10</v>
      </c>
      <c r="I129" s="272"/>
      <c r="J129" s="266" t="s">
        <v>710</v>
      </c>
      <c r="K129" s="277"/>
      <c r="L129" s="276" t="s">
        <v>140</v>
      </c>
    </row>
    <row r="130" spans="1:24" s="260" customFormat="1" ht="15.75" x14ac:dyDescent="0.25">
      <c r="A130" s="288" t="s">
        <v>20</v>
      </c>
      <c r="B130" s="265"/>
      <c r="C130" s="265"/>
      <c r="D130" s="265"/>
      <c r="E130" s="272"/>
      <c r="F130" s="272"/>
      <c r="G130" s="272"/>
      <c r="H130" s="272"/>
      <c r="I130" s="265"/>
      <c r="J130" s="265"/>
      <c r="K130" s="275"/>
      <c r="L130" s="274"/>
      <c r="Q130" s="285"/>
      <c r="R130" s="285"/>
      <c r="S130" s="285"/>
      <c r="T130" s="285"/>
      <c r="U130" s="285"/>
    </row>
    <row r="131" spans="1:24" s="262" customFormat="1" ht="30.75" customHeight="1" x14ac:dyDescent="0.25">
      <c r="A131" s="265">
        <v>101</v>
      </c>
      <c r="B131" s="265" t="s">
        <v>49</v>
      </c>
      <c r="C131" s="266" t="s">
        <v>50</v>
      </c>
      <c r="D131" s="265" t="s">
        <v>51</v>
      </c>
      <c r="E131" s="289">
        <v>0</v>
      </c>
      <c r="F131" s="272">
        <v>0</v>
      </c>
      <c r="G131" s="272">
        <f t="shared" si="1"/>
        <v>0</v>
      </c>
      <c r="H131" s="272">
        <v>30</v>
      </c>
      <c r="I131" s="265"/>
      <c r="J131" s="266" t="s">
        <v>876</v>
      </c>
      <c r="K131" s="278">
        <v>0</v>
      </c>
      <c r="L131" s="266" t="s">
        <v>140</v>
      </c>
      <c r="M131" s="280"/>
      <c r="N131" s="280" t="s">
        <v>896</v>
      </c>
      <c r="O131" s="280"/>
      <c r="P131" s="264"/>
      <c r="Q131" s="280"/>
      <c r="R131" s="280"/>
      <c r="S131" s="280"/>
      <c r="T131" s="264"/>
      <c r="U131" s="264"/>
      <c r="V131" s="264"/>
      <c r="W131" s="264"/>
      <c r="X131" s="264"/>
    </row>
    <row r="132" spans="1:24" s="262" customFormat="1" ht="30.75" customHeight="1" x14ac:dyDescent="0.25">
      <c r="A132" s="265">
        <v>102</v>
      </c>
      <c r="B132" s="265" t="s">
        <v>166</v>
      </c>
      <c r="C132" s="266" t="s">
        <v>167</v>
      </c>
      <c r="D132" s="265" t="s">
        <v>51</v>
      </c>
      <c r="E132" s="289">
        <v>0</v>
      </c>
      <c r="F132" s="272">
        <v>81</v>
      </c>
      <c r="G132" s="272">
        <v>0</v>
      </c>
      <c r="H132" s="272">
        <v>30</v>
      </c>
      <c r="I132" s="265"/>
      <c r="J132" s="266" t="s">
        <v>805</v>
      </c>
      <c r="K132" s="278">
        <v>4</v>
      </c>
      <c r="L132" s="276" t="s">
        <v>140</v>
      </c>
      <c r="M132" s="264"/>
      <c r="N132" s="264" t="s">
        <v>896</v>
      </c>
      <c r="O132" s="264"/>
      <c r="P132" s="264"/>
      <c r="Q132" s="264"/>
      <c r="R132" s="264"/>
      <c r="S132" s="264"/>
      <c r="T132" s="264"/>
      <c r="U132" s="264"/>
      <c r="V132" s="264"/>
      <c r="W132" s="264"/>
      <c r="X132" s="264"/>
    </row>
    <row r="133" spans="1:24" s="261" customFormat="1" ht="30.75" customHeight="1" x14ac:dyDescent="0.25">
      <c r="A133" s="265">
        <v>103</v>
      </c>
      <c r="B133" s="265" t="s">
        <v>174</v>
      </c>
      <c r="C133" s="276" t="s">
        <v>102</v>
      </c>
      <c r="D133" s="265" t="s">
        <v>66</v>
      </c>
      <c r="E133" s="289">
        <v>0</v>
      </c>
      <c r="F133" s="272">
        <v>47500</v>
      </c>
      <c r="G133" s="272">
        <v>0</v>
      </c>
      <c r="H133" s="272">
        <f>VLOOKUP(B133,'[1]Tháng 7.2025'!$B$23:$H$153,7,0)</f>
        <v>150000</v>
      </c>
      <c r="I133" s="265"/>
      <c r="J133" s="266" t="s">
        <v>103</v>
      </c>
      <c r="K133" s="277">
        <v>239581</v>
      </c>
      <c r="L133" s="265" t="s">
        <v>88</v>
      </c>
      <c r="M133" s="259" t="s">
        <v>895</v>
      </c>
      <c r="N133" s="259" t="s">
        <v>896</v>
      </c>
      <c r="O133" s="259"/>
      <c r="P133" s="259"/>
      <c r="Q133" s="264"/>
      <c r="R133" s="264"/>
      <c r="S133" s="264"/>
      <c r="T133" s="264"/>
      <c r="U133" s="264"/>
      <c r="V133" s="259"/>
      <c r="W133" s="259"/>
      <c r="X133" s="259"/>
    </row>
    <row r="134" spans="1:24" s="261" customFormat="1" ht="30.75" customHeight="1" x14ac:dyDescent="0.25">
      <c r="A134" s="265">
        <v>104</v>
      </c>
      <c r="B134" s="265" t="s">
        <v>880</v>
      </c>
      <c r="C134" s="276" t="s">
        <v>881</v>
      </c>
      <c r="D134" s="265" t="s">
        <v>66</v>
      </c>
      <c r="E134" s="289">
        <v>0</v>
      </c>
      <c r="F134" s="272">
        <v>0</v>
      </c>
      <c r="G134" s="272">
        <v>0</v>
      </c>
      <c r="H134" s="272">
        <v>30500</v>
      </c>
      <c r="I134" s="265"/>
      <c r="J134" s="266" t="s">
        <v>862</v>
      </c>
      <c r="K134" s="277"/>
      <c r="L134" s="265" t="s">
        <v>88</v>
      </c>
      <c r="M134" s="259" t="s">
        <v>895</v>
      </c>
      <c r="N134" s="259" t="s">
        <v>896</v>
      </c>
      <c r="O134" s="259"/>
      <c r="P134" s="259"/>
      <c r="Q134" s="264"/>
      <c r="R134" s="264"/>
      <c r="S134" s="264"/>
      <c r="T134" s="264"/>
      <c r="U134" s="264"/>
      <c r="V134" s="259"/>
      <c r="W134" s="259"/>
      <c r="X134" s="259"/>
    </row>
    <row r="135" spans="1:24" s="261" customFormat="1" ht="30.75" customHeight="1" x14ac:dyDescent="0.25">
      <c r="A135" s="265">
        <v>105</v>
      </c>
      <c r="B135" s="265" t="s">
        <v>147</v>
      </c>
      <c r="C135" s="266" t="s">
        <v>148</v>
      </c>
      <c r="D135" s="265" t="s">
        <v>66</v>
      </c>
      <c r="E135" s="289">
        <v>0</v>
      </c>
      <c r="F135" s="272">
        <v>0</v>
      </c>
      <c r="G135" s="272">
        <v>0</v>
      </c>
      <c r="H135" s="272">
        <f>VLOOKUP(B135,'[1]Tháng 7.2025'!$B$23:$H$153,7,0)</f>
        <v>100</v>
      </c>
      <c r="I135" s="272"/>
      <c r="J135" s="290" t="s">
        <v>374</v>
      </c>
      <c r="K135" s="278">
        <v>5379</v>
      </c>
      <c r="L135" s="265" t="s">
        <v>385</v>
      </c>
      <c r="M135" s="259"/>
      <c r="N135" s="259" t="s">
        <v>896</v>
      </c>
      <c r="O135" s="259"/>
      <c r="P135" s="259"/>
      <c r="Q135" s="264"/>
      <c r="R135" s="264"/>
      <c r="S135" s="264"/>
      <c r="T135" s="264"/>
      <c r="U135" s="264"/>
      <c r="V135" s="259"/>
      <c r="W135" s="259"/>
      <c r="X135" s="259"/>
    </row>
    <row r="136" spans="1:24" s="261" customFormat="1" ht="30.75" customHeight="1" x14ac:dyDescent="0.25">
      <c r="A136" s="265">
        <v>106</v>
      </c>
      <c r="B136" s="265" t="s">
        <v>149</v>
      </c>
      <c r="C136" s="266" t="s">
        <v>150</v>
      </c>
      <c r="D136" s="265" t="s">
        <v>0</v>
      </c>
      <c r="E136" s="289">
        <v>0</v>
      </c>
      <c r="F136" s="272">
        <v>0</v>
      </c>
      <c r="G136" s="272">
        <v>0</v>
      </c>
      <c r="H136" s="272">
        <f>VLOOKUP(B136,'[1]Tháng 7.2025'!$B$23:$H$153,7,0)</f>
        <v>8000</v>
      </c>
      <c r="I136" s="272"/>
      <c r="J136" s="290" t="s">
        <v>151</v>
      </c>
      <c r="K136" s="278">
        <v>15000</v>
      </c>
      <c r="L136" s="265" t="s">
        <v>385</v>
      </c>
      <c r="M136" s="259" t="s">
        <v>895</v>
      </c>
      <c r="N136" s="259" t="s">
        <v>896</v>
      </c>
      <c r="O136" s="259"/>
      <c r="P136" s="259"/>
      <c r="Q136" s="264"/>
      <c r="R136" s="264"/>
      <c r="S136" s="264"/>
      <c r="T136" s="264"/>
      <c r="U136" s="264"/>
      <c r="V136" s="259"/>
      <c r="W136" s="259"/>
      <c r="X136" s="259"/>
    </row>
    <row r="137" spans="1:24" s="261" customFormat="1" ht="30.75" customHeight="1" x14ac:dyDescent="0.25">
      <c r="A137" s="265">
        <v>107</v>
      </c>
      <c r="B137" s="272" t="s">
        <v>883</v>
      </c>
      <c r="C137" s="266" t="s">
        <v>884</v>
      </c>
      <c r="D137" s="265" t="s">
        <v>0</v>
      </c>
      <c r="E137" s="289">
        <v>0</v>
      </c>
      <c r="F137" s="272">
        <v>0</v>
      </c>
      <c r="G137" s="272">
        <v>0</v>
      </c>
      <c r="H137" s="272">
        <v>150</v>
      </c>
      <c r="I137" s="272"/>
      <c r="J137" s="290" t="s">
        <v>906</v>
      </c>
      <c r="K137" s="278"/>
      <c r="L137" s="265" t="s">
        <v>385</v>
      </c>
      <c r="M137" s="259" t="s">
        <v>895</v>
      </c>
      <c r="N137" s="259" t="s">
        <v>896</v>
      </c>
      <c r="O137" s="259"/>
      <c r="P137" s="259"/>
      <c r="Q137" s="264"/>
      <c r="R137" s="264"/>
      <c r="S137" s="264"/>
      <c r="T137" s="264"/>
      <c r="U137" s="264"/>
      <c r="V137" s="259"/>
      <c r="W137" s="259"/>
      <c r="X137" s="259"/>
    </row>
    <row r="138" spans="1:24" s="261" customFormat="1" ht="30.75" customHeight="1" x14ac:dyDescent="0.25">
      <c r="A138" s="265">
        <v>108</v>
      </c>
      <c r="B138" s="272" t="s">
        <v>885</v>
      </c>
      <c r="C138" s="266" t="s">
        <v>886</v>
      </c>
      <c r="D138" s="272" t="s">
        <v>0</v>
      </c>
      <c r="E138" s="289">
        <v>0</v>
      </c>
      <c r="F138" s="272">
        <v>0</v>
      </c>
      <c r="G138" s="272">
        <v>0</v>
      </c>
      <c r="H138" s="272">
        <v>100</v>
      </c>
      <c r="I138" s="272"/>
      <c r="J138" s="290" t="s">
        <v>906</v>
      </c>
      <c r="K138" s="278"/>
      <c r="L138" s="265" t="s">
        <v>385</v>
      </c>
      <c r="M138" s="259" t="s">
        <v>895</v>
      </c>
      <c r="N138" s="259" t="s">
        <v>896</v>
      </c>
      <c r="O138" s="259"/>
      <c r="P138" s="259"/>
      <c r="Q138" s="264"/>
      <c r="R138" s="264"/>
      <c r="S138" s="264"/>
      <c r="T138" s="264"/>
      <c r="U138" s="264"/>
      <c r="V138" s="259"/>
      <c r="W138" s="259"/>
      <c r="X138" s="259"/>
    </row>
    <row r="139" spans="1:24" s="261" customFormat="1" ht="30.75" customHeight="1" x14ac:dyDescent="0.25">
      <c r="A139" s="265">
        <v>109</v>
      </c>
      <c r="B139" s="272" t="s">
        <v>887</v>
      </c>
      <c r="C139" s="266" t="s">
        <v>888</v>
      </c>
      <c r="D139" s="272" t="s">
        <v>66</v>
      </c>
      <c r="E139" s="289">
        <v>0</v>
      </c>
      <c r="F139" s="272">
        <v>0</v>
      </c>
      <c r="G139" s="272">
        <v>0</v>
      </c>
      <c r="H139" s="272">
        <v>10</v>
      </c>
      <c r="I139" s="272"/>
      <c r="J139" s="290" t="s">
        <v>906</v>
      </c>
      <c r="K139" s="278"/>
      <c r="L139" s="265" t="s">
        <v>385</v>
      </c>
      <c r="M139" s="259" t="s">
        <v>895</v>
      </c>
      <c r="N139" s="259" t="s">
        <v>896</v>
      </c>
      <c r="O139" s="259"/>
      <c r="P139" s="259"/>
      <c r="Q139" s="264"/>
      <c r="R139" s="264"/>
      <c r="S139" s="264"/>
      <c r="T139" s="264"/>
      <c r="U139" s="264"/>
      <c r="V139" s="259"/>
      <c r="W139" s="259"/>
      <c r="X139" s="259"/>
    </row>
    <row r="140" spans="1:24" s="261" customFormat="1" ht="30.75" customHeight="1" x14ac:dyDescent="0.25">
      <c r="A140" s="265">
        <v>110</v>
      </c>
      <c r="B140" s="272" t="s">
        <v>552</v>
      </c>
      <c r="C140" s="266" t="s">
        <v>553</v>
      </c>
      <c r="D140" s="272" t="s">
        <v>0</v>
      </c>
      <c r="E140" s="289">
        <v>0</v>
      </c>
      <c r="F140" s="272">
        <v>0</v>
      </c>
      <c r="G140" s="272">
        <v>0</v>
      </c>
      <c r="H140" s="272">
        <v>10</v>
      </c>
      <c r="I140" s="272"/>
      <c r="J140" s="290" t="s">
        <v>906</v>
      </c>
      <c r="K140" s="278"/>
      <c r="L140" s="265" t="s">
        <v>385</v>
      </c>
      <c r="M140" s="259" t="s">
        <v>895</v>
      </c>
      <c r="N140" s="259" t="s">
        <v>896</v>
      </c>
      <c r="O140" s="259"/>
      <c r="P140" s="259"/>
      <c r="Q140" s="264"/>
      <c r="R140" s="264"/>
      <c r="S140" s="264"/>
      <c r="T140" s="264"/>
      <c r="U140" s="264"/>
      <c r="V140" s="259"/>
      <c r="W140" s="259"/>
      <c r="X140" s="259"/>
    </row>
    <row r="141" spans="1:24" s="261" customFormat="1" ht="30.75" customHeight="1" x14ac:dyDescent="0.25">
      <c r="A141" s="265">
        <v>111</v>
      </c>
      <c r="B141" s="272" t="s">
        <v>889</v>
      </c>
      <c r="C141" s="266" t="s">
        <v>890</v>
      </c>
      <c r="D141" s="272" t="s">
        <v>390</v>
      </c>
      <c r="E141" s="289">
        <v>0</v>
      </c>
      <c r="F141" s="272">
        <v>0</v>
      </c>
      <c r="G141" s="272">
        <v>0</v>
      </c>
      <c r="H141" s="272">
        <v>100</v>
      </c>
      <c r="I141" s="272"/>
      <c r="J141" s="290" t="s">
        <v>906</v>
      </c>
      <c r="K141" s="278"/>
      <c r="L141" s="265" t="s">
        <v>385</v>
      </c>
      <c r="M141" s="259" t="s">
        <v>895</v>
      </c>
      <c r="N141" s="259" t="s">
        <v>896</v>
      </c>
      <c r="O141" s="259"/>
      <c r="P141" s="259"/>
      <c r="Q141" s="264"/>
      <c r="R141" s="264"/>
      <c r="S141" s="264"/>
      <c r="T141" s="264"/>
      <c r="U141" s="264"/>
      <c r="V141" s="259"/>
      <c r="W141" s="259"/>
      <c r="X141" s="259"/>
    </row>
    <row r="142" spans="1:24" s="261" customFormat="1" ht="30.75" customHeight="1" x14ac:dyDescent="0.25">
      <c r="A142" s="265">
        <v>112</v>
      </c>
      <c r="B142" s="272" t="s">
        <v>891</v>
      </c>
      <c r="C142" s="266" t="s">
        <v>892</v>
      </c>
      <c r="D142" s="272" t="s">
        <v>390</v>
      </c>
      <c r="E142" s="289">
        <v>0</v>
      </c>
      <c r="F142" s="272">
        <v>0</v>
      </c>
      <c r="G142" s="272">
        <v>0</v>
      </c>
      <c r="H142" s="272">
        <v>100</v>
      </c>
      <c r="I142" s="272"/>
      <c r="J142" s="290" t="s">
        <v>906</v>
      </c>
      <c r="K142" s="278"/>
      <c r="L142" s="265" t="s">
        <v>385</v>
      </c>
      <c r="M142" s="259" t="s">
        <v>895</v>
      </c>
      <c r="N142" s="259" t="s">
        <v>896</v>
      </c>
      <c r="O142" s="259"/>
      <c r="P142" s="259"/>
      <c r="Q142" s="264"/>
      <c r="R142" s="264"/>
      <c r="S142" s="264"/>
      <c r="T142" s="264"/>
      <c r="U142" s="264"/>
      <c r="V142" s="259"/>
      <c r="W142" s="259"/>
      <c r="X142" s="259"/>
    </row>
    <row r="143" spans="1:24" s="261" customFormat="1" ht="31.5" x14ac:dyDescent="0.25">
      <c r="A143" s="265">
        <v>113</v>
      </c>
      <c r="B143" s="265" t="s">
        <v>975</v>
      </c>
      <c r="C143" s="272" t="s">
        <v>1007</v>
      </c>
      <c r="D143" s="272" t="s">
        <v>0</v>
      </c>
      <c r="E143" s="272">
        <v>0</v>
      </c>
      <c r="F143" s="272">
        <v>0</v>
      </c>
      <c r="G143" s="272">
        <v>0</v>
      </c>
      <c r="H143" s="272">
        <v>200</v>
      </c>
      <c r="I143" s="265"/>
      <c r="J143" s="266" t="s">
        <v>1169</v>
      </c>
      <c r="K143" s="278"/>
      <c r="L143" s="265" t="s">
        <v>197</v>
      </c>
      <c r="M143" s="259"/>
      <c r="N143" s="259"/>
      <c r="O143" s="259"/>
      <c r="P143" s="259"/>
      <c r="Q143" s="264"/>
      <c r="R143" s="264"/>
      <c r="S143" s="264"/>
      <c r="T143" s="264"/>
      <c r="U143" s="264"/>
      <c r="V143" s="259"/>
      <c r="W143" s="259"/>
      <c r="X143" s="259"/>
    </row>
    <row r="144" spans="1:24" s="261" customFormat="1" ht="15.75" x14ac:dyDescent="0.25">
      <c r="A144" s="265">
        <v>114</v>
      </c>
      <c r="B144" s="265" t="s">
        <v>1095</v>
      </c>
      <c r="C144" s="272" t="s">
        <v>1131</v>
      </c>
      <c r="D144" s="272" t="s">
        <v>0</v>
      </c>
      <c r="E144" s="272">
        <v>0</v>
      </c>
      <c r="F144" s="272">
        <v>0</v>
      </c>
      <c r="G144" s="272">
        <v>0</v>
      </c>
      <c r="H144" s="272">
        <v>32</v>
      </c>
      <c r="I144" s="265"/>
      <c r="J144" s="266" t="s">
        <v>1169</v>
      </c>
      <c r="K144" s="278"/>
      <c r="L144" s="265" t="s">
        <v>197</v>
      </c>
      <c r="M144" s="259"/>
      <c r="N144" s="259"/>
      <c r="O144" s="259"/>
      <c r="P144" s="259"/>
      <c r="Q144" s="264"/>
      <c r="R144" s="264"/>
      <c r="S144" s="264"/>
      <c r="T144" s="264"/>
      <c r="U144" s="264"/>
      <c r="V144" s="259"/>
      <c r="W144" s="259"/>
      <c r="X144" s="259"/>
    </row>
    <row r="145" spans="1:24" s="261" customFormat="1" ht="15.75" x14ac:dyDescent="0.25">
      <c r="A145" s="265">
        <v>115</v>
      </c>
      <c r="B145" s="265" t="s">
        <v>1096</v>
      </c>
      <c r="C145" s="272" t="s">
        <v>1132</v>
      </c>
      <c r="D145" s="272" t="s">
        <v>0</v>
      </c>
      <c r="E145" s="272">
        <v>0</v>
      </c>
      <c r="F145" s="272">
        <v>0</v>
      </c>
      <c r="G145" s="272">
        <v>0</v>
      </c>
      <c r="H145" s="272">
        <v>32</v>
      </c>
      <c r="I145" s="265"/>
      <c r="J145" s="266" t="s">
        <v>1169</v>
      </c>
      <c r="K145" s="278"/>
      <c r="L145" s="265" t="s">
        <v>197</v>
      </c>
      <c r="M145" s="259"/>
      <c r="N145" s="259"/>
      <c r="O145" s="259"/>
      <c r="P145" s="259"/>
      <c r="Q145" s="264"/>
      <c r="R145" s="264"/>
      <c r="S145" s="264"/>
      <c r="T145" s="264"/>
      <c r="U145" s="264"/>
      <c r="V145" s="259"/>
      <c r="W145" s="259"/>
      <c r="X145" s="259"/>
    </row>
    <row r="146" spans="1:24" s="261" customFormat="1" ht="31.5" x14ac:dyDescent="0.25">
      <c r="A146" s="265">
        <v>116</v>
      </c>
      <c r="B146" s="265" t="s">
        <v>1097</v>
      </c>
      <c r="C146" s="272" t="s">
        <v>1133</v>
      </c>
      <c r="D146" s="272" t="s">
        <v>0</v>
      </c>
      <c r="E146" s="272">
        <v>0</v>
      </c>
      <c r="F146" s="272">
        <v>0</v>
      </c>
      <c r="G146" s="272">
        <v>0</v>
      </c>
      <c r="H146" s="272">
        <v>80</v>
      </c>
      <c r="I146" s="265"/>
      <c r="J146" s="266" t="s">
        <v>1169</v>
      </c>
      <c r="K146" s="278"/>
      <c r="L146" s="265" t="s">
        <v>197</v>
      </c>
      <c r="M146" s="259"/>
      <c r="N146" s="259"/>
      <c r="O146" s="259"/>
      <c r="P146" s="259"/>
      <c r="Q146" s="264"/>
      <c r="R146" s="264"/>
      <c r="S146" s="264"/>
      <c r="T146" s="264"/>
      <c r="U146" s="264"/>
      <c r="V146" s="259"/>
      <c r="W146" s="259"/>
      <c r="X146" s="259"/>
    </row>
    <row r="147" spans="1:24" s="261" customFormat="1" ht="15.75" x14ac:dyDescent="0.25">
      <c r="A147" s="265">
        <v>117</v>
      </c>
      <c r="B147" s="265" t="s">
        <v>1098</v>
      </c>
      <c r="C147" s="272" t="s">
        <v>1134</v>
      </c>
      <c r="D147" s="272" t="s">
        <v>0</v>
      </c>
      <c r="E147" s="272">
        <v>0</v>
      </c>
      <c r="F147" s="272">
        <v>0</v>
      </c>
      <c r="G147" s="272">
        <v>0</v>
      </c>
      <c r="H147" s="272">
        <v>30</v>
      </c>
      <c r="I147" s="265"/>
      <c r="J147" s="266" t="s">
        <v>1169</v>
      </c>
      <c r="K147" s="278"/>
      <c r="L147" s="265" t="s">
        <v>197</v>
      </c>
      <c r="M147" s="259"/>
      <c r="N147" s="259"/>
      <c r="O147" s="259"/>
      <c r="P147" s="259"/>
      <c r="Q147" s="264"/>
      <c r="R147" s="264"/>
      <c r="S147" s="264"/>
      <c r="T147" s="264"/>
      <c r="U147" s="264"/>
      <c r="V147" s="259"/>
      <c r="W147" s="259"/>
      <c r="X147" s="259"/>
    </row>
    <row r="148" spans="1:24" s="261" customFormat="1" ht="15.75" x14ac:dyDescent="0.25">
      <c r="A148" s="265">
        <v>118</v>
      </c>
      <c r="B148" s="265" t="s">
        <v>552</v>
      </c>
      <c r="C148" s="272" t="s">
        <v>553</v>
      </c>
      <c r="D148" s="272" t="s">
        <v>0</v>
      </c>
      <c r="E148" s="272">
        <v>0</v>
      </c>
      <c r="F148" s="272">
        <v>0</v>
      </c>
      <c r="G148" s="272">
        <v>0</v>
      </c>
      <c r="H148" s="272">
        <v>36</v>
      </c>
      <c r="I148" s="265"/>
      <c r="J148" s="266" t="s">
        <v>1169</v>
      </c>
      <c r="K148" s="278"/>
      <c r="L148" s="265" t="s">
        <v>197</v>
      </c>
      <c r="M148" s="259"/>
      <c r="N148" s="259"/>
      <c r="O148" s="259"/>
      <c r="P148" s="259"/>
      <c r="Q148" s="264"/>
      <c r="R148" s="264"/>
      <c r="S148" s="264"/>
      <c r="T148" s="264"/>
      <c r="U148" s="264"/>
      <c r="V148" s="259"/>
      <c r="W148" s="259"/>
      <c r="X148" s="259"/>
    </row>
    <row r="149" spans="1:24" s="261" customFormat="1" ht="15.75" x14ac:dyDescent="0.25">
      <c r="A149" s="265">
        <v>119</v>
      </c>
      <c r="B149" s="265" t="s">
        <v>885</v>
      </c>
      <c r="C149" s="272" t="s">
        <v>886</v>
      </c>
      <c r="D149" s="272" t="s">
        <v>0</v>
      </c>
      <c r="E149" s="272">
        <v>0</v>
      </c>
      <c r="F149" s="272">
        <v>0</v>
      </c>
      <c r="G149" s="272">
        <v>0</v>
      </c>
      <c r="H149" s="272">
        <v>200</v>
      </c>
      <c r="I149" s="265"/>
      <c r="J149" s="266" t="s">
        <v>1169</v>
      </c>
      <c r="K149" s="278"/>
      <c r="L149" s="265" t="s">
        <v>197</v>
      </c>
      <c r="M149" s="259"/>
      <c r="N149" s="259"/>
      <c r="O149" s="259"/>
      <c r="P149" s="259"/>
      <c r="Q149" s="264"/>
      <c r="R149" s="264"/>
      <c r="S149" s="264"/>
      <c r="T149" s="264"/>
      <c r="U149" s="264"/>
      <c r="V149" s="259"/>
      <c r="W149" s="259"/>
      <c r="X149" s="259"/>
    </row>
    <row r="150" spans="1:24" s="261" customFormat="1" ht="30.75" customHeight="1" x14ac:dyDescent="0.2">
      <c r="A150" s="265">
        <v>120</v>
      </c>
      <c r="B150" s="291" t="s">
        <v>199</v>
      </c>
      <c r="C150" s="292" t="s">
        <v>799</v>
      </c>
      <c r="D150" s="293" t="s">
        <v>2</v>
      </c>
      <c r="E150" s="272">
        <v>0</v>
      </c>
      <c r="F150" s="272">
        <v>0</v>
      </c>
      <c r="G150" s="272">
        <v>0</v>
      </c>
      <c r="H150" s="272">
        <v>50</v>
      </c>
      <c r="I150" s="272"/>
      <c r="J150" s="266" t="s">
        <v>802</v>
      </c>
      <c r="K150" s="278"/>
      <c r="L150" s="265" t="s">
        <v>385</v>
      </c>
      <c r="M150" s="259" t="s">
        <v>895</v>
      </c>
      <c r="N150" s="265" t="s">
        <v>896</v>
      </c>
      <c r="O150" s="265"/>
      <c r="P150" s="259"/>
      <c r="Q150" s="264"/>
      <c r="R150" s="264"/>
      <c r="S150" s="264"/>
      <c r="T150" s="264"/>
      <c r="U150" s="264"/>
      <c r="V150" s="259"/>
      <c r="W150" s="259"/>
      <c r="X150" s="259"/>
    </row>
    <row r="151" spans="1:24" s="261" customFormat="1" ht="30.75" customHeight="1" x14ac:dyDescent="0.25">
      <c r="A151" s="265">
        <v>121</v>
      </c>
      <c r="B151" s="265" t="s">
        <v>1055</v>
      </c>
      <c r="C151" s="266" t="s">
        <v>1056</v>
      </c>
      <c r="D151" s="265" t="s">
        <v>804</v>
      </c>
      <c r="E151" s="272">
        <v>0</v>
      </c>
      <c r="F151" s="272">
        <v>0</v>
      </c>
      <c r="G151" s="272">
        <v>0</v>
      </c>
      <c r="H151" s="272">
        <v>50</v>
      </c>
      <c r="I151" s="272"/>
      <c r="J151" s="266" t="s">
        <v>803</v>
      </c>
      <c r="K151" s="278"/>
      <c r="L151" s="265" t="s">
        <v>385</v>
      </c>
      <c r="M151" s="259" t="s">
        <v>895</v>
      </c>
      <c r="N151" s="265" t="s">
        <v>896</v>
      </c>
      <c r="O151" s="265"/>
      <c r="P151" s="259"/>
      <c r="Q151" s="264"/>
      <c r="R151" s="264"/>
      <c r="S151" s="264"/>
      <c r="T151" s="264"/>
      <c r="U151" s="264"/>
      <c r="V151" s="259"/>
      <c r="W151" s="259"/>
      <c r="X151" s="259"/>
    </row>
    <row r="152" spans="1:24" s="261" customFormat="1" ht="30.75" customHeight="1" x14ac:dyDescent="0.25">
      <c r="A152" s="265">
        <v>122</v>
      </c>
      <c r="B152" s="265" t="s">
        <v>1057</v>
      </c>
      <c r="C152" s="266" t="s">
        <v>1058</v>
      </c>
      <c r="D152" s="265" t="s">
        <v>804</v>
      </c>
      <c r="E152" s="272">
        <v>0</v>
      </c>
      <c r="F152" s="272">
        <v>0</v>
      </c>
      <c r="G152" s="272">
        <v>0</v>
      </c>
      <c r="H152" s="272">
        <v>50</v>
      </c>
      <c r="I152" s="272"/>
      <c r="J152" s="266" t="s">
        <v>803</v>
      </c>
      <c r="K152" s="278"/>
      <c r="L152" s="265" t="s">
        <v>385</v>
      </c>
      <c r="M152" s="259" t="s">
        <v>895</v>
      </c>
      <c r="N152" s="265" t="s">
        <v>896</v>
      </c>
      <c r="O152" s="265"/>
      <c r="P152" s="259"/>
      <c r="Q152" s="264"/>
      <c r="R152" s="264"/>
      <c r="S152" s="264"/>
      <c r="T152" s="264"/>
      <c r="U152" s="264"/>
      <c r="V152" s="259"/>
      <c r="W152" s="259"/>
      <c r="X152" s="259"/>
    </row>
    <row r="153" spans="1:24" s="261" customFormat="1" ht="30.75" customHeight="1" x14ac:dyDescent="0.25">
      <c r="A153" s="265">
        <v>123</v>
      </c>
      <c r="B153" s="272" t="s">
        <v>40</v>
      </c>
      <c r="C153" s="266" t="s">
        <v>1</v>
      </c>
      <c r="D153" s="265" t="s">
        <v>2</v>
      </c>
      <c r="E153" s="272">
        <v>16200</v>
      </c>
      <c r="F153" s="272">
        <v>2017</v>
      </c>
      <c r="G153" s="272">
        <v>0</v>
      </c>
      <c r="H153" s="272">
        <v>3000</v>
      </c>
      <c r="I153" s="272"/>
      <c r="J153" s="290" t="s">
        <v>119</v>
      </c>
      <c r="K153" s="278"/>
      <c r="L153" s="265" t="s">
        <v>76</v>
      </c>
      <c r="M153" s="259" t="s">
        <v>895</v>
      </c>
      <c r="N153" s="259" t="s">
        <v>896</v>
      </c>
      <c r="O153" s="265"/>
      <c r="P153" s="259"/>
      <c r="Q153" s="264"/>
      <c r="R153" s="264"/>
      <c r="S153" s="264"/>
      <c r="T153" s="264"/>
      <c r="U153" s="264"/>
      <c r="V153" s="259"/>
      <c r="W153" s="259"/>
      <c r="X153" s="259"/>
    </row>
    <row r="154" spans="1:24" s="261" customFormat="1" ht="30.75" customHeight="1" x14ac:dyDescent="0.25">
      <c r="A154" s="265">
        <v>124</v>
      </c>
      <c r="B154" s="272" t="s">
        <v>130</v>
      </c>
      <c r="C154" s="266" t="s">
        <v>131</v>
      </c>
      <c r="D154" s="265" t="s">
        <v>66</v>
      </c>
      <c r="E154" s="272">
        <v>206904.96973333333</v>
      </c>
      <c r="F154" s="272">
        <v>0</v>
      </c>
      <c r="G154" s="272">
        <v>0</v>
      </c>
      <c r="H154" s="272">
        <v>20000</v>
      </c>
      <c r="I154" s="272"/>
      <c r="J154" s="290" t="s">
        <v>808</v>
      </c>
      <c r="K154" s="278"/>
      <c r="L154" s="265" t="s">
        <v>76</v>
      </c>
      <c r="M154" s="259" t="s">
        <v>895</v>
      </c>
      <c r="N154" s="265" t="s">
        <v>896</v>
      </c>
      <c r="O154" s="265"/>
      <c r="P154" s="259"/>
      <c r="Q154" s="264"/>
      <c r="R154" s="264"/>
      <c r="S154" s="264"/>
      <c r="T154" s="264"/>
      <c r="U154" s="264"/>
      <c r="V154" s="259"/>
      <c r="W154" s="259"/>
      <c r="X154" s="259"/>
    </row>
    <row r="155" spans="1:24" s="261" customFormat="1" ht="30.75" customHeight="1" x14ac:dyDescent="0.25">
      <c r="A155" s="265">
        <v>125</v>
      </c>
      <c r="B155" s="272" t="s">
        <v>67</v>
      </c>
      <c r="C155" s="266" t="s">
        <v>68</v>
      </c>
      <c r="D155" s="265" t="s">
        <v>66</v>
      </c>
      <c r="E155" s="272">
        <v>64958.94</v>
      </c>
      <c r="F155" s="272">
        <v>0</v>
      </c>
      <c r="G155" s="272">
        <v>0</v>
      </c>
      <c r="H155" s="272">
        <v>13000</v>
      </c>
      <c r="I155" s="272"/>
      <c r="J155" s="276" t="s">
        <v>134</v>
      </c>
      <c r="K155" s="278"/>
      <c r="L155" s="265" t="s">
        <v>76</v>
      </c>
      <c r="M155" s="259" t="s">
        <v>895</v>
      </c>
      <c r="N155" s="265" t="s">
        <v>896</v>
      </c>
      <c r="O155" s="265"/>
      <c r="P155" s="259"/>
      <c r="Q155" s="264"/>
      <c r="R155" s="264"/>
      <c r="S155" s="264"/>
      <c r="T155" s="264"/>
      <c r="U155" s="264"/>
      <c r="V155" s="259"/>
      <c r="W155" s="259"/>
      <c r="X155" s="259"/>
    </row>
    <row r="156" spans="1:24" s="261" customFormat="1" ht="30.75" customHeight="1" x14ac:dyDescent="0.25">
      <c r="A156" s="265">
        <v>126</v>
      </c>
      <c r="B156" s="265" t="s">
        <v>69</v>
      </c>
      <c r="C156" s="266" t="s">
        <v>774</v>
      </c>
      <c r="D156" s="265" t="s">
        <v>66</v>
      </c>
      <c r="E156" s="272">
        <v>5922674.0470867204</v>
      </c>
      <c r="F156" s="272">
        <v>0</v>
      </c>
      <c r="G156" s="272">
        <v>0</v>
      </c>
      <c r="H156" s="272">
        <f>VLOOKUP(B156,'[1]Tháng 7.2025'!$B$23:$H$153,7,0)</f>
        <v>900000</v>
      </c>
      <c r="I156" s="272"/>
      <c r="J156" s="290" t="s">
        <v>772</v>
      </c>
      <c r="K156" s="278"/>
      <c r="L156" s="265" t="s">
        <v>76</v>
      </c>
      <c r="M156" s="259" t="s">
        <v>895</v>
      </c>
      <c r="N156" s="265" t="s">
        <v>896</v>
      </c>
      <c r="O156" s="265"/>
      <c r="P156" s="259"/>
      <c r="Q156" s="264"/>
      <c r="R156" s="264"/>
      <c r="S156" s="264"/>
      <c r="T156" s="264"/>
      <c r="U156" s="264"/>
      <c r="V156" s="259"/>
      <c r="W156" s="259"/>
      <c r="X156" s="259"/>
    </row>
    <row r="157" spans="1:24" s="261" customFormat="1" ht="30.75" customHeight="1" x14ac:dyDescent="0.25">
      <c r="A157" s="265">
        <v>127</v>
      </c>
      <c r="B157" s="272" t="s">
        <v>72</v>
      </c>
      <c r="C157" s="266" t="s">
        <v>73</v>
      </c>
      <c r="D157" s="265" t="s">
        <v>66</v>
      </c>
      <c r="E157" s="272">
        <v>235630.41759999999</v>
      </c>
      <c r="F157" s="272">
        <v>0</v>
      </c>
      <c r="G157" s="272">
        <v>0</v>
      </c>
      <c r="H157" s="272">
        <v>26000</v>
      </c>
      <c r="I157" s="272"/>
      <c r="J157" s="290" t="s">
        <v>809</v>
      </c>
      <c r="K157" s="278"/>
      <c r="L157" s="265" t="s">
        <v>76</v>
      </c>
      <c r="M157" s="259" t="s">
        <v>895</v>
      </c>
      <c r="N157" s="259" t="s">
        <v>896</v>
      </c>
      <c r="O157" s="265"/>
      <c r="P157" s="259"/>
      <c r="Q157" s="264"/>
      <c r="R157" s="264"/>
      <c r="S157" s="264"/>
      <c r="T157" s="264"/>
      <c r="U157" s="264"/>
      <c r="V157" s="259"/>
      <c r="W157" s="259"/>
      <c r="X157" s="259"/>
    </row>
    <row r="158" spans="1:24" s="261" customFormat="1" ht="30.75" customHeight="1" x14ac:dyDescent="0.25">
      <c r="A158" s="265">
        <v>128</v>
      </c>
      <c r="B158" s="272" t="s">
        <v>137</v>
      </c>
      <c r="C158" s="266" t="s">
        <v>138</v>
      </c>
      <c r="D158" s="265" t="s">
        <v>66</v>
      </c>
      <c r="E158" s="272">
        <v>100920.97651851852</v>
      </c>
      <c r="F158" s="272">
        <v>0</v>
      </c>
      <c r="G158" s="272">
        <v>0</v>
      </c>
      <c r="H158" s="272">
        <v>16000</v>
      </c>
      <c r="I158" s="272"/>
      <c r="J158" s="290" t="s">
        <v>810</v>
      </c>
      <c r="K158" s="278"/>
      <c r="L158" s="265" t="s">
        <v>76</v>
      </c>
      <c r="M158" s="259" t="s">
        <v>895</v>
      </c>
      <c r="N158" s="265" t="s">
        <v>896</v>
      </c>
      <c r="O158" s="265"/>
      <c r="P158" s="259"/>
      <c r="Q158" s="264"/>
      <c r="R158" s="264"/>
      <c r="S158" s="264"/>
      <c r="T158" s="264"/>
      <c r="U158" s="264"/>
      <c r="V158" s="259"/>
      <c r="W158" s="259"/>
      <c r="X158" s="259"/>
    </row>
    <row r="159" spans="1:24" s="261" customFormat="1" ht="30.75" customHeight="1" x14ac:dyDescent="0.25">
      <c r="A159" s="265">
        <v>129</v>
      </c>
      <c r="B159" s="265" t="s">
        <v>144</v>
      </c>
      <c r="C159" s="266" t="s">
        <v>145</v>
      </c>
      <c r="D159" s="265" t="s">
        <v>66</v>
      </c>
      <c r="E159" s="272">
        <v>218080</v>
      </c>
      <c r="F159" s="272">
        <v>0</v>
      </c>
      <c r="G159" s="272">
        <v>0</v>
      </c>
      <c r="H159" s="272">
        <v>18000</v>
      </c>
      <c r="I159" s="272"/>
      <c r="J159" s="290" t="s">
        <v>811</v>
      </c>
      <c r="K159" s="278"/>
      <c r="L159" s="265" t="s">
        <v>76</v>
      </c>
      <c r="M159" s="259" t="s">
        <v>895</v>
      </c>
      <c r="N159" s="265" t="s">
        <v>896</v>
      </c>
      <c r="O159" s="265"/>
      <c r="P159" s="259"/>
      <c r="Q159" s="264"/>
      <c r="R159" s="264"/>
      <c r="S159" s="264"/>
      <c r="T159" s="264"/>
      <c r="U159" s="264"/>
      <c r="V159" s="259"/>
      <c r="W159" s="259"/>
      <c r="X159" s="259"/>
    </row>
    <row r="160" spans="1:24" s="261" customFormat="1" ht="30.75" customHeight="1" x14ac:dyDescent="0.25">
      <c r="A160" s="265">
        <v>130</v>
      </c>
      <c r="B160" s="265" t="s">
        <v>156</v>
      </c>
      <c r="C160" s="266" t="s">
        <v>118</v>
      </c>
      <c r="D160" s="265" t="s">
        <v>74</v>
      </c>
      <c r="E160" s="272">
        <v>0</v>
      </c>
      <c r="F160" s="272">
        <v>0</v>
      </c>
      <c r="G160" s="272">
        <v>0</v>
      </c>
      <c r="H160" s="272">
        <f>VLOOKUP(B160,'[1]Tháng 7.2025'!$B$23:$H$153,7,0)</f>
        <v>100</v>
      </c>
      <c r="I160" s="272"/>
      <c r="J160" s="276" t="s">
        <v>75</v>
      </c>
      <c r="K160" s="278"/>
      <c r="L160" s="265" t="s">
        <v>76</v>
      </c>
      <c r="M160" s="259" t="s">
        <v>895</v>
      </c>
      <c r="N160" s="265" t="s">
        <v>896</v>
      </c>
      <c r="O160" s="265"/>
      <c r="P160" s="259"/>
      <c r="Q160" s="264"/>
      <c r="R160" s="264"/>
      <c r="S160" s="264"/>
      <c r="T160" s="264"/>
      <c r="U160" s="264"/>
      <c r="V160" s="259"/>
      <c r="W160" s="259"/>
      <c r="X160" s="259"/>
    </row>
    <row r="161" spans="1:14" s="268" customFormat="1" ht="15.75" x14ac:dyDescent="0.25">
      <c r="A161" s="265">
        <v>131</v>
      </c>
      <c r="B161" s="265" t="s">
        <v>959</v>
      </c>
      <c r="C161" s="294" t="s">
        <v>986</v>
      </c>
      <c r="D161" s="294" t="s">
        <v>51</v>
      </c>
      <c r="E161" s="272">
        <v>0</v>
      </c>
      <c r="F161" s="272">
        <v>0</v>
      </c>
      <c r="G161" s="272">
        <v>0</v>
      </c>
      <c r="H161" s="294">
        <v>60</v>
      </c>
      <c r="I161" s="265"/>
      <c r="J161" s="266" t="s">
        <v>906</v>
      </c>
      <c r="K161" s="267"/>
      <c r="L161" s="265" t="s">
        <v>76</v>
      </c>
      <c r="N161" s="259" t="s">
        <v>896</v>
      </c>
    </row>
    <row r="162" spans="1:14" s="268" customFormat="1" ht="15.75" x14ac:dyDescent="0.25">
      <c r="A162" s="265">
        <v>132</v>
      </c>
      <c r="B162" s="265" t="s">
        <v>960</v>
      </c>
      <c r="C162" s="294" t="s">
        <v>987</v>
      </c>
      <c r="D162" s="294" t="s">
        <v>1018</v>
      </c>
      <c r="E162" s="272">
        <v>0</v>
      </c>
      <c r="F162" s="272">
        <v>0</v>
      </c>
      <c r="G162" s="272">
        <v>0</v>
      </c>
      <c r="H162" s="294">
        <v>200</v>
      </c>
      <c r="I162" s="265"/>
      <c r="J162" s="266" t="s">
        <v>906</v>
      </c>
      <c r="K162" s="267"/>
      <c r="L162" s="265" t="s">
        <v>76</v>
      </c>
      <c r="N162" s="265" t="s">
        <v>896</v>
      </c>
    </row>
    <row r="163" spans="1:14" s="268" customFormat="1" ht="15.75" x14ac:dyDescent="0.25">
      <c r="A163" s="265">
        <v>133</v>
      </c>
      <c r="B163" s="265" t="s">
        <v>961</v>
      </c>
      <c r="C163" s="294" t="s">
        <v>988</v>
      </c>
      <c r="D163" s="294" t="s">
        <v>1018</v>
      </c>
      <c r="E163" s="272">
        <v>0</v>
      </c>
      <c r="F163" s="272">
        <v>0</v>
      </c>
      <c r="G163" s="272">
        <v>0</v>
      </c>
      <c r="H163" s="294">
        <v>100</v>
      </c>
      <c r="I163" s="265"/>
      <c r="J163" s="266" t="s">
        <v>906</v>
      </c>
      <c r="K163" s="267"/>
      <c r="L163" s="265" t="s">
        <v>76</v>
      </c>
      <c r="N163" s="265" t="s">
        <v>896</v>
      </c>
    </row>
    <row r="164" spans="1:14" s="268" customFormat="1" ht="31.5" x14ac:dyDescent="0.25">
      <c r="A164" s="265">
        <v>134</v>
      </c>
      <c r="B164" s="265" t="s">
        <v>962</v>
      </c>
      <c r="C164" s="294" t="s">
        <v>989</v>
      </c>
      <c r="D164" s="294" t="s">
        <v>1018</v>
      </c>
      <c r="E164" s="272">
        <v>0</v>
      </c>
      <c r="F164" s="272">
        <v>0</v>
      </c>
      <c r="G164" s="272">
        <v>0</v>
      </c>
      <c r="H164" s="294">
        <v>200</v>
      </c>
      <c r="I164" s="265"/>
      <c r="J164" s="266" t="s">
        <v>906</v>
      </c>
      <c r="K164" s="267"/>
      <c r="L164" s="265" t="s">
        <v>76</v>
      </c>
      <c r="N164" s="265" t="s">
        <v>896</v>
      </c>
    </row>
    <row r="165" spans="1:14" s="268" customFormat="1" ht="15.75" x14ac:dyDescent="0.25">
      <c r="A165" s="265">
        <v>135</v>
      </c>
      <c r="B165" s="265" t="s">
        <v>149</v>
      </c>
      <c r="C165" s="294" t="s">
        <v>990</v>
      </c>
      <c r="D165" s="294" t="s">
        <v>0</v>
      </c>
      <c r="E165" s="272">
        <v>0</v>
      </c>
      <c r="F165" s="272">
        <v>0</v>
      </c>
      <c r="G165" s="272">
        <v>0</v>
      </c>
      <c r="H165" s="294">
        <v>15000</v>
      </c>
      <c r="I165" s="265"/>
      <c r="J165" s="266" t="s">
        <v>906</v>
      </c>
      <c r="K165" s="267"/>
      <c r="L165" s="265" t="s">
        <v>76</v>
      </c>
      <c r="N165" s="259" t="s">
        <v>896</v>
      </c>
    </row>
    <row r="166" spans="1:14" s="268" customFormat="1" ht="15.75" x14ac:dyDescent="0.25">
      <c r="A166" s="265">
        <v>136</v>
      </c>
      <c r="B166" s="265"/>
      <c r="C166" s="294" t="s">
        <v>991</v>
      </c>
      <c r="D166" s="294" t="s">
        <v>428</v>
      </c>
      <c r="E166" s="272">
        <v>0</v>
      </c>
      <c r="F166" s="272">
        <v>0</v>
      </c>
      <c r="G166" s="272">
        <v>0</v>
      </c>
      <c r="H166" s="294">
        <v>100</v>
      </c>
      <c r="I166" s="265"/>
      <c r="J166" s="266" t="s">
        <v>906</v>
      </c>
      <c r="K166" s="267"/>
      <c r="L166" s="265" t="s">
        <v>76</v>
      </c>
      <c r="N166" s="265" t="s">
        <v>896</v>
      </c>
    </row>
    <row r="167" spans="1:14" s="268" customFormat="1" ht="15.75" x14ac:dyDescent="0.25">
      <c r="A167" s="265">
        <v>137</v>
      </c>
      <c r="B167" s="265" t="s">
        <v>257</v>
      </c>
      <c r="C167" s="294" t="s">
        <v>268</v>
      </c>
      <c r="D167" s="294" t="s">
        <v>0</v>
      </c>
      <c r="E167" s="272">
        <v>0</v>
      </c>
      <c r="F167" s="272">
        <v>0</v>
      </c>
      <c r="G167" s="272">
        <v>0</v>
      </c>
      <c r="H167" s="294">
        <v>100</v>
      </c>
      <c r="I167" s="265"/>
      <c r="J167" s="266" t="s">
        <v>906</v>
      </c>
      <c r="K167" s="267"/>
      <c r="L167" s="265" t="s">
        <v>76</v>
      </c>
      <c r="N167" s="265" t="s">
        <v>896</v>
      </c>
    </row>
    <row r="168" spans="1:14" s="268" customFormat="1" ht="63" x14ac:dyDescent="0.25">
      <c r="A168" s="265">
        <v>138</v>
      </c>
      <c r="B168" s="265" t="s">
        <v>963</v>
      </c>
      <c r="C168" s="294" t="s">
        <v>992</v>
      </c>
      <c r="D168" s="294" t="s">
        <v>411</v>
      </c>
      <c r="E168" s="272">
        <v>0</v>
      </c>
      <c r="F168" s="272">
        <v>0</v>
      </c>
      <c r="G168" s="272">
        <v>0</v>
      </c>
      <c r="H168" s="294">
        <v>50</v>
      </c>
      <c r="I168" s="265"/>
      <c r="J168" s="266" t="s">
        <v>906</v>
      </c>
      <c r="K168" s="267"/>
      <c r="L168" s="265" t="s">
        <v>76</v>
      </c>
      <c r="N168" s="265" t="s">
        <v>896</v>
      </c>
    </row>
    <row r="169" spans="1:14" s="268" customFormat="1" ht="15.75" x14ac:dyDescent="0.25">
      <c r="A169" s="265">
        <v>139</v>
      </c>
      <c r="B169" s="265" t="s">
        <v>964</v>
      </c>
      <c r="C169" s="294" t="s">
        <v>993</v>
      </c>
      <c r="D169" s="294" t="s">
        <v>66</v>
      </c>
      <c r="E169" s="272">
        <v>0</v>
      </c>
      <c r="F169" s="272">
        <v>0</v>
      </c>
      <c r="G169" s="272">
        <v>0</v>
      </c>
      <c r="H169" s="294">
        <v>200</v>
      </c>
      <c r="I169" s="265"/>
      <c r="J169" s="266" t="s">
        <v>906</v>
      </c>
      <c r="K169" s="267"/>
      <c r="L169" s="265" t="s">
        <v>76</v>
      </c>
      <c r="N169" s="259" t="s">
        <v>896</v>
      </c>
    </row>
    <row r="170" spans="1:14" s="268" customFormat="1" ht="31.5" x14ac:dyDescent="0.25">
      <c r="A170" s="265">
        <v>140</v>
      </c>
      <c r="B170" s="265" t="s">
        <v>965</v>
      </c>
      <c r="C170" s="294" t="s">
        <v>994</v>
      </c>
      <c r="D170" s="294" t="s">
        <v>1019</v>
      </c>
      <c r="E170" s="272">
        <v>0</v>
      </c>
      <c r="F170" s="272">
        <v>0</v>
      </c>
      <c r="G170" s="272">
        <v>0</v>
      </c>
      <c r="H170" s="294">
        <v>10</v>
      </c>
      <c r="I170" s="265"/>
      <c r="J170" s="266" t="s">
        <v>906</v>
      </c>
      <c r="K170" s="267"/>
      <c r="L170" s="265" t="s">
        <v>76</v>
      </c>
      <c r="N170" s="265" t="s">
        <v>896</v>
      </c>
    </row>
    <row r="171" spans="1:14" s="268" customFormat="1" ht="31.5" x14ac:dyDescent="0.25">
      <c r="A171" s="265">
        <v>141</v>
      </c>
      <c r="B171" s="265" t="s">
        <v>966</v>
      </c>
      <c r="C171" s="294" t="s">
        <v>995</v>
      </c>
      <c r="D171" s="294" t="s">
        <v>1020</v>
      </c>
      <c r="E171" s="272">
        <v>0</v>
      </c>
      <c r="F171" s="272">
        <v>0</v>
      </c>
      <c r="G171" s="272">
        <v>0</v>
      </c>
      <c r="H171" s="294">
        <v>30</v>
      </c>
      <c r="I171" s="265"/>
      <c r="J171" s="266" t="s">
        <v>906</v>
      </c>
      <c r="K171" s="267"/>
      <c r="L171" s="265" t="s">
        <v>76</v>
      </c>
      <c r="N171" s="265" t="s">
        <v>896</v>
      </c>
    </row>
    <row r="172" spans="1:14" s="268" customFormat="1" ht="31.5" x14ac:dyDescent="0.25">
      <c r="A172" s="265">
        <v>142</v>
      </c>
      <c r="B172" s="265" t="s">
        <v>967</v>
      </c>
      <c r="C172" s="294" t="s">
        <v>996</v>
      </c>
      <c r="D172" s="294" t="s">
        <v>765</v>
      </c>
      <c r="E172" s="272">
        <v>0</v>
      </c>
      <c r="F172" s="272">
        <v>0</v>
      </c>
      <c r="G172" s="272">
        <v>0</v>
      </c>
      <c r="H172" s="294">
        <v>35</v>
      </c>
      <c r="I172" s="265"/>
      <c r="J172" s="266" t="s">
        <v>906</v>
      </c>
      <c r="K172" s="267"/>
      <c r="L172" s="265" t="s">
        <v>76</v>
      </c>
      <c r="N172" s="265" t="s">
        <v>896</v>
      </c>
    </row>
    <row r="173" spans="1:14" s="268" customFormat="1" ht="15.75" x14ac:dyDescent="0.25">
      <c r="A173" s="265">
        <v>143</v>
      </c>
      <c r="B173" s="265" t="s">
        <v>968</v>
      </c>
      <c r="C173" s="294" t="s">
        <v>997</v>
      </c>
      <c r="D173" s="294" t="s">
        <v>1019</v>
      </c>
      <c r="E173" s="272">
        <v>0</v>
      </c>
      <c r="F173" s="272">
        <v>0</v>
      </c>
      <c r="G173" s="272">
        <v>0</v>
      </c>
      <c r="H173" s="294">
        <v>30</v>
      </c>
      <c r="I173" s="265"/>
      <c r="J173" s="266" t="s">
        <v>906</v>
      </c>
      <c r="K173" s="267"/>
      <c r="L173" s="265" t="s">
        <v>76</v>
      </c>
      <c r="N173" s="259" t="s">
        <v>896</v>
      </c>
    </row>
    <row r="174" spans="1:14" s="268" customFormat="1" ht="15.75" x14ac:dyDescent="0.25">
      <c r="A174" s="265">
        <v>144</v>
      </c>
      <c r="B174" s="265" t="s">
        <v>969</v>
      </c>
      <c r="C174" s="294" t="s">
        <v>998</v>
      </c>
      <c r="D174" s="294" t="s">
        <v>1021</v>
      </c>
      <c r="E174" s="272">
        <v>0</v>
      </c>
      <c r="F174" s="272">
        <v>0</v>
      </c>
      <c r="G174" s="272">
        <v>0</v>
      </c>
      <c r="H174" s="294">
        <v>60</v>
      </c>
      <c r="I174" s="265"/>
      <c r="J174" s="266" t="s">
        <v>906</v>
      </c>
      <c r="K174" s="267"/>
      <c r="L174" s="265" t="s">
        <v>76</v>
      </c>
      <c r="N174" s="265" t="s">
        <v>896</v>
      </c>
    </row>
    <row r="175" spans="1:14" s="268" customFormat="1" ht="31.5" x14ac:dyDescent="0.25">
      <c r="A175" s="265">
        <v>145</v>
      </c>
      <c r="B175" s="265" t="s">
        <v>970</v>
      </c>
      <c r="C175" s="294" t="s">
        <v>999</v>
      </c>
      <c r="D175" s="294" t="s">
        <v>51</v>
      </c>
      <c r="E175" s="272">
        <v>0</v>
      </c>
      <c r="F175" s="272">
        <v>0</v>
      </c>
      <c r="G175" s="272">
        <v>0</v>
      </c>
      <c r="H175" s="294">
        <v>300</v>
      </c>
      <c r="I175" s="265"/>
      <c r="J175" s="266" t="s">
        <v>906</v>
      </c>
      <c r="K175" s="267"/>
      <c r="L175" s="265" t="s">
        <v>76</v>
      </c>
      <c r="N175" s="265" t="s">
        <v>896</v>
      </c>
    </row>
    <row r="176" spans="1:14" s="268" customFormat="1" ht="15.75" x14ac:dyDescent="0.25">
      <c r="A176" s="265">
        <v>146</v>
      </c>
      <c r="B176" s="265"/>
      <c r="C176" s="294" t="s">
        <v>1000</v>
      </c>
      <c r="D176" s="294" t="s">
        <v>51</v>
      </c>
      <c r="E176" s="272">
        <v>0</v>
      </c>
      <c r="F176" s="272">
        <v>0</v>
      </c>
      <c r="G176" s="272">
        <v>0</v>
      </c>
      <c r="H176" s="294">
        <v>200</v>
      </c>
      <c r="I176" s="265"/>
      <c r="J176" s="266" t="s">
        <v>906</v>
      </c>
      <c r="K176" s="267"/>
      <c r="L176" s="265" t="s">
        <v>76</v>
      </c>
      <c r="N176" s="265" t="s">
        <v>896</v>
      </c>
    </row>
    <row r="177" spans="1:14" s="268" customFormat="1" ht="31.5" x14ac:dyDescent="0.25">
      <c r="A177" s="265">
        <v>147</v>
      </c>
      <c r="B177" s="265" t="s">
        <v>971</v>
      </c>
      <c r="C177" s="294" t="s">
        <v>1001</v>
      </c>
      <c r="D177" s="294" t="s">
        <v>51</v>
      </c>
      <c r="E177" s="272">
        <v>0</v>
      </c>
      <c r="F177" s="272">
        <v>0</v>
      </c>
      <c r="G177" s="272">
        <v>0</v>
      </c>
      <c r="H177" s="294">
        <v>60</v>
      </c>
      <c r="I177" s="265"/>
      <c r="J177" s="266" t="s">
        <v>906</v>
      </c>
      <c r="K177" s="267"/>
      <c r="L177" s="265" t="s">
        <v>76</v>
      </c>
      <c r="N177" s="259" t="s">
        <v>896</v>
      </c>
    </row>
    <row r="178" spans="1:14" s="268" customFormat="1" ht="31.5" x14ac:dyDescent="0.25">
      <c r="A178" s="265">
        <v>148</v>
      </c>
      <c r="B178" s="265"/>
      <c r="C178" s="294" t="s">
        <v>1002</v>
      </c>
      <c r="D178" s="294" t="s">
        <v>51</v>
      </c>
      <c r="E178" s="272">
        <v>0</v>
      </c>
      <c r="F178" s="272">
        <v>0</v>
      </c>
      <c r="G178" s="272">
        <v>0</v>
      </c>
      <c r="H178" s="294">
        <v>100</v>
      </c>
      <c r="I178" s="265"/>
      <c r="J178" s="266" t="s">
        <v>906</v>
      </c>
      <c r="K178" s="267"/>
      <c r="L178" s="265" t="s">
        <v>76</v>
      </c>
      <c r="N178" s="265" t="s">
        <v>896</v>
      </c>
    </row>
    <row r="179" spans="1:14" s="268" customFormat="1" ht="15.75" x14ac:dyDescent="0.25">
      <c r="A179" s="265">
        <v>149</v>
      </c>
      <c r="B179" s="265"/>
      <c r="C179" s="294" t="s">
        <v>1003</v>
      </c>
      <c r="D179" s="294" t="s">
        <v>428</v>
      </c>
      <c r="E179" s="272">
        <v>0</v>
      </c>
      <c r="F179" s="272">
        <v>0</v>
      </c>
      <c r="G179" s="272">
        <v>0</v>
      </c>
      <c r="H179" s="294">
        <v>200</v>
      </c>
      <c r="I179" s="265"/>
      <c r="J179" s="266" t="s">
        <v>906</v>
      </c>
      <c r="K179" s="267"/>
      <c r="L179" s="265" t="s">
        <v>76</v>
      </c>
      <c r="N179" s="265" t="s">
        <v>896</v>
      </c>
    </row>
    <row r="180" spans="1:14" s="268" customFormat="1" ht="31.5" x14ac:dyDescent="0.25">
      <c r="A180" s="265">
        <v>150</v>
      </c>
      <c r="B180" s="265" t="s">
        <v>972</v>
      </c>
      <c r="C180" s="294" t="s">
        <v>1004</v>
      </c>
      <c r="D180" s="294" t="s">
        <v>0</v>
      </c>
      <c r="E180" s="272">
        <v>0</v>
      </c>
      <c r="F180" s="272">
        <v>0</v>
      </c>
      <c r="G180" s="272">
        <v>0</v>
      </c>
      <c r="H180" s="294">
        <v>10</v>
      </c>
      <c r="I180" s="265"/>
      <c r="J180" s="266" t="s">
        <v>906</v>
      </c>
      <c r="K180" s="267"/>
      <c r="L180" s="265" t="s">
        <v>76</v>
      </c>
      <c r="N180" s="265" t="s">
        <v>896</v>
      </c>
    </row>
    <row r="181" spans="1:14" s="268" customFormat="1" ht="31.5" x14ac:dyDescent="0.25">
      <c r="A181" s="265">
        <v>151</v>
      </c>
      <c r="B181" s="265" t="s">
        <v>973</v>
      </c>
      <c r="C181" s="294" t="s">
        <v>1005</v>
      </c>
      <c r="D181" s="294" t="s">
        <v>551</v>
      </c>
      <c r="E181" s="272">
        <v>0</v>
      </c>
      <c r="F181" s="272">
        <v>0</v>
      </c>
      <c r="G181" s="272">
        <v>0</v>
      </c>
      <c r="H181" s="294">
        <v>200</v>
      </c>
      <c r="I181" s="265"/>
      <c r="J181" s="266" t="s">
        <v>906</v>
      </c>
      <c r="K181" s="267"/>
      <c r="L181" s="265" t="s">
        <v>76</v>
      </c>
      <c r="N181" s="259" t="s">
        <v>896</v>
      </c>
    </row>
    <row r="182" spans="1:14" s="268" customFormat="1" ht="31.5" x14ac:dyDescent="0.25">
      <c r="A182" s="265">
        <v>152</v>
      </c>
      <c r="B182" s="265" t="s">
        <v>555</v>
      </c>
      <c r="C182" s="294" t="s">
        <v>556</v>
      </c>
      <c r="D182" s="294" t="s">
        <v>551</v>
      </c>
      <c r="E182" s="272">
        <v>0</v>
      </c>
      <c r="F182" s="272">
        <v>0</v>
      </c>
      <c r="G182" s="272">
        <v>0</v>
      </c>
      <c r="H182" s="294">
        <v>200</v>
      </c>
      <c r="I182" s="265"/>
      <c r="J182" s="266" t="s">
        <v>906</v>
      </c>
      <c r="K182" s="267"/>
      <c r="L182" s="265" t="s">
        <v>76</v>
      </c>
      <c r="N182" s="265" t="s">
        <v>896</v>
      </c>
    </row>
    <row r="183" spans="1:14" s="268" customFormat="1" ht="31.5" x14ac:dyDescent="0.25">
      <c r="A183" s="265">
        <v>153</v>
      </c>
      <c r="B183" s="265" t="s">
        <v>974</v>
      </c>
      <c r="C183" s="294" t="s">
        <v>1006</v>
      </c>
      <c r="D183" s="294" t="s">
        <v>551</v>
      </c>
      <c r="E183" s="272">
        <v>0</v>
      </c>
      <c r="F183" s="272">
        <v>0</v>
      </c>
      <c r="G183" s="272">
        <v>0</v>
      </c>
      <c r="H183" s="294">
        <v>200</v>
      </c>
      <c r="I183" s="265"/>
      <c r="J183" s="266" t="s">
        <v>906</v>
      </c>
      <c r="K183" s="267"/>
      <c r="L183" s="265" t="s">
        <v>76</v>
      </c>
      <c r="N183" s="265" t="s">
        <v>896</v>
      </c>
    </row>
    <row r="184" spans="1:14" s="268" customFormat="1" ht="31.5" x14ac:dyDescent="0.25">
      <c r="A184" s="265">
        <v>154</v>
      </c>
      <c r="B184" s="265" t="s">
        <v>975</v>
      </c>
      <c r="C184" s="294" t="s">
        <v>1007</v>
      </c>
      <c r="D184" s="294" t="s">
        <v>551</v>
      </c>
      <c r="E184" s="272">
        <v>0</v>
      </c>
      <c r="F184" s="272">
        <v>0</v>
      </c>
      <c r="G184" s="272">
        <v>0</v>
      </c>
      <c r="H184" s="294">
        <v>200</v>
      </c>
      <c r="I184" s="265"/>
      <c r="J184" s="266" t="s">
        <v>906</v>
      </c>
      <c r="K184" s="267"/>
      <c r="L184" s="265" t="s">
        <v>76</v>
      </c>
      <c r="N184" s="265" t="s">
        <v>896</v>
      </c>
    </row>
    <row r="185" spans="1:14" s="268" customFormat="1" ht="31.5" x14ac:dyDescent="0.25">
      <c r="A185" s="265">
        <v>155</v>
      </c>
      <c r="B185" s="265" t="s">
        <v>976</v>
      </c>
      <c r="C185" s="294" t="s">
        <v>1008</v>
      </c>
      <c r="D185" s="294" t="s">
        <v>551</v>
      </c>
      <c r="E185" s="272">
        <v>0</v>
      </c>
      <c r="F185" s="272">
        <v>0</v>
      </c>
      <c r="G185" s="272">
        <v>0</v>
      </c>
      <c r="H185" s="294">
        <v>200</v>
      </c>
      <c r="I185" s="265"/>
      <c r="J185" s="266" t="s">
        <v>906</v>
      </c>
      <c r="K185" s="267"/>
      <c r="L185" s="265" t="s">
        <v>76</v>
      </c>
      <c r="N185" s="259" t="s">
        <v>896</v>
      </c>
    </row>
    <row r="186" spans="1:14" s="268" customFormat="1" ht="31.5" x14ac:dyDescent="0.25">
      <c r="A186" s="265">
        <v>156</v>
      </c>
      <c r="B186" s="265" t="s">
        <v>977</v>
      </c>
      <c r="C186" s="294" t="s">
        <v>1009</v>
      </c>
      <c r="D186" s="294" t="s">
        <v>551</v>
      </c>
      <c r="E186" s="272">
        <v>0</v>
      </c>
      <c r="F186" s="272">
        <v>0</v>
      </c>
      <c r="G186" s="272">
        <v>0</v>
      </c>
      <c r="H186" s="294">
        <v>200</v>
      </c>
      <c r="I186" s="265"/>
      <c r="J186" s="266" t="s">
        <v>906</v>
      </c>
      <c r="K186" s="267"/>
      <c r="L186" s="265" t="s">
        <v>76</v>
      </c>
      <c r="N186" s="265" t="s">
        <v>896</v>
      </c>
    </row>
    <row r="187" spans="1:14" s="268" customFormat="1" ht="47.25" x14ac:dyDescent="0.25">
      <c r="A187" s="265">
        <v>157</v>
      </c>
      <c r="B187" s="265" t="s">
        <v>978</v>
      </c>
      <c r="C187" s="294" t="s">
        <v>1010</v>
      </c>
      <c r="D187" s="294" t="s">
        <v>551</v>
      </c>
      <c r="E187" s="272">
        <v>0</v>
      </c>
      <c r="F187" s="272">
        <v>0</v>
      </c>
      <c r="G187" s="272">
        <v>0</v>
      </c>
      <c r="H187" s="294">
        <v>200</v>
      </c>
      <c r="I187" s="265"/>
      <c r="J187" s="266" t="s">
        <v>906</v>
      </c>
      <c r="K187" s="267"/>
      <c r="L187" s="265" t="s">
        <v>76</v>
      </c>
      <c r="N187" s="265" t="s">
        <v>896</v>
      </c>
    </row>
    <row r="188" spans="1:14" s="268" customFormat="1" ht="15.75" x14ac:dyDescent="0.25">
      <c r="A188" s="265">
        <v>158</v>
      </c>
      <c r="B188" s="265" t="s">
        <v>979</v>
      </c>
      <c r="C188" s="294" t="s">
        <v>1011</v>
      </c>
      <c r="D188" s="294" t="s">
        <v>390</v>
      </c>
      <c r="E188" s="272">
        <v>0</v>
      </c>
      <c r="F188" s="272">
        <v>0</v>
      </c>
      <c r="G188" s="272">
        <v>0</v>
      </c>
      <c r="H188" s="294">
        <v>15000</v>
      </c>
      <c r="I188" s="265"/>
      <c r="J188" s="266" t="s">
        <v>906</v>
      </c>
      <c r="K188" s="267"/>
      <c r="L188" s="265" t="s">
        <v>76</v>
      </c>
      <c r="N188" s="265" t="s">
        <v>896</v>
      </c>
    </row>
    <row r="189" spans="1:14" s="268" customFormat="1" ht="15.75" x14ac:dyDescent="0.25">
      <c r="A189" s="265">
        <v>159</v>
      </c>
      <c r="B189" s="265" t="s">
        <v>980</v>
      </c>
      <c r="C189" s="294" t="s">
        <v>553</v>
      </c>
      <c r="D189" s="294" t="s">
        <v>0</v>
      </c>
      <c r="E189" s="272">
        <v>0</v>
      </c>
      <c r="F189" s="272">
        <v>0</v>
      </c>
      <c r="G189" s="272">
        <v>0</v>
      </c>
      <c r="H189" s="294">
        <v>50</v>
      </c>
      <c r="I189" s="265"/>
      <c r="J189" s="266" t="s">
        <v>906</v>
      </c>
      <c r="K189" s="267"/>
      <c r="L189" s="265" t="s">
        <v>76</v>
      </c>
      <c r="N189" s="259" t="s">
        <v>896</v>
      </c>
    </row>
    <row r="190" spans="1:14" s="268" customFormat="1" ht="15.75" x14ac:dyDescent="0.25">
      <c r="A190" s="265">
        <v>160</v>
      </c>
      <c r="B190" s="265" t="s">
        <v>981</v>
      </c>
      <c r="C190" s="294" t="s">
        <v>1012</v>
      </c>
      <c r="D190" s="294" t="s">
        <v>428</v>
      </c>
      <c r="E190" s="272">
        <v>0</v>
      </c>
      <c r="F190" s="272">
        <v>0</v>
      </c>
      <c r="G190" s="272">
        <v>0</v>
      </c>
      <c r="H190" s="294">
        <v>600</v>
      </c>
      <c r="I190" s="265"/>
      <c r="J190" s="266" t="s">
        <v>906</v>
      </c>
      <c r="K190" s="267"/>
      <c r="L190" s="265" t="s">
        <v>76</v>
      </c>
      <c r="N190" s="265" t="s">
        <v>896</v>
      </c>
    </row>
    <row r="191" spans="1:14" s="268" customFormat="1" ht="15.75" x14ac:dyDescent="0.25">
      <c r="A191" s="265">
        <v>161</v>
      </c>
      <c r="B191" s="265" t="s">
        <v>982</v>
      </c>
      <c r="C191" s="294" t="s">
        <v>1013</v>
      </c>
      <c r="D191" s="294" t="s">
        <v>428</v>
      </c>
      <c r="E191" s="272">
        <v>0</v>
      </c>
      <c r="F191" s="272">
        <v>0</v>
      </c>
      <c r="G191" s="272">
        <v>0</v>
      </c>
      <c r="H191" s="294">
        <v>600</v>
      </c>
      <c r="I191" s="265"/>
      <c r="J191" s="266" t="s">
        <v>906</v>
      </c>
      <c r="K191" s="267"/>
      <c r="L191" s="265" t="s">
        <v>76</v>
      </c>
      <c r="N191" s="265" t="s">
        <v>896</v>
      </c>
    </row>
    <row r="192" spans="1:14" s="268" customFormat="1" ht="15.75" x14ac:dyDescent="0.25">
      <c r="A192" s="265">
        <v>162</v>
      </c>
      <c r="B192" s="265"/>
      <c r="C192" s="294" t="s">
        <v>1014</v>
      </c>
      <c r="D192" s="294" t="s">
        <v>74</v>
      </c>
      <c r="E192" s="272">
        <v>0</v>
      </c>
      <c r="F192" s="272">
        <v>0</v>
      </c>
      <c r="G192" s="272">
        <v>0</v>
      </c>
      <c r="H192" s="294">
        <v>200</v>
      </c>
      <c r="I192" s="265"/>
      <c r="J192" s="266" t="s">
        <v>906</v>
      </c>
      <c r="K192" s="267"/>
      <c r="L192" s="265" t="s">
        <v>76</v>
      </c>
      <c r="N192" s="265" t="s">
        <v>896</v>
      </c>
    </row>
    <row r="193" spans="1:24" s="268" customFormat="1" ht="15.75" x14ac:dyDescent="0.25">
      <c r="A193" s="265">
        <v>163</v>
      </c>
      <c r="B193" s="265" t="s">
        <v>147</v>
      </c>
      <c r="C193" s="294" t="s">
        <v>148</v>
      </c>
      <c r="D193" s="294" t="s">
        <v>66</v>
      </c>
      <c r="E193" s="272">
        <v>0</v>
      </c>
      <c r="F193" s="272">
        <v>0</v>
      </c>
      <c r="G193" s="272">
        <v>0</v>
      </c>
      <c r="H193" s="294">
        <v>600</v>
      </c>
      <c r="I193" s="265"/>
      <c r="J193" s="266" t="s">
        <v>906</v>
      </c>
      <c r="K193" s="267"/>
      <c r="L193" s="265" t="s">
        <v>76</v>
      </c>
      <c r="N193" s="259" t="s">
        <v>896</v>
      </c>
    </row>
    <row r="194" spans="1:24" s="268" customFormat="1" ht="31.5" x14ac:dyDescent="0.25">
      <c r="A194" s="265">
        <v>164</v>
      </c>
      <c r="B194" s="265" t="s">
        <v>983</v>
      </c>
      <c r="C194" s="294" t="s">
        <v>1015</v>
      </c>
      <c r="D194" s="294" t="s">
        <v>66</v>
      </c>
      <c r="E194" s="272">
        <v>0</v>
      </c>
      <c r="F194" s="272">
        <v>0</v>
      </c>
      <c r="G194" s="272">
        <v>0</v>
      </c>
      <c r="H194" s="294">
        <v>60</v>
      </c>
      <c r="I194" s="265"/>
      <c r="J194" s="266" t="s">
        <v>906</v>
      </c>
      <c r="K194" s="267"/>
      <c r="L194" s="265" t="s">
        <v>76</v>
      </c>
      <c r="N194" s="265" t="s">
        <v>896</v>
      </c>
    </row>
    <row r="195" spans="1:24" s="268" customFormat="1" ht="63" x14ac:dyDescent="0.25">
      <c r="A195" s="265">
        <v>165</v>
      </c>
      <c r="B195" s="265" t="s">
        <v>984</v>
      </c>
      <c r="C195" s="294" t="s">
        <v>1016</v>
      </c>
      <c r="D195" s="294" t="s">
        <v>66</v>
      </c>
      <c r="E195" s="272">
        <v>0</v>
      </c>
      <c r="F195" s="272">
        <v>0</v>
      </c>
      <c r="G195" s="272">
        <v>0</v>
      </c>
      <c r="H195" s="294">
        <v>60</v>
      </c>
      <c r="I195" s="265"/>
      <c r="J195" s="266" t="s">
        <v>906</v>
      </c>
      <c r="K195" s="267"/>
      <c r="L195" s="265" t="s">
        <v>76</v>
      </c>
      <c r="N195" s="265" t="s">
        <v>896</v>
      </c>
    </row>
    <row r="196" spans="1:24" s="268" customFormat="1" ht="31.5" x14ac:dyDescent="0.25">
      <c r="A196" s="265">
        <v>166</v>
      </c>
      <c r="B196" s="265" t="s">
        <v>985</v>
      </c>
      <c r="C196" s="294" t="s">
        <v>1017</v>
      </c>
      <c r="D196" s="294" t="s">
        <v>66</v>
      </c>
      <c r="E196" s="272">
        <v>0</v>
      </c>
      <c r="F196" s="272">
        <v>0</v>
      </c>
      <c r="G196" s="272">
        <v>0</v>
      </c>
      <c r="H196" s="294">
        <v>60</v>
      </c>
      <c r="I196" s="265"/>
      <c r="J196" s="266" t="s">
        <v>906</v>
      </c>
      <c r="K196" s="267"/>
      <c r="L196" s="265" t="s">
        <v>76</v>
      </c>
      <c r="N196" s="265" t="s">
        <v>896</v>
      </c>
    </row>
    <row r="197" spans="1:24" s="269" customFormat="1" ht="31.5" x14ac:dyDescent="0.25">
      <c r="A197" s="265">
        <v>167</v>
      </c>
      <c r="B197" s="295" t="s">
        <v>1025</v>
      </c>
      <c r="C197" s="295" t="s">
        <v>1026</v>
      </c>
      <c r="D197" s="296" t="s">
        <v>0</v>
      </c>
      <c r="E197" s="297">
        <v>292</v>
      </c>
      <c r="F197" s="297">
        <v>292</v>
      </c>
      <c r="G197" s="297">
        <v>0</v>
      </c>
      <c r="H197" s="297">
        <v>292</v>
      </c>
      <c r="I197" s="297">
        <v>292</v>
      </c>
      <c r="J197" s="298" t="s">
        <v>1027</v>
      </c>
      <c r="K197" s="500"/>
      <c r="L197" s="300" t="s">
        <v>136</v>
      </c>
      <c r="M197" s="301"/>
      <c r="N197" s="259" t="s">
        <v>896</v>
      </c>
      <c r="O197" s="301"/>
      <c r="P197" s="301"/>
      <c r="Q197" s="301"/>
      <c r="R197" s="301"/>
      <c r="S197" s="301"/>
      <c r="T197" s="301"/>
      <c r="U197" s="301"/>
      <c r="V197" s="301"/>
      <c r="W197" s="301"/>
      <c r="X197" s="301"/>
    </row>
    <row r="198" spans="1:24" s="269" customFormat="1" ht="52.5" customHeight="1" x14ac:dyDescent="0.25">
      <c r="A198" s="265">
        <v>168</v>
      </c>
      <c r="B198" s="302" t="s">
        <v>1028</v>
      </c>
      <c r="C198" s="302" t="s">
        <v>1029</v>
      </c>
      <c r="D198" s="296" t="s">
        <v>0</v>
      </c>
      <c r="E198" s="297">
        <v>1</v>
      </c>
      <c r="F198" s="297">
        <v>1</v>
      </c>
      <c r="G198" s="297">
        <v>0</v>
      </c>
      <c r="H198" s="297">
        <v>1</v>
      </c>
      <c r="I198" s="297">
        <v>1</v>
      </c>
      <c r="J198" s="298" t="s">
        <v>1030</v>
      </c>
      <c r="K198" s="500"/>
      <c r="L198" s="300" t="s">
        <v>136</v>
      </c>
      <c r="M198" s="301"/>
      <c r="N198" s="265" t="s">
        <v>896</v>
      </c>
      <c r="O198" s="301"/>
      <c r="P198" s="301"/>
      <c r="Q198" s="301"/>
      <c r="R198" s="301"/>
      <c r="S198" s="301"/>
      <c r="T198" s="301"/>
      <c r="U198" s="301"/>
      <c r="V198" s="301"/>
      <c r="W198" s="301"/>
      <c r="X198" s="301"/>
    </row>
    <row r="199" spans="1:24" s="269" customFormat="1" ht="31.5" x14ac:dyDescent="0.25">
      <c r="A199" s="265">
        <v>169</v>
      </c>
      <c r="B199" s="302" t="s">
        <v>1031</v>
      </c>
      <c r="C199" s="302" t="s">
        <v>1032</v>
      </c>
      <c r="D199" s="296" t="s">
        <v>0</v>
      </c>
      <c r="E199" s="297">
        <v>2</v>
      </c>
      <c r="F199" s="297">
        <v>2</v>
      </c>
      <c r="G199" s="297">
        <v>0</v>
      </c>
      <c r="H199" s="297">
        <v>2</v>
      </c>
      <c r="I199" s="297">
        <v>2</v>
      </c>
      <c r="J199" s="298" t="s">
        <v>1030</v>
      </c>
      <c r="K199" s="500"/>
      <c r="L199" s="300" t="s">
        <v>136</v>
      </c>
      <c r="M199" s="301"/>
      <c r="N199" s="265" t="s">
        <v>896</v>
      </c>
      <c r="O199" s="301"/>
      <c r="P199" s="301"/>
      <c r="Q199" s="301"/>
      <c r="R199" s="301"/>
      <c r="S199" s="301"/>
      <c r="T199" s="301"/>
      <c r="U199" s="301"/>
      <c r="V199" s="301"/>
      <c r="W199" s="301"/>
      <c r="X199" s="301"/>
    </row>
    <row r="200" spans="1:24" s="269" customFormat="1" ht="31.5" x14ac:dyDescent="0.25">
      <c r="A200" s="265">
        <v>170</v>
      </c>
      <c r="B200" s="302" t="s">
        <v>1033</v>
      </c>
      <c r="C200" s="302" t="s">
        <v>1034</v>
      </c>
      <c r="D200" s="296" t="s">
        <v>0</v>
      </c>
      <c r="E200" s="297">
        <v>1</v>
      </c>
      <c r="F200" s="297">
        <v>1</v>
      </c>
      <c r="G200" s="297">
        <v>0</v>
      </c>
      <c r="H200" s="297">
        <v>1</v>
      </c>
      <c r="I200" s="297">
        <v>1</v>
      </c>
      <c r="J200" s="298" t="s">
        <v>1030</v>
      </c>
      <c r="K200" s="500"/>
      <c r="L200" s="300" t="s">
        <v>136</v>
      </c>
      <c r="M200" s="301"/>
      <c r="N200" s="265" t="s">
        <v>896</v>
      </c>
      <c r="O200" s="301"/>
      <c r="P200" s="301"/>
      <c r="Q200" s="301"/>
      <c r="R200" s="301"/>
      <c r="S200" s="301"/>
      <c r="T200" s="301"/>
      <c r="U200" s="301"/>
      <c r="V200" s="301"/>
      <c r="W200" s="301"/>
      <c r="X200" s="301"/>
    </row>
    <row r="201" spans="1:24" s="269" customFormat="1" ht="63" x14ac:dyDescent="0.25">
      <c r="A201" s="265">
        <v>171</v>
      </c>
      <c r="B201" s="302" t="s">
        <v>1035</v>
      </c>
      <c r="C201" s="302" t="s">
        <v>1036</v>
      </c>
      <c r="D201" s="296" t="s">
        <v>0</v>
      </c>
      <c r="E201" s="297">
        <v>2</v>
      </c>
      <c r="F201" s="297">
        <v>2</v>
      </c>
      <c r="G201" s="297">
        <v>0</v>
      </c>
      <c r="H201" s="297">
        <v>2</v>
      </c>
      <c r="I201" s="297">
        <v>2</v>
      </c>
      <c r="J201" s="298" t="s">
        <v>1030</v>
      </c>
      <c r="K201" s="500"/>
      <c r="L201" s="300" t="s">
        <v>136</v>
      </c>
      <c r="M201" s="301"/>
      <c r="N201" s="259" t="s">
        <v>896</v>
      </c>
      <c r="O201" s="301"/>
      <c r="P201" s="301"/>
      <c r="Q201" s="301"/>
      <c r="R201" s="301"/>
      <c r="S201" s="301"/>
      <c r="T201" s="301"/>
      <c r="U201" s="301"/>
      <c r="V201" s="301"/>
      <c r="W201" s="301"/>
      <c r="X201" s="301"/>
    </row>
    <row r="202" spans="1:24" s="269" customFormat="1" ht="31.5" x14ac:dyDescent="0.25">
      <c r="A202" s="265">
        <v>172</v>
      </c>
      <c r="B202" s="295" t="s">
        <v>1037</v>
      </c>
      <c r="C202" s="295" t="s">
        <v>865</v>
      </c>
      <c r="D202" s="296" t="s">
        <v>1019</v>
      </c>
      <c r="E202" s="297">
        <v>8</v>
      </c>
      <c r="F202" s="297">
        <v>8</v>
      </c>
      <c r="G202" s="297">
        <v>0</v>
      </c>
      <c r="H202" s="297">
        <v>8</v>
      </c>
      <c r="I202" s="297">
        <v>8</v>
      </c>
      <c r="J202" s="298" t="s">
        <v>1030</v>
      </c>
      <c r="K202" s="500"/>
      <c r="L202" s="300" t="s">
        <v>136</v>
      </c>
      <c r="M202" s="301"/>
      <c r="N202" s="265" t="s">
        <v>896</v>
      </c>
      <c r="O202" s="301"/>
      <c r="P202" s="301"/>
      <c r="Q202" s="301"/>
      <c r="R202" s="301"/>
      <c r="S202" s="301"/>
      <c r="T202" s="301"/>
      <c r="U202" s="301"/>
      <c r="V202" s="301"/>
      <c r="W202" s="301"/>
      <c r="X202" s="301"/>
    </row>
    <row r="203" spans="1:24" s="269" customFormat="1" ht="31.5" x14ac:dyDescent="0.25">
      <c r="A203" s="265">
        <v>173</v>
      </c>
      <c r="B203" s="295" t="s">
        <v>1038</v>
      </c>
      <c r="C203" s="295" t="s">
        <v>1039</v>
      </c>
      <c r="D203" s="296" t="s">
        <v>1019</v>
      </c>
      <c r="E203" s="297">
        <v>16</v>
      </c>
      <c r="F203" s="297">
        <v>16</v>
      </c>
      <c r="G203" s="297">
        <v>0</v>
      </c>
      <c r="H203" s="297">
        <v>16</v>
      </c>
      <c r="I203" s="297">
        <v>16</v>
      </c>
      <c r="J203" s="298" t="s">
        <v>1030</v>
      </c>
      <c r="K203" s="299"/>
      <c r="L203" s="300" t="s">
        <v>136</v>
      </c>
      <c r="M203" s="301"/>
      <c r="N203" s="265" t="s">
        <v>896</v>
      </c>
      <c r="O203" s="301"/>
      <c r="P203" s="301"/>
      <c r="Q203" s="301"/>
      <c r="R203" s="301"/>
      <c r="S203" s="301"/>
      <c r="T203" s="301"/>
      <c r="U203" s="301"/>
      <c r="V203" s="301"/>
      <c r="W203" s="301"/>
      <c r="X203" s="301"/>
    </row>
    <row r="204" spans="1:24" s="269" customFormat="1" ht="31.5" x14ac:dyDescent="0.25">
      <c r="A204" s="265">
        <v>174</v>
      </c>
      <c r="B204" s="295" t="s">
        <v>923</v>
      </c>
      <c r="C204" s="295" t="s">
        <v>924</v>
      </c>
      <c r="D204" s="296" t="s">
        <v>1019</v>
      </c>
      <c r="E204" s="297">
        <v>1</v>
      </c>
      <c r="F204" s="297">
        <v>1</v>
      </c>
      <c r="G204" s="297">
        <v>0</v>
      </c>
      <c r="H204" s="297">
        <v>1</v>
      </c>
      <c r="I204" s="297">
        <v>1</v>
      </c>
      <c r="J204" s="298" t="s">
        <v>1030</v>
      </c>
      <c r="K204" s="500"/>
      <c r="L204" s="300" t="s">
        <v>136</v>
      </c>
      <c r="M204" s="301"/>
      <c r="N204" s="265" t="s">
        <v>896</v>
      </c>
      <c r="O204" s="301"/>
      <c r="P204" s="301"/>
      <c r="Q204" s="301"/>
      <c r="R204" s="301"/>
      <c r="S204" s="301"/>
      <c r="T204" s="301"/>
      <c r="U204" s="301"/>
      <c r="V204" s="301"/>
      <c r="W204" s="301"/>
      <c r="X204" s="301"/>
    </row>
    <row r="205" spans="1:24" s="269" customFormat="1" ht="15.75" x14ac:dyDescent="0.25">
      <c r="A205" s="265">
        <v>175</v>
      </c>
      <c r="B205" s="295" t="s">
        <v>1040</v>
      </c>
      <c r="C205" s="295" t="s">
        <v>1041</v>
      </c>
      <c r="D205" s="296" t="s">
        <v>0</v>
      </c>
      <c r="E205" s="297">
        <v>61</v>
      </c>
      <c r="F205" s="297">
        <v>61</v>
      </c>
      <c r="G205" s="297">
        <v>0</v>
      </c>
      <c r="H205" s="297">
        <v>61</v>
      </c>
      <c r="I205" s="297">
        <v>61</v>
      </c>
      <c r="J205" s="298" t="s">
        <v>1030</v>
      </c>
      <c r="K205" s="500"/>
      <c r="L205" s="300" t="s">
        <v>136</v>
      </c>
      <c r="M205" s="301"/>
      <c r="N205" s="259" t="s">
        <v>896</v>
      </c>
      <c r="O205" s="301"/>
      <c r="P205" s="301"/>
      <c r="Q205" s="301"/>
      <c r="R205" s="301"/>
      <c r="S205" s="301"/>
      <c r="T205" s="301"/>
      <c r="U205" s="301"/>
      <c r="V205" s="301"/>
      <c r="W205" s="301"/>
      <c r="X205" s="301"/>
    </row>
    <row r="206" spans="1:24" s="269" customFormat="1" ht="15.75" x14ac:dyDescent="0.25">
      <c r="A206" s="265">
        <v>176</v>
      </c>
      <c r="B206" s="295" t="s">
        <v>1042</v>
      </c>
      <c r="C206" s="295" t="s">
        <v>1043</v>
      </c>
      <c r="D206" s="296" t="s">
        <v>0</v>
      </c>
      <c r="E206" s="297">
        <v>58</v>
      </c>
      <c r="F206" s="297">
        <v>58</v>
      </c>
      <c r="G206" s="297">
        <v>0</v>
      </c>
      <c r="H206" s="297">
        <v>58</v>
      </c>
      <c r="I206" s="297">
        <v>58</v>
      </c>
      <c r="J206" s="298" t="s">
        <v>1030</v>
      </c>
      <c r="K206" s="299"/>
      <c r="L206" s="300" t="s">
        <v>136</v>
      </c>
      <c r="M206" s="301"/>
      <c r="N206" s="265" t="s">
        <v>896</v>
      </c>
      <c r="O206" s="301"/>
      <c r="P206" s="301"/>
      <c r="Q206" s="301"/>
      <c r="R206" s="301"/>
      <c r="S206" s="301"/>
      <c r="T206" s="301"/>
      <c r="U206" s="301"/>
      <c r="V206" s="301"/>
      <c r="W206" s="301"/>
      <c r="X206" s="301"/>
    </row>
    <row r="207" spans="1:24" s="269" customFormat="1" ht="31.5" x14ac:dyDescent="0.25">
      <c r="A207" s="265">
        <v>177</v>
      </c>
      <c r="B207" s="295" t="s">
        <v>1044</v>
      </c>
      <c r="C207" s="295" t="s">
        <v>1045</v>
      </c>
      <c r="D207" s="297" t="s">
        <v>0</v>
      </c>
      <c r="E207" s="297">
        <v>2</v>
      </c>
      <c r="F207" s="297">
        <v>2</v>
      </c>
      <c r="G207" s="297">
        <v>0</v>
      </c>
      <c r="H207" s="297">
        <v>2</v>
      </c>
      <c r="I207" s="297">
        <v>2</v>
      </c>
      <c r="J207" s="298" t="s">
        <v>1030</v>
      </c>
      <c r="K207" s="299"/>
      <c r="L207" s="300" t="s">
        <v>136</v>
      </c>
      <c r="M207" s="301"/>
      <c r="N207" s="265" t="s">
        <v>896</v>
      </c>
      <c r="O207" s="301"/>
      <c r="P207" s="301"/>
      <c r="Q207" s="301"/>
      <c r="R207" s="301"/>
      <c r="S207" s="301"/>
      <c r="T207" s="301"/>
      <c r="U207" s="301"/>
      <c r="V207" s="301"/>
      <c r="W207" s="301"/>
      <c r="X207" s="301"/>
    </row>
    <row r="208" spans="1:24" s="269" customFormat="1" ht="31.5" x14ac:dyDescent="0.25">
      <c r="A208" s="265">
        <v>178</v>
      </c>
      <c r="B208" s="295" t="s">
        <v>1046</v>
      </c>
      <c r="C208" s="295" t="s">
        <v>1047</v>
      </c>
      <c r="D208" s="297" t="s">
        <v>0</v>
      </c>
      <c r="E208" s="297">
        <v>4</v>
      </c>
      <c r="F208" s="297">
        <v>4</v>
      </c>
      <c r="G208" s="297">
        <v>0</v>
      </c>
      <c r="H208" s="297">
        <v>4</v>
      </c>
      <c r="I208" s="297">
        <v>4</v>
      </c>
      <c r="J208" s="298" t="s">
        <v>1030</v>
      </c>
      <c r="K208" s="299"/>
      <c r="L208" s="300" t="s">
        <v>136</v>
      </c>
      <c r="M208" s="301"/>
      <c r="N208" s="265" t="s">
        <v>896</v>
      </c>
      <c r="O208" s="301"/>
      <c r="P208" s="301"/>
      <c r="Q208" s="301"/>
      <c r="R208" s="301"/>
      <c r="S208" s="301"/>
      <c r="T208" s="301"/>
      <c r="U208" s="301"/>
      <c r="V208" s="301"/>
      <c r="W208" s="301"/>
      <c r="X208" s="301"/>
    </row>
    <row r="209" spans="1:24" s="269" customFormat="1" ht="31.5" x14ac:dyDescent="0.25">
      <c r="A209" s="265">
        <v>179</v>
      </c>
      <c r="B209" s="295" t="s">
        <v>1048</v>
      </c>
      <c r="C209" s="295" t="s">
        <v>1049</v>
      </c>
      <c r="D209" s="297" t="s">
        <v>0</v>
      </c>
      <c r="E209" s="303">
        <v>6</v>
      </c>
      <c r="F209" s="303">
        <v>6</v>
      </c>
      <c r="G209" s="300">
        <v>0</v>
      </c>
      <c r="H209" s="303">
        <v>6</v>
      </c>
      <c r="I209" s="303">
        <v>6</v>
      </c>
      <c r="J209" s="298" t="s">
        <v>1030</v>
      </c>
      <c r="K209" s="301"/>
      <c r="L209" s="300" t="s">
        <v>136</v>
      </c>
      <c r="M209" s="301"/>
      <c r="N209" s="259" t="s">
        <v>896</v>
      </c>
      <c r="O209" s="301"/>
      <c r="P209" s="301"/>
      <c r="Q209" s="301"/>
      <c r="R209" s="301"/>
      <c r="S209" s="301"/>
      <c r="T209" s="301"/>
      <c r="U209" s="301"/>
      <c r="V209" s="301"/>
      <c r="W209" s="301"/>
      <c r="X209" s="301"/>
    </row>
    <row r="210" spans="1:24" s="269" customFormat="1" ht="31.5" x14ac:dyDescent="0.25">
      <c r="A210" s="265">
        <v>180</v>
      </c>
      <c r="B210" s="295" t="s">
        <v>1050</v>
      </c>
      <c r="C210" s="295" t="s">
        <v>1049</v>
      </c>
      <c r="D210" s="297" t="s">
        <v>0</v>
      </c>
      <c r="E210" s="303">
        <v>5</v>
      </c>
      <c r="F210" s="303">
        <v>5</v>
      </c>
      <c r="G210" s="300">
        <v>0</v>
      </c>
      <c r="H210" s="303">
        <v>5</v>
      </c>
      <c r="I210" s="303">
        <v>5</v>
      </c>
      <c r="J210" s="298" t="s">
        <v>1030</v>
      </c>
      <c r="K210" s="301"/>
      <c r="L210" s="300" t="s">
        <v>136</v>
      </c>
      <c r="M210" s="301"/>
      <c r="N210" s="265" t="s">
        <v>896</v>
      </c>
      <c r="O210" s="301"/>
      <c r="P210" s="301"/>
      <c r="Q210" s="301"/>
      <c r="R210" s="301"/>
      <c r="S210" s="301"/>
      <c r="T210" s="301"/>
      <c r="U210" s="301"/>
      <c r="V210" s="301"/>
      <c r="W210" s="301"/>
      <c r="X210" s="301"/>
    </row>
    <row r="211" spans="1:24" s="269" customFormat="1" ht="31.5" x14ac:dyDescent="0.25">
      <c r="A211" s="265">
        <v>181</v>
      </c>
      <c r="B211" s="295" t="s">
        <v>1051</v>
      </c>
      <c r="C211" s="295" t="s">
        <v>1052</v>
      </c>
      <c r="D211" s="303" t="s">
        <v>0</v>
      </c>
      <c r="E211" s="296">
        <v>4</v>
      </c>
      <c r="F211" s="296">
        <v>4</v>
      </c>
      <c r="G211" s="300">
        <v>0</v>
      </c>
      <c r="H211" s="296">
        <v>4</v>
      </c>
      <c r="I211" s="296">
        <v>4</v>
      </c>
      <c r="J211" s="298" t="s">
        <v>1030</v>
      </c>
      <c r="K211" s="301"/>
      <c r="L211" s="300" t="s">
        <v>136</v>
      </c>
      <c r="M211" s="301"/>
      <c r="N211" s="265" t="s">
        <v>896</v>
      </c>
      <c r="O211" s="301"/>
      <c r="P211" s="301"/>
      <c r="Q211" s="301"/>
      <c r="R211" s="301"/>
      <c r="S211" s="301"/>
      <c r="T211" s="301"/>
      <c r="U211" s="301"/>
      <c r="V211" s="301"/>
      <c r="W211" s="301"/>
      <c r="X211" s="301"/>
    </row>
    <row r="212" spans="1:24" s="269" customFormat="1" ht="31.5" x14ac:dyDescent="0.25">
      <c r="A212" s="265">
        <v>182</v>
      </c>
      <c r="B212" s="295" t="s">
        <v>1053</v>
      </c>
      <c r="C212" s="295" t="s">
        <v>1054</v>
      </c>
      <c r="D212" s="303" t="s">
        <v>0</v>
      </c>
      <c r="E212" s="296">
        <v>10</v>
      </c>
      <c r="F212" s="296">
        <v>10</v>
      </c>
      <c r="G212" s="300">
        <v>0</v>
      </c>
      <c r="H212" s="296">
        <v>10</v>
      </c>
      <c r="I212" s="296">
        <v>10</v>
      </c>
      <c r="J212" s="298" t="s">
        <v>1030</v>
      </c>
      <c r="K212" s="301"/>
      <c r="L212" s="300" t="s">
        <v>136</v>
      </c>
      <c r="M212" s="301"/>
      <c r="N212" s="265" t="s">
        <v>896</v>
      </c>
      <c r="O212" s="301"/>
      <c r="P212" s="301"/>
      <c r="Q212" s="301"/>
      <c r="R212" s="301"/>
      <c r="S212" s="301"/>
      <c r="T212" s="301"/>
      <c r="U212" s="301"/>
      <c r="V212" s="301"/>
      <c r="W212" s="301"/>
      <c r="X212" s="301"/>
    </row>
    <row r="1046235" spans="3:11" s="5" customFormat="1" ht="26.25" customHeight="1" x14ac:dyDescent="0.25">
      <c r="C1046235" s="23"/>
      <c r="H1046235" s="237"/>
      <c r="J1046235" s="49"/>
      <c r="K1046235" s="94"/>
    </row>
  </sheetData>
  <autoFilter ref="A21:AF160" xr:uid="{00000000-0009-0000-0000-000006000000}"/>
  <mergeCells count="10">
    <mergeCell ref="A22:C22"/>
    <mergeCell ref="K197:K199"/>
    <mergeCell ref="K200:K202"/>
    <mergeCell ref="K204:K205"/>
    <mergeCell ref="A10:B10"/>
    <mergeCell ref="A11:B11"/>
    <mergeCell ref="A12:B12"/>
    <mergeCell ref="H12:I12"/>
    <mergeCell ref="B14:J14"/>
    <mergeCell ref="B15:J15"/>
  </mergeCells>
  <phoneticPr fontId="3" type="noConversion"/>
  <printOptions horizontalCentered="1"/>
  <pageMargins left="0" right="0" top="0.25" bottom="0.25" header="0.3" footer="0.3"/>
  <pageSetup scale="55"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X1046180"/>
  <sheetViews>
    <sheetView topLeftCell="A21" zoomScale="80" zoomScaleNormal="80" workbookViewId="0">
      <selection activeCell="C71" sqref="C71"/>
    </sheetView>
  </sheetViews>
  <sheetFormatPr defaultColWidth="9.140625" defaultRowHeight="16.5" x14ac:dyDescent="0.25"/>
  <cols>
    <col min="1" max="1" width="7.85546875" style="5" customWidth="1"/>
    <col min="2" max="2" width="28.5703125" style="5" customWidth="1"/>
    <col min="3" max="3" width="34" style="49" customWidth="1"/>
    <col min="4" max="4" width="11.7109375" style="5" customWidth="1"/>
    <col min="5" max="5" width="14" style="5" customWidth="1"/>
    <col min="6" max="7" width="11.7109375" style="5" customWidth="1"/>
    <col min="8" max="8" width="12.5703125" style="237" customWidth="1"/>
    <col min="9" max="9" width="14.42578125" style="5" bestFit="1" customWidth="1"/>
    <col min="10" max="10" width="67.5703125" style="49" customWidth="1"/>
    <col min="11" max="11" width="26.5703125" style="94" bestFit="1" customWidth="1"/>
    <col min="12" max="12" width="26.42578125" style="8" customWidth="1"/>
    <col min="13" max="24" width="5.5703125" style="8" customWidth="1"/>
    <col min="25" max="16384" width="9.140625" style="8"/>
  </cols>
  <sheetData>
    <row r="1" spans="1:20" ht="28.5" hidden="1" customHeight="1" x14ac:dyDescent="0.25">
      <c r="A1" s="5" t="s">
        <v>8</v>
      </c>
      <c r="C1" s="87"/>
      <c r="D1" s="88"/>
      <c r="E1" s="88"/>
      <c r="F1" s="88"/>
      <c r="G1" s="88"/>
      <c r="H1" s="88"/>
      <c r="I1" s="88"/>
      <c r="J1" s="87"/>
      <c r="K1" s="91"/>
      <c r="L1" s="92"/>
      <c r="M1" s="92"/>
      <c r="N1" s="92"/>
      <c r="O1" s="92"/>
      <c r="P1" s="92"/>
      <c r="Q1" s="92"/>
      <c r="R1" s="92"/>
      <c r="S1" s="92"/>
      <c r="T1" s="92"/>
    </row>
    <row r="2" spans="1:20" ht="28.5" hidden="1" customHeight="1" x14ac:dyDescent="0.25">
      <c r="A2" s="83" t="s">
        <v>9</v>
      </c>
      <c r="B2" s="83"/>
      <c r="C2" s="87"/>
      <c r="D2" s="88"/>
      <c r="E2" s="88"/>
      <c r="F2" s="88"/>
      <c r="G2" s="88"/>
      <c r="H2" s="88"/>
      <c r="I2" s="88"/>
      <c r="J2" s="87"/>
      <c r="K2" s="91"/>
      <c r="L2" s="92"/>
      <c r="M2" s="92"/>
      <c r="N2" s="92"/>
      <c r="O2" s="92"/>
      <c r="P2" s="92"/>
      <c r="Q2" s="92"/>
      <c r="R2" s="92"/>
      <c r="S2" s="92"/>
      <c r="T2" s="92"/>
    </row>
    <row r="3" spans="1:20" ht="19.5" hidden="1" customHeight="1" x14ac:dyDescent="0.25">
      <c r="C3" s="87"/>
      <c r="D3" s="88"/>
      <c r="E3" s="88"/>
      <c r="F3" s="88"/>
      <c r="G3" s="88"/>
      <c r="H3" s="88"/>
      <c r="I3" s="88"/>
      <c r="J3" s="87"/>
      <c r="K3" s="91"/>
      <c r="L3" s="92"/>
      <c r="M3" s="92"/>
      <c r="N3" s="92"/>
      <c r="O3" s="92"/>
      <c r="P3" s="92"/>
      <c r="Q3" s="92"/>
      <c r="R3" s="92"/>
      <c r="S3" s="92"/>
      <c r="T3" s="92"/>
    </row>
    <row r="4" spans="1:20" ht="14.25" hidden="1" customHeight="1" x14ac:dyDescent="0.25">
      <c r="C4" s="87"/>
      <c r="D4" s="88"/>
      <c r="E4" s="88"/>
      <c r="F4" s="88"/>
      <c r="G4" s="88"/>
      <c r="H4" s="88"/>
      <c r="I4" s="88"/>
      <c r="J4" s="87"/>
      <c r="K4" s="91"/>
      <c r="L4" s="92"/>
      <c r="M4" s="92"/>
      <c r="N4" s="92"/>
      <c r="O4" s="92"/>
      <c r="P4" s="92"/>
      <c r="Q4" s="92"/>
      <c r="R4" s="92"/>
      <c r="S4" s="92"/>
      <c r="T4" s="92"/>
    </row>
    <row r="5" spans="1:20" ht="14.25" hidden="1" customHeight="1" x14ac:dyDescent="0.25">
      <c r="B5" s="5" t="s">
        <v>14</v>
      </c>
      <c r="C5" s="87"/>
      <c r="D5" s="88"/>
      <c r="E5" s="88"/>
      <c r="F5" s="88"/>
      <c r="G5" s="88"/>
      <c r="H5" s="88"/>
      <c r="I5" s="88"/>
      <c r="J5" s="87"/>
      <c r="K5" s="91"/>
      <c r="L5" s="92"/>
      <c r="M5" s="92"/>
      <c r="N5" s="92"/>
      <c r="O5" s="92"/>
      <c r="P5" s="92"/>
      <c r="Q5" s="92"/>
      <c r="R5" s="92"/>
      <c r="S5" s="92"/>
      <c r="T5" s="92"/>
    </row>
    <row r="6" spans="1:20" ht="14.25" hidden="1" customHeight="1" x14ac:dyDescent="0.25">
      <c r="B6" s="5" t="s">
        <v>12</v>
      </c>
      <c r="C6" s="87"/>
      <c r="D6" s="88"/>
      <c r="E6" s="88"/>
      <c r="F6" s="88"/>
      <c r="G6" s="88"/>
      <c r="H6" s="88"/>
      <c r="I6" s="88"/>
      <c r="J6" s="87"/>
      <c r="K6" s="91"/>
      <c r="L6" s="92"/>
      <c r="M6" s="92"/>
      <c r="N6" s="92"/>
      <c r="O6" s="92"/>
      <c r="P6" s="92"/>
      <c r="Q6" s="92"/>
      <c r="R6" s="92"/>
      <c r="S6" s="92"/>
      <c r="T6" s="92"/>
    </row>
    <row r="7" spans="1:20" ht="14.25" hidden="1" customHeight="1" x14ac:dyDescent="0.25">
      <c r="B7" s="5" t="s">
        <v>15</v>
      </c>
      <c r="C7" s="87"/>
      <c r="D7" s="88"/>
      <c r="E7" s="88"/>
      <c r="F7" s="88"/>
      <c r="G7" s="88"/>
      <c r="H7" s="88"/>
      <c r="I7" s="88"/>
      <c r="J7" s="87"/>
      <c r="K7" s="91"/>
      <c r="L7" s="92"/>
      <c r="M7" s="92"/>
      <c r="N7" s="92"/>
      <c r="O7" s="92"/>
      <c r="P7" s="92"/>
      <c r="Q7" s="92"/>
      <c r="R7" s="92"/>
      <c r="S7" s="92"/>
      <c r="T7" s="92"/>
    </row>
    <row r="8" spans="1:20" ht="14.25" hidden="1" customHeight="1" x14ac:dyDescent="0.25">
      <c r="B8" s="5" t="s">
        <v>13</v>
      </c>
      <c r="C8" s="87"/>
      <c r="D8" s="88"/>
      <c r="E8" s="88"/>
      <c r="F8" s="88"/>
      <c r="G8" s="88"/>
      <c r="H8" s="88"/>
      <c r="I8" s="88"/>
      <c r="J8" s="87"/>
      <c r="K8" s="91"/>
      <c r="L8" s="92"/>
      <c r="M8" s="92"/>
      <c r="N8" s="92"/>
      <c r="O8" s="92"/>
      <c r="P8" s="92"/>
      <c r="Q8" s="92"/>
      <c r="R8" s="92"/>
      <c r="S8" s="92"/>
      <c r="T8" s="92"/>
    </row>
    <row r="9" spans="1:20" ht="14.25" hidden="1" customHeight="1" x14ac:dyDescent="0.25">
      <c r="C9" s="87"/>
      <c r="D9" s="88"/>
      <c r="E9" s="88"/>
      <c r="F9" s="88"/>
      <c r="G9" s="88"/>
      <c r="H9" s="88"/>
      <c r="I9" s="88"/>
      <c r="J9" s="87"/>
      <c r="K9" s="91"/>
      <c r="L9" s="92"/>
      <c r="M9" s="92"/>
      <c r="N9" s="92"/>
      <c r="O9" s="92"/>
      <c r="P9" s="92"/>
      <c r="Q9" s="92"/>
      <c r="R9" s="92"/>
      <c r="S9" s="92"/>
      <c r="T9" s="92"/>
    </row>
    <row r="10" spans="1:20" ht="45" customHeight="1" x14ac:dyDescent="0.25">
      <c r="A10" s="487" t="s">
        <v>109</v>
      </c>
      <c r="B10" s="487"/>
      <c r="C10" s="87"/>
      <c r="D10" s="88"/>
      <c r="E10" s="88"/>
      <c r="F10" s="88"/>
      <c r="G10" s="88"/>
      <c r="H10" s="88"/>
      <c r="I10" s="88"/>
      <c r="J10" s="93" t="s">
        <v>371</v>
      </c>
      <c r="L10" s="92"/>
      <c r="M10" s="92"/>
      <c r="N10" s="92"/>
      <c r="O10" s="92"/>
      <c r="P10" s="92"/>
      <c r="Q10" s="92"/>
      <c r="R10" s="92"/>
      <c r="S10" s="92"/>
      <c r="T10" s="92"/>
    </row>
    <row r="11" spans="1:20" ht="18.75" x14ac:dyDescent="0.25">
      <c r="A11" s="488" t="s">
        <v>9</v>
      </c>
      <c r="B11" s="488"/>
      <c r="C11" s="95"/>
      <c r="D11" s="96"/>
      <c r="E11" s="96"/>
      <c r="F11" s="96"/>
      <c r="G11" s="96"/>
      <c r="H11" s="96"/>
      <c r="I11" s="96"/>
      <c r="J11" s="229"/>
      <c r="K11" s="99"/>
      <c r="L11" s="95"/>
      <c r="M11" s="95"/>
      <c r="N11" s="95"/>
      <c r="O11" s="95"/>
      <c r="P11" s="95"/>
      <c r="Q11" s="95"/>
      <c r="R11" s="95"/>
      <c r="S11" s="95"/>
      <c r="T11" s="95"/>
    </row>
    <row r="12" spans="1:20" x14ac:dyDescent="0.25">
      <c r="A12" s="486" t="s">
        <v>893</v>
      </c>
      <c r="B12" s="486"/>
      <c r="C12" s="6"/>
      <c r="H12" s="489"/>
      <c r="I12" s="489"/>
      <c r="J12" s="6"/>
    </row>
    <row r="13" spans="1:20" x14ac:dyDescent="0.25">
      <c r="B13" s="8"/>
      <c r="C13" s="6"/>
      <c r="H13" s="5"/>
      <c r="J13" s="6"/>
    </row>
    <row r="14" spans="1:20" s="104" customFormat="1" ht="25.5" x14ac:dyDescent="0.25">
      <c r="A14" s="103"/>
      <c r="B14" s="490" t="s">
        <v>368</v>
      </c>
      <c r="C14" s="490"/>
      <c r="D14" s="490"/>
      <c r="E14" s="490"/>
      <c r="F14" s="490"/>
      <c r="G14" s="490"/>
      <c r="H14" s="490"/>
      <c r="I14" s="490"/>
      <c r="J14" s="490"/>
      <c r="K14" s="91"/>
    </row>
    <row r="15" spans="1:20" x14ac:dyDescent="0.25">
      <c r="B15" s="486" t="s">
        <v>898</v>
      </c>
      <c r="C15" s="486"/>
      <c r="D15" s="486"/>
      <c r="E15" s="486"/>
      <c r="F15" s="486"/>
      <c r="G15" s="486"/>
      <c r="H15" s="486"/>
      <c r="I15" s="486"/>
      <c r="J15" s="486"/>
      <c r="K15" s="105"/>
    </row>
    <row r="16" spans="1:20" x14ac:dyDescent="0.25">
      <c r="B16" s="8"/>
      <c r="C16" s="6"/>
      <c r="H16" s="5"/>
      <c r="J16" s="6"/>
      <c r="K16" s="105"/>
    </row>
    <row r="17" spans="1:24" x14ac:dyDescent="0.25">
      <c r="B17" s="8" t="s">
        <v>220</v>
      </c>
      <c r="C17" s="6"/>
      <c r="H17" s="5"/>
      <c r="J17" s="6" t="s">
        <v>797</v>
      </c>
      <c r="K17" s="105"/>
    </row>
    <row r="18" spans="1:24" x14ac:dyDescent="0.25">
      <c r="B18" s="8" t="s">
        <v>894</v>
      </c>
      <c r="C18" s="6"/>
      <c r="H18" s="5"/>
      <c r="J18" s="6" t="s">
        <v>513</v>
      </c>
      <c r="K18" s="105"/>
    </row>
    <row r="19" spans="1:24" x14ac:dyDescent="0.25">
      <c r="B19" s="8"/>
      <c r="C19" s="6"/>
      <c r="H19" s="5"/>
      <c r="J19" s="6" t="s">
        <v>514</v>
      </c>
      <c r="K19" s="105"/>
    </row>
    <row r="20" spans="1:24" x14ac:dyDescent="0.25">
      <c r="A20" s="106"/>
      <c r="B20" s="107"/>
      <c r="C20" s="108"/>
      <c r="D20" s="106"/>
      <c r="E20" s="106"/>
      <c r="F20" s="106"/>
      <c r="G20" s="106"/>
      <c r="H20" s="106"/>
      <c r="I20" s="106"/>
      <c r="J20" s="108"/>
      <c r="K20" s="111"/>
      <c r="L20" s="107"/>
    </row>
    <row r="21" spans="1:24" s="5" customFormat="1" ht="101.25" customHeight="1" x14ac:dyDescent="0.25">
      <c r="A21" s="238" t="s">
        <v>5</v>
      </c>
      <c r="B21" s="238" t="s">
        <v>10</v>
      </c>
      <c r="C21" s="238" t="s">
        <v>11</v>
      </c>
      <c r="D21" s="238" t="s">
        <v>6</v>
      </c>
      <c r="E21" s="238" t="s">
        <v>373</v>
      </c>
      <c r="F21" s="238" t="s">
        <v>404</v>
      </c>
      <c r="G21" s="238" t="s">
        <v>946</v>
      </c>
      <c r="H21" s="239" t="s">
        <v>406</v>
      </c>
      <c r="I21" s="240" t="s">
        <v>407</v>
      </c>
      <c r="J21" s="238" t="s">
        <v>408</v>
      </c>
      <c r="K21" s="116" t="s">
        <v>35</v>
      </c>
      <c r="L21" s="117" t="s">
        <v>108</v>
      </c>
      <c r="M21" s="83"/>
      <c r="N21" s="83"/>
      <c r="O21" s="83"/>
      <c r="P21" s="83"/>
      <c r="Q21" s="83"/>
      <c r="R21" s="6"/>
      <c r="S21" s="83"/>
      <c r="T21" s="83"/>
      <c r="U21" s="6"/>
    </row>
    <row r="22" spans="1:24" s="83" customFormat="1" ht="33" customHeight="1" x14ac:dyDescent="0.25">
      <c r="A22" s="501" t="s">
        <v>18</v>
      </c>
      <c r="B22" s="502"/>
      <c r="C22" s="503"/>
      <c r="D22" s="241"/>
      <c r="E22" s="241"/>
      <c r="F22" s="241"/>
      <c r="G22" s="241"/>
      <c r="H22" s="241"/>
      <c r="I22" s="241"/>
      <c r="J22" s="241"/>
      <c r="K22" s="120"/>
      <c r="L22" s="117"/>
      <c r="M22" s="83" t="s">
        <v>895</v>
      </c>
      <c r="N22" s="83" t="s">
        <v>896</v>
      </c>
      <c r="O22" s="83" t="s">
        <v>812</v>
      </c>
      <c r="P22" s="83" t="s">
        <v>813</v>
      </c>
      <c r="Q22" s="83" t="s">
        <v>827</v>
      </c>
      <c r="R22" s="83" t="s">
        <v>840</v>
      </c>
      <c r="S22" s="83" t="s">
        <v>897</v>
      </c>
      <c r="T22" s="83" t="s">
        <v>849</v>
      </c>
      <c r="U22" s="83" t="s">
        <v>852</v>
      </c>
      <c r="V22" s="83" t="s">
        <v>854</v>
      </c>
      <c r="W22" s="83" t="s">
        <v>858</v>
      </c>
      <c r="X22" s="83" t="s">
        <v>870</v>
      </c>
    </row>
    <row r="23" spans="1:24" s="100" customFormat="1" x14ac:dyDescent="0.25">
      <c r="A23" s="241">
        <v>1</v>
      </c>
      <c r="B23" s="241" t="s">
        <v>153</v>
      </c>
      <c r="C23" s="246" t="s">
        <v>54</v>
      </c>
      <c r="D23" s="241" t="s">
        <v>2</v>
      </c>
      <c r="E23" s="240">
        <v>0</v>
      </c>
      <c r="F23" s="240">
        <v>0</v>
      </c>
      <c r="G23" s="240">
        <v>0</v>
      </c>
      <c r="H23" s="240">
        <v>2000</v>
      </c>
      <c r="I23" s="241" t="s">
        <v>905</v>
      </c>
      <c r="J23" s="242" t="s">
        <v>814</v>
      </c>
      <c r="K23" s="183">
        <v>0</v>
      </c>
      <c r="L23" s="145" t="s">
        <v>88</v>
      </c>
      <c r="M23" s="100" t="s">
        <v>895</v>
      </c>
      <c r="Q23" s="184"/>
      <c r="R23" s="184"/>
      <c r="S23" s="184"/>
      <c r="T23" s="184"/>
      <c r="U23" s="184"/>
    </row>
    <row r="24" spans="1:24" s="184" customFormat="1" x14ac:dyDescent="0.25">
      <c r="A24" s="241">
        <v>2</v>
      </c>
      <c r="B24" s="246" t="s">
        <v>153</v>
      </c>
      <c r="C24" s="246" t="s">
        <v>54</v>
      </c>
      <c r="D24" s="241" t="s">
        <v>2</v>
      </c>
      <c r="E24" s="240">
        <v>0</v>
      </c>
      <c r="F24" s="240">
        <v>0</v>
      </c>
      <c r="G24" s="240">
        <v>0</v>
      </c>
      <c r="H24" s="240">
        <v>60</v>
      </c>
      <c r="I24" s="241"/>
      <c r="J24" s="242" t="s">
        <v>161</v>
      </c>
      <c r="K24" s="183">
        <v>0</v>
      </c>
      <c r="L24" s="182" t="s">
        <v>140</v>
      </c>
      <c r="M24" s="184" t="s">
        <v>895</v>
      </c>
    </row>
    <row r="25" spans="1:24" s="184" customFormat="1" x14ac:dyDescent="0.25">
      <c r="A25" s="241">
        <v>3</v>
      </c>
      <c r="B25" s="242" t="s">
        <v>141</v>
      </c>
      <c r="C25" s="242" t="s">
        <v>142</v>
      </c>
      <c r="D25" s="241" t="s">
        <v>2</v>
      </c>
      <c r="E25" s="240">
        <v>0</v>
      </c>
      <c r="F25" s="240">
        <v>0</v>
      </c>
      <c r="G25" s="240">
        <v>0</v>
      </c>
      <c r="H25" s="240">
        <v>1040</v>
      </c>
      <c r="I25" s="241"/>
      <c r="J25" s="242" t="s">
        <v>143</v>
      </c>
      <c r="K25" s="186"/>
      <c r="L25" s="182" t="s">
        <v>140</v>
      </c>
      <c r="M25" s="184" t="s">
        <v>895</v>
      </c>
    </row>
    <row r="26" spans="1:24" s="184" customFormat="1" x14ac:dyDescent="0.25">
      <c r="A26" s="241">
        <v>4</v>
      </c>
      <c r="B26" s="242" t="s">
        <v>158</v>
      </c>
      <c r="C26" s="242" t="s">
        <v>159</v>
      </c>
      <c r="D26" s="241" t="s">
        <v>2</v>
      </c>
      <c r="E26" s="240">
        <v>0</v>
      </c>
      <c r="F26" s="240">
        <v>0</v>
      </c>
      <c r="G26" s="240">
        <v>0</v>
      </c>
      <c r="H26" s="240">
        <f>VLOOKUP(B26,'[1]Tháng 7.2025'!$B$23:$H$153,7,0)</f>
        <v>60</v>
      </c>
      <c r="I26" s="241"/>
      <c r="J26" s="242" t="s">
        <v>848</v>
      </c>
      <c r="K26" s="186"/>
      <c r="L26" s="182" t="s">
        <v>140</v>
      </c>
      <c r="M26" s="184" t="s">
        <v>895</v>
      </c>
    </row>
    <row r="27" spans="1:24" s="100" customFormat="1" x14ac:dyDescent="0.25">
      <c r="A27" s="241">
        <v>5</v>
      </c>
      <c r="B27" s="240" t="s">
        <v>515</v>
      </c>
      <c r="C27" s="242" t="s">
        <v>516</v>
      </c>
      <c r="D27" s="241" t="s">
        <v>2</v>
      </c>
      <c r="E27" s="240">
        <v>0</v>
      </c>
      <c r="F27" s="240">
        <v>0</v>
      </c>
      <c r="G27" s="240">
        <v>0</v>
      </c>
      <c r="H27" s="240">
        <v>200</v>
      </c>
      <c r="I27" s="241"/>
      <c r="J27" s="242" t="s">
        <v>517</v>
      </c>
      <c r="K27" s="183"/>
      <c r="L27" s="121" t="s">
        <v>88</v>
      </c>
      <c r="M27" s="231" t="s">
        <v>895</v>
      </c>
      <c r="N27" s="231"/>
      <c r="O27" s="231"/>
      <c r="P27" s="231"/>
      <c r="Q27" s="222"/>
      <c r="R27" s="222"/>
      <c r="S27" s="222"/>
      <c r="T27" s="184"/>
      <c r="U27" s="184"/>
    </row>
    <row r="28" spans="1:24" s="100" customFormat="1" x14ac:dyDescent="0.25">
      <c r="A28" s="241">
        <v>6</v>
      </c>
      <c r="B28" s="240" t="s">
        <v>850</v>
      </c>
      <c r="C28" s="242" t="s">
        <v>633</v>
      </c>
      <c r="D28" s="241" t="s">
        <v>2</v>
      </c>
      <c r="E28" s="240">
        <v>0</v>
      </c>
      <c r="F28" s="240">
        <v>0</v>
      </c>
      <c r="G28" s="240">
        <v>0</v>
      </c>
      <c r="H28" s="247">
        <v>50</v>
      </c>
      <c r="I28" s="241"/>
      <c r="J28" s="246" t="s">
        <v>851</v>
      </c>
      <c r="K28" s="183"/>
      <c r="L28" s="121" t="s">
        <v>88</v>
      </c>
      <c r="M28" s="231" t="s">
        <v>895</v>
      </c>
      <c r="N28" s="231"/>
      <c r="O28" s="231"/>
      <c r="P28" s="231"/>
      <c r="Q28" s="222"/>
      <c r="R28" s="222"/>
      <c r="S28" s="222"/>
      <c r="T28" s="184"/>
      <c r="U28" s="184"/>
    </row>
    <row r="29" spans="1:24" s="100" customFormat="1" x14ac:dyDescent="0.25">
      <c r="A29" s="241">
        <v>7</v>
      </c>
      <c r="B29" s="240" t="s">
        <v>850</v>
      </c>
      <c r="C29" s="242" t="s">
        <v>633</v>
      </c>
      <c r="D29" s="241" t="s">
        <v>2</v>
      </c>
      <c r="E29" s="240">
        <v>0</v>
      </c>
      <c r="F29" s="240">
        <v>0</v>
      </c>
      <c r="G29" s="240">
        <v>0</v>
      </c>
      <c r="H29" s="247">
        <v>209</v>
      </c>
      <c r="I29" s="241"/>
      <c r="J29" s="246" t="s">
        <v>863</v>
      </c>
      <c r="K29" s="183"/>
      <c r="L29" s="121" t="s">
        <v>140</v>
      </c>
      <c r="M29" s="231" t="s">
        <v>895</v>
      </c>
      <c r="N29" s="231"/>
      <c r="O29" s="231"/>
      <c r="P29" s="231"/>
      <c r="Q29" s="222"/>
      <c r="R29" s="222"/>
      <c r="S29" s="222"/>
      <c r="T29" s="184"/>
      <c r="U29" s="184"/>
    </row>
    <row r="30" spans="1:24" s="100" customFormat="1" ht="24" x14ac:dyDescent="0.25">
      <c r="A30" s="241">
        <v>8</v>
      </c>
      <c r="B30" s="240" t="s">
        <v>806</v>
      </c>
      <c r="C30" s="242" t="s">
        <v>807</v>
      </c>
      <c r="D30" s="240" t="s">
        <v>2</v>
      </c>
      <c r="E30" s="240">
        <v>0</v>
      </c>
      <c r="F30" s="240">
        <v>0</v>
      </c>
      <c r="G30" s="240">
        <v>0</v>
      </c>
      <c r="H30" s="240">
        <f>VLOOKUP(B30,'[1]Tháng 7.2025'!$B$23:$H$153,7,0)</f>
        <v>208</v>
      </c>
      <c r="I30" s="241"/>
      <c r="J30" s="242" t="s">
        <v>833</v>
      </c>
      <c r="K30" s="186">
        <v>1076</v>
      </c>
      <c r="L30" s="145" t="s">
        <v>88</v>
      </c>
      <c r="M30" s="100" t="s">
        <v>895</v>
      </c>
      <c r="Q30" s="184"/>
      <c r="R30" s="184"/>
      <c r="S30" s="184"/>
      <c r="T30" s="184"/>
      <c r="U30" s="184"/>
    </row>
    <row r="31" spans="1:24" s="100" customFormat="1" ht="24" x14ac:dyDescent="0.25">
      <c r="A31" s="241">
        <v>9</v>
      </c>
      <c r="B31" s="240" t="s">
        <v>3</v>
      </c>
      <c r="C31" s="242" t="s">
        <v>4</v>
      </c>
      <c r="D31" s="241" t="s">
        <v>2</v>
      </c>
      <c r="E31" s="240">
        <v>0</v>
      </c>
      <c r="F31" s="240">
        <v>0</v>
      </c>
      <c r="G31" s="240">
        <v>0</v>
      </c>
      <c r="H31" s="240">
        <v>200</v>
      </c>
      <c r="I31" s="241"/>
      <c r="J31" s="242" t="s">
        <v>823</v>
      </c>
      <c r="K31" s="186" t="s">
        <v>843</v>
      </c>
      <c r="L31" s="145" t="s">
        <v>88</v>
      </c>
      <c r="M31" s="100" t="s">
        <v>895</v>
      </c>
      <c r="Q31" s="184"/>
      <c r="R31" s="184"/>
      <c r="S31" s="184"/>
      <c r="T31" s="184"/>
      <c r="U31" s="184"/>
    </row>
    <row r="32" spans="1:24" s="100" customFormat="1" ht="36" x14ac:dyDescent="0.25">
      <c r="A32" s="241">
        <v>10</v>
      </c>
      <c r="B32" s="240" t="s">
        <v>85</v>
      </c>
      <c r="C32" s="242" t="s">
        <v>86</v>
      </c>
      <c r="D32" s="241" t="s">
        <v>2</v>
      </c>
      <c r="E32" s="240">
        <v>0</v>
      </c>
      <c r="F32" s="240">
        <v>0</v>
      </c>
      <c r="G32" s="240">
        <v>0</v>
      </c>
      <c r="H32" s="240">
        <v>200</v>
      </c>
      <c r="I32" s="241"/>
      <c r="J32" s="242" t="s">
        <v>219</v>
      </c>
      <c r="K32" s="186">
        <v>6843</v>
      </c>
      <c r="L32" s="145" t="s">
        <v>88</v>
      </c>
      <c r="M32" s="100" t="s">
        <v>895</v>
      </c>
      <c r="Q32" s="184"/>
      <c r="R32" s="184"/>
      <c r="S32" s="184"/>
      <c r="T32" s="184"/>
      <c r="U32" s="184"/>
    </row>
    <row r="33" spans="1:21" s="100" customFormat="1" x14ac:dyDescent="0.25">
      <c r="A33" s="241">
        <v>11</v>
      </c>
      <c r="B33" s="240" t="s">
        <v>16</v>
      </c>
      <c r="C33" s="242" t="s">
        <v>44</v>
      </c>
      <c r="D33" s="241" t="s">
        <v>2</v>
      </c>
      <c r="E33" s="240">
        <v>0</v>
      </c>
      <c r="F33" s="240">
        <v>0</v>
      </c>
      <c r="G33" s="240">
        <v>0</v>
      </c>
      <c r="H33" s="240">
        <v>209</v>
      </c>
      <c r="I33" s="241"/>
      <c r="J33" s="242" t="s">
        <v>824</v>
      </c>
      <c r="K33" s="186"/>
      <c r="L33" s="145" t="s">
        <v>88</v>
      </c>
      <c r="M33" s="100" t="s">
        <v>895</v>
      </c>
      <c r="Q33" s="184"/>
      <c r="R33" s="184"/>
      <c r="S33" s="184"/>
      <c r="T33" s="184"/>
      <c r="U33" s="184"/>
    </row>
    <row r="34" spans="1:21" s="100" customFormat="1" ht="24" x14ac:dyDescent="0.25">
      <c r="A34" s="241">
        <v>12</v>
      </c>
      <c r="B34" s="240" t="s">
        <v>56</v>
      </c>
      <c r="C34" s="242" t="s">
        <v>57</v>
      </c>
      <c r="D34" s="241" t="s">
        <v>2</v>
      </c>
      <c r="E34" s="240">
        <v>0</v>
      </c>
      <c r="F34" s="240">
        <v>0</v>
      </c>
      <c r="G34" s="240">
        <v>0</v>
      </c>
      <c r="H34" s="240">
        <v>418</v>
      </c>
      <c r="I34" s="241"/>
      <c r="J34" s="242" t="s">
        <v>877</v>
      </c>
      <c r="K34" s="186"/>
      <c r="L34" s="145" t="s">
        <v>88</v>
      </c>
      <c r="M34" s="100" t="s">
        <v>895</v>
      </c>
      <c r="Q34" s="184"/>
      <c r="R34" s="184"/>
      <c r="S34" s="184"/>
      <c r="T34" s="184"/>
      <c r="U34" s="184"/>
    </row>
    <row r="35" spans="1:21" s="5" customFormat="1" ht="24" hidden="1" x14ac:dyDescent="0.25">
      <c r="A35" s="241">
        <v>13</v>
      </c>
      <c r="B35" s="240" t="s">
        <v>79</v>
      </c>
      <c r="C35" s="242" t="s">
        <v>80</v>
      </c>
      <c r="D35" s="241" t="s">
        <v>2</v>
      </c>
      <c r="E35" s="240">
        <v>0</v>
      </c>
      <c r="F35" s="240">
        <v>0</v>
      </c>
      <c r="G35" s="240">
        <v>0</v>
      </c>
      <c r="H35" s="240"/>
      <c r="I35" s="241"/>
      <c r="J35" s="242" t="s">
        <v>511</v>
      </c>
      <c r="K35" s="124" t="s">
        <v>88</v>
      </c>
      <c r="L35" s="18" t="s">
        <v>88</v>
      </c>
      <c r="Q35" s="6"/>
      <c r="R35" s="6"/>
      <c r="S35" s="6"/>
      <c r="T35" s="6"/>
      <c r="U35" s="6"/>
    </row>
    <row r="36" spans="1:21" s="100" customFormat="1" x14ac:dyDescent="0.25">
      <c r="A36" s="241">
        <v>13</v>
      </c>
      <c r="B36" s="240" t="s">
        <v>447</v>
      </c>
      <c r="C36" s="242" t="s">
        <v>701</v>
      </c>
      <c r="D36" s="241" t="s">
        <v>2</v>
      </c>
      <c r="E36" s="240">
        <v>0</v>
      </c>
      <c r="F36" s="240">
        <v>0</v>
      </c>
      <c r="G36" s="240">
        <v>0</v>
      </c>
      <c r="H36" s="240">
        <v>200</v>
      </c>
      <c r="I36" s="241"/>
      <c r="J36" s="246" t="s">
        <v>778</v>
      </c>
      <c r="K36" s="186"/>
      <c r="L36" s="145" t="s">
        <v>88</v>
      </c>
      <c r="M36" s="100" t="s">
        <v>895</v>
      </c>
      <c r="Q36" s="184"/>
      <c r="R36" s="184"/>
      <c r="S36" s="184"/>
      <c r="T36" s="184"/>
      <c r="U36" s="184"/>
    </row>
    <row r="37" spans="1:21" s="184" customFormat="1" ht="24" x14ac:dyDescent="0.25">
      <c r="A37" s="241">
        <v>14</v>
      </c>
      <c r="B37" s="242" t="s">
        <v>25</v>
      </c>
      <c r="C37" s="242" t="s">
        <v>703</v>
      </c>
      <c r="D37" s="241" t="s">
        <v>2</v>
      </c>
      <c r="E37" s="240">
        <v>0</v>
      </c>
      <c r="F37" s="240">
        <v>0</v>
      </c>
      <c r="G37" s="240">
        <v>0</v>
      </c>
      <c r="H37" s="240">
        <f>VLOOKUP(B37,'[1]Tháng 7.2025'!$B$23:$H$153,7,0)</f>
        <v>200</v>
      </c>
      <c r="I37" s="241"/>
      <c r="J37" s="242" t="s">
        <v>815</v>
      </c>
      <c r="K37" s="186"/>
      <c r="L37" s="182" t="s">
        <v>88</v>
      </c>
      <c r="M37" s="184" t="s">
        <v>895</v>
      </c>
    </row>
    <row r="38" spans="1:21" s="100" customFormat="1" ht="36" x14ac:dyDescent="0.25">
      <c r="A38" s="241">
        <v>15</v>
      </c>
      <c r="B38" s="241" t="s">
        <v>841</v>
      </c>
      <c r="C38" s="242" t="s">
        <v>842</v>
      </c>
      <c r="D38" s="240" t="s">
        <v>2</v>
      </c>
      <c r="E38" s="240">
        <v>0</v>
      </c>
      <c r="F38" s="240">
        <v>0</v>
      </c>
      <c r="G38" s="240">
        <v>0</v>
      </c>
      <c r="H38" s="240">
        <v>300</v>
      </c>
      <c r="I38" s="241"/>
      <c r="J38" s="248" t="s">
        <v>899</v>
      </c>
      <c r="K38" s="233" t="s">
        <v>110</v>
      </c>
      <c r="L38" s="145" t="s">
        <v>76</v>
      </c>
      <c r="M38" s="100" t="s">
        <v>895</v>
      </c>
      <c r="Q38" s="184"/>
      <c r="R38" s="184"/>
      <c r="S38" s="184"/>
      <c r="T38" s="184"/>
      <c r="U38" s="184"/>
    </row>
    <row r="39" spans="1:21" s="5" customFormat="1" ht="60" hidden="1" x14ac:dyDescent="0.25">
      <c r="A39" s="241">
        <v>17</v>
      </c>
      <c r="B39" s="240" t="s">
        <v>81</v>
      </c>
      <c r="C39" s="242" t="s">
        <v>82</v>
      </c>
      <c r="D39" s="241" t="s">
        <v>66</v>
      </c>
      <c r="E39" s="240">
        <v>0</v>
      </c>
      <c r="F39" s="240">
        <v>0</v>
      </c>
      <c r="G39" s="240">
        <v>0</v>
      </c>
      <c r="H39" s="240">
        <f>VLOOKUP(B39,'[1]Tháng 7.2025'!$B$23:$H$153,7,0)</f>
        <v>3000</v>
      </c>
      <c r="I39" s="241"/>
      <c r="J39" s="242" t="s">
        <v>853</v>
      </c>
      <c r="K39" s="228">
        <v>9385</v>
      </c>
      <c r="L39" s="18" t="s">
        <v>88</v>
      </c>
      <c r="Q39" s="6"/>
      <c r="R39" s="6"/>
      <c r="S39" s="6"/>
      <c r="T39" s="6"/>
      <c r="U39" s="6"/>
    </row>
    <row r="40" spans="1:21" s="100" customFormat="1" ht="24" x14ac:dyDescent="0.25">
      <c r="A40" s="241">
        <v>16</v>
      </c>
      <c r="B40" s="240" t="s">
        <v>945</v>
      </c>
      <c r="C40" s="242" t="s">
        <v>878</v>
      </c>
      <c r="D40" s="241" t="s">
        <v>66</v>
      </c>
      <c r="E40" s="240">
        <v>0</v>
      </c>
      <c r="F40" s="240">
        <v>0</v>
      </c>
      <c r="G40" s="240">
        <v>0</v>
      </c>
      <c r="H40" s="240">
        <v>3000</v>
      </c>
      <c r="I40" s="241"/>
      <c r="J40" s="242" t="s">
        <v>853</v>
      </c>
      <c r="K40" s="234">
        <v>9385</v>
      </c>
      <c r="L40" s="145" t="s">
        <v>88</v>
      </c>
      <c r="M40" s="100" t="s">
        <v>895</v>
      </c>
      <c r="Q40" s="184"/>
      <c r="R40" s="184"/>
      <c r="S40" s="184"/>
      <c r="T40" s="184"/>
      <c r="U40" s="184"/>
    </row>
    <row r="41" spans="1:21" s="6" customFormat="1" hidden="1" x14ac:dyDescent="0.25">
      <c r="A41" s="241">
        <v>19</v>
      </c>
      <c r="B41" s="242" t="s">
        <v>816</v>
      </c>
      <c r="C41" s="242" t="s">
        <v>817</v>
      </c>
      <c r="D41" s="241" t="s">
        <v>2</v>
      </c>
      <c r="E41" s="240">
        <v>0</v>
      </c>
      <c r="F41" s="240">
        <v>0</v>
      </c>
      <c r="G41" s="240">
        <v>0</v>
      </c>
      <c r="H41" s="240">
        <f>VLOOKUP(B41,'[1]Tháng 7.2025'!$B$23:$H$153,7,0)</f>
        <v>136</v>
      </c>
      <c r="I41" s="241"/>
      <c r="J41" s="242" t="s">
        <v>818</v>
      </c>
      <c r="K41" s="124"/>
      <c r="L41" s="19" t="s">
        <v>140</v>
      </c>
      <c r="N41" s="230"/>
    </row>
    <row r="42" spans="1:21" s="100" customFormat="1" ht="24" x14ac:dyDescent="0.25">
      <c r="A42" s="241">
        <v>17</v>
      </c>
      <c r="B42" s="240" t="s">
        <v>24</v>
      </c>
      <c r="C42" s="242" t="s">
        <v>43</v>
      </c>
      <c r="D42" s="241" t="s">
        <v>2</v>
      </c>
      <c r="E42" s="240">
        <v>0</v>
      </c>
      <c r="F42" s="240">
        <v>0</v>
      </c>
      <c r="G42" s="240">
        <v>0</v>
      </c>
      <c r="H42" s="240">
        <f>VLOOKUP(B42,'[1]Tháng 7.2025'!$B$23:$H$153,7,0)</f>
        <v>200</v>
      </c>
      <c r="I42" s="241"/>
      <c r="J42" s="242" t="s">
        <v>815</v>
      </c>
      <c r="K42" s="186"/>
      <c r="L42" s="182" t="s">
        <v>88</v>
      </c>
      <c r="M42" s="184" t="s">
        <v>895</v>
      </c>
      <c r="Q42" s="184"/>
      <c r="R42" s="184"/>
      <c r="S42" s="184"/>
      <c r="T42" s="184"/>
      <c r="U42" s="184"/>
    </row>
    <row r="43" spans="1:21" s="5" customFormat="1" ht="24" hidden="1" x14ac:dyDescent="0.25">
      <c r="A43" s="241">
        <v>21</v>
      </c>
      <c r="B43" s="240" t="s">
        <v>705</v>
      </c>
      <c r="C43" s="242" t="s">
        <v>706</v>
      </c>
      <c r="D43" s="241" t="s">
        <v>2</v>
      </c>
      <c r="E43" s="240">
        <f>VLOOKUP(B43,'[1]Tháng 7.2025'!$B$23:$H$153,4,0)</f>
        <v>0</v>
      </c>
      <c r="F43" s="240">
        <f>VLOOKUP(B43,'[1]Tháng 7.2025'!$B$23:$H$153,5,0)</f>
        <v>0</v>
      </c>
      <c r="G43" s="240">
        <f t="shared" ref="G43:G76" si="0">E43-F43</f>
        <v>0</v>
      </c>
      <c r="H43" s="240">
        <f>VLOOKUP(B43,'[1]Tháng 7.2025'!$B$23:$H$153,7,0)</f>
        <v>100</v>
      </c>
      <c r="I43" s="241"/>
      <c r="J43" s="242" t="s">
        <v>707</v>
      </c>
      <c r="K43" s="124"/>
      <c r="L43" s="18" t="s">
        <v>88</v>
      </c>
      <c r="N43" s="100"/>
      <c r="Q43" s="6"/>
      <c r="R43" s="6"/>
      <c r="S43" s="6"/>
      <c r="T43" s="6"/>
      <c r="U43" s="6"/>
    </row>
    <row r="44" spans="1:21" s="232" customFormat="1" ht="46.5" hidden="1" customHeight="1" x14ac:dyDescent="0.25">
      <c r="A44" s="241">
        <v>22</v>
      </c>
      <c r="B44" s="240" t="s">
        <v>447</v>
      </c>
      <c r="C44" s="240" t="s">
        <v>448</v>
      </c>
      <c r="D44" s="241" t="s">
        <v>2</v>
      </c>
      <c r="E44" s="240"/>
      <c r="F44" s="240"/>
      <c r="G44" s="240"/>
      <c r="H44" s="240">
        <v>900</v>
      </c>
      <c r="I44" s="241"/>
      <c r="J44" s="240" t="s">
        <v>869</v>
      </c>
      <c r="K44" s="227"/>
      <c r="L44" s="223" t="s">
        <v>88</v>
      </c>
      <c r="Q44" s="226"/>
      <c r="R44" s="226"/>
      <c r="S44" s="226"/>
      <c r="T44" s="226"/>
      <c r="U44" s="226"/>
    </row>
    <row r="45" spans="1:21" s="5" customFormat="1" ht="46.5" hidden="1" customHeight="1" x14ac:dyDescent="0.25">
      <c r="A45" s="241">
        <v>23</v>
      </c>
      <c r="B45" s="240" t="s">
        <v>866</v>
      </c>
      <c r="C45" s="240" t="s">
        <v>867</v>
      </c>
      <c r="D45" s="241" t="s">
        <v>2</v>
      </c>
      <c r="E45" s="240"/>
      <c r="F45" s="240"/>
      <c r="G45" s="240"/>
      <c r="H45" s="240">
        <v>998</v>
      </c>
      <c r="I45" s="241"/>
      <c r="J45" s="240" t="s">
        <v>868</v>
      </c>
      <c r="K45" s="124"/>
      <c r="L45" s="18" t="s">
        <v>169</v>
      </c>
      <c r="Q45" s="6"/>
      <c r="R45" s="6"/>
      <c r="S45" s="6"/>
      <c r="T45" s="6"/>
      <c r="U45" s="6"/>
    </row>
    <row r="46" spans="1:21" s="83" customFormat="1" ht="48.75" customHeight="1" x14ac:dyDescent="0.25">
      <c r="A46" s="241" t="s">
        <v>19</v>
      </c>
      <c r="B46" s="241"/>
      <c r="C46" s="241"/>
      <c r="D46" s="241"/>
      <c r="E46" s="240"/>
      <c r="F46" s="240"/>
      <c r="G46" s="240"/>
      <c r="H46" s="240"/>
      <c r="I46" s="241"/>
      <c r="J46" s="241"/>
      <c r="K46" s="120"/>
      <c r="L46" s="117"/>
      <c r="O46" s="5"/>
      <c r="Q46" s="9"/>
      <c r="R46" s="9"/>
      <c r="S46" s="9"/>
      <c r="T46" s="9"/>
      <c r="U46" s="9"/>
    </row>
    <row r="47" spans="1:21" s="5" customFormat="1" ht="48.75" hidden="1" customHeight="1" x14ac:dyDescent="0.25">
      <c r="A47" s="241">
        <v>22</v>
      </c>
      <c r="B47" s="240" t="s">
        <v>819</v>
      </c>
      <c r="C47" s="242" t="s">
        <v>820</v>
      </c>
      <c r="D47" s="241" t="s">
        <v>0</v>
      </c>
      <c r="E47" s="240">
        <f>VLOOKUP(B47,'[1]Tháng 7.2025'!$B$23:$H$153,4,0)</f>
        <v>92</v>
      </c>
      <c r="F47" s="240">
        <f>VLOOKUP(B47,'[1]Tháng 7.2025'!$B$23:$H$153,5,0)</f>
        <v>0</v>
      </c>
      <c r="G47" s="240">
        <f t="shared" si="0"/>
        <v>92</v>
      </c>
      <c r="H47" s="240">
        <v>6</v>
      </c>
      <c r="I47" s="241"/>
      <c r="J47" s="242" t="s">
        <v>882</v>
      </c>
      <c r="K47" s="123">
        <v>50</v>
      </c>
      <c r="L47" s="18" t="s">
        <v>76</v>
      </c>
      <c r="Q47" s="6"/>
      <c r="R47" s="6"/>
      <c r="S47" s="6"/>
      <c r="T47" s="6"/>
      <c r="U47" s="6"/>
    </row>
    <row r="48" spans="1:21" s="100" customFormat="1" ht="24" x14ac:dyDescent="0.25">
      <c r="A48" s="241">
        <v>18</v>
      </c>
      <c r="B48" s="240" t="s">
        <v>821</v>
      </c>
      <c r="C48" s="242" t="s">
        <v>822</v>
      </c>
      <c r="D48" s="241" t="s">
        <v>0</v>
      </c>
      <c r="E48" s="240">
        <v>0</v>
      </c>
      <c r="F48" s="240">
        <v>0</v>
      </c>
      <c r="G48" s="240">
        <v>0</v>
      </c>
      <c r="H48" s="240">
        <v>2</v>
      </c>
      <c r="I48" s="241"/>
      <c r="J48" s="242" t="s">
        <v>903</v>
      </c>
      <c r="K48" s="186">
        <v>18</v>
      </c>
      <c r="L48" s="145" t="s">
        <v>76</v>
      </c>
      <c r="M48" s="100" t="s">
        <v>895</v>
      </c>
      <c r="Q48" s="184"/>
      <c r="R48" s="184"/>
      <c r="S48" s="184"/>
      <c r="T48" s="184"/>
      <c r="U48" s="184"/>
    </row>
    <row r="49" spans="1:21" s="100" customFormat="1" ht="24" x14ac:dyDescent="0.25">
      <c r="A49" s="241">
        <v>19</v>
      </c>
      <c r="B49" s="240" t="s">
        <v>828</v>
      </c>
      <c r="C49" s="242" t="s">
        <v>832</v>
      </c>
      <c r="D49" s="241" t="s">
        <v>0</v>
      </c>
      <c r="E49" s="240">
        <v>0</v>
      </c>
      <c r="F49" s="240">
        <v>0</v>
      </c>
      <c r="G49" s="240">
        <v>0</v>
      </c>
      <c r="H49" s="240">
        <v>1</v>
      </c>
      <c r="I49" s="241"/>
      <c r="J49" s="242" t="s">
        <v>902</v>
      </c>
      <c r="K49" s="186"/>
      <c r="L49" s="145" t="s">
        <v>76</v>
      </c>
      <c r="M49" s="100" t="s">
        <v>895</v>
      </c>
      <c r="Q49" s="184"/>
      <c r="R49" s="184"/>
      <c r="S49" s="184"/>
      <c r="T49" s="184"/>
      <c r="U49" s="184"/>
    </row>
    <row r="50" spans="1:21" s="184" customFormat="1" ht="24" x14ac:dyDescent="0.25">
      <c r="A50" s="241">
        <v>20</v>
      </c>
      <c r="B50" s="240" t="s">
        <v>829</v>
      </c>
      <c r="C50" s="242" t="s">
        <v>830</v>
      </c>
      <c r="D50" s="241" t="s">
        <v>0</v>
      </c>
      <c r="E50" s="240">
        <v>0</v>
      </c>
      <c r="F50" s="240">
        <v>0</v>
      </c>
      <c r="G50" s="240">
        <v>0</v>
      </c>
      <c r="H50" s="240">
        <v>1</v>
      </c>
      <c r="I50" s="241"/>
      <c r="J50" s="242" t="s">
        <v>901</v>
      </c>
      <c r="K50" s="186"/>
      <c r="L50" s="145" t="s">
        <v>76</v>
      </c>
      <c r="M50" s="184" t="s">
        <v>895</v>
      </c>
    </row>
    <row r="51" spans="1:21" s="184" customFormat="1" ht="60" x14ac:dyDescent="0.25">
      <c r="A51" s="241">
        <v>21</v>
      </c>
      <c r="B51" s="240"/>
      <c r="C51" s="242" t="s">
        <v>64</v>
      </c>
      <c r="D51" s="241" t="s">
        <v>0</v>
      </c>
      <c r="E51" s="240">
        <v>0</v>
      </c>
      <c r="F51" s="240">
        <v>0</v>
      </c>
      <c r="G51" s="240">
        <v>0</v>
      </c>
      <c r="H51" s="240">
        <v>36</v>
      </c>
      <c r="I51" s="241"/>
      <c r="J51" s="242" t="s">
        <v>904</v>
      </c>
      <c r="K51" s="186"/>
      <c r="L51" s="145" t="s">
        <v>76</v>
      </c>
      <c r="M51" s="184" t="s">
        <v>895</v>
      </c>
    </row>
    <row r="52" spans="1:21" s="184" customFormat="1" ht="36" x14ac:dyDescent="0.25">
      <c r="A52" s="241">
        <v>22</v>
      </c>
      <c r="B52" s="248" t="s">
        <v>112</v>
      </c>
      <c r="C52" s="248" t="s">
        <v>60</v>
      </c>
      <c r="D52" s="241" t="s">
        <v>0</v>
      </c>
      <c r="E52" s="240">
        <v>0</v>
      </c>
      <c r="F52" s="240">
        <v>0</v>
      </c>
      <c r="G52" s="240">
        <v>0</v>
      </c>
      <c r="H52" s="240">
        <v>4</v>
      </c>
      <c r="I52" s="241"/>
      <c r="J52" s="249" t="s">
        <v>900</v>
      </c>
      <c r="K52" s="186"/>
      <c r="L52" s="145" t="s">
        <v>76</v>
      </c>
      <c r="M52" s="184" t="s">
        <v>895</v>
      </c>
    </row>
    <row r="53" spans="1:21" s="100" customFormat="1" ht="48" x14ac:dyDescent="0.25">
      <c r="A53" s="241">
        <v>23</v>
      </c>
      <c r="B53" s="240" t="s">
        <v>295</v>
      </c>
      <c r="C53" s="242" t="s">
        <v>296</v>
      </c>
      <c r="D53" s="241" t="s">
        <v>0</v>
      </c>
      <c r="E53" s="240">
        <v>0</v>
      </c>
      <c r="F53" s="240">
        <v>0</v>
      </c>
      <c r="G53" s="240">
        <v>0</v>
      </c>
      <c r="H53" s="240">
        <v>6</v>
      </c>
      <c r="I53" s="243"/>
      <c r="J53" s="242" t="s">
        <v>798</v>
      </c>
      <c r="K53" s="186">
        <v>0</v>
      </c>
      <c r="L53" s="145" t="s">
        <v>88</v>
      </c>
      <c r="M53" s="100" t="s">
        <v>895</v>
      </c>
      <c r="Q53" s="184"/>
      <c r="R53" s="184"/>
      <c r="S53" s="184"/>
      <c r="T53" s="184"/>
      <c r="U53" s="184"/>
    </row>
    <row r="54" spans="1:21" s="5" customFormat="1" ht="24" hidden="1" x14ac:dyDescent="0.25">
      <c r="A54" s="241">
        <v>28</v>
      </c>
      <c r="B54" s="241" t="s">
        <v>89</v>
      </c>
      <c r="C54" s="242" t="s">
        <v>90</v>
      </c>
      <c r="D54" s="241" t="s">
        <v>0</v>
      </c>
      <c r="E54" s="240">
        <v>0</v>
      </c>
      <c r="F54" s="240">
        <v>0</v>
      </c>
      <c r="G54" s="240">
        <v>0</v>
      </c>
      <c r="H54" s="240">
        <f>VLOOKUP(B54,'[1]Tháng 7.2025'!$B$23:$H$153,7,0)</f>
        <v>6</v>
      </c>
      <c r="I54" s="243"/>
      <c r="J54" s="242" t="s">
        <v>97</v>
      </c>
      <c r="K54" s="124">
        <v>0</v>
      </c>
      <c r="L54" s="18" t="s">
        <v>88</v>
      </c>
      <c r="Q54" s="6"/>
      <c r="R54" s="6"/>
      <c r="S54" s="6"/>
      <c r="T54" s="6"/>
      <c r="U54" s="6"/>
    </row>
    <row r="55" spans="1:21" s="100" customFormat="1" ht="48" x14ac:dyDescent="0.25">
      <c r="A55" s="241">
        <v>24</v>
      </c>
      <c r="B55" s="240" t="s">
        <v>855</v>
      </c>
      <c r="C55" s="242" t="s">
        <v>627</v>
      </c>
      <c r="D55" s="241" t="s">
        <v>0</v>
      </c>
      <c r="E55" s="240">
        <v>0</v>
      </c>
      <c r="F55" s="240">
        <v>0</v>
      </c>
      <c r="G55" s="240">
        <v>0</v>
      </c>
      <c r="H55" s="240">
        <v>2</v>
      </c>
      <c r="I55" s="243"/>
      <c r="J55" s="242" t="s">
        <v>628</v>
      </c>
      <c r="K55" s="186"/>
      <c r="L55" s="145" t="s">
        <v>88</v>
      </c>
      <c r="M55" s="100" t="s">
        <v>895</v>
      </c>
      <c r="Q55" s="184"/>
      <c r="R55" s="184"/>
      <c r="S55" s="184"/>
      <c r="T55" s="184"/>
      <c r="U55" s="184"/>
    </row>
    <row r="56" spans="1:21" s="100" customFormat="1" ht="108" x14ac:dyDescent="0.25">
      <c r="A56" s="241">
        <v>25</v>
      </c>
      <c r="B56" s="240" t="s">
        <v>91</v>
      </c>
      <c r="C56" s="242" t="s">
        <v>92</v>
      </c>
      <c r="D56" s="241" t="s">
        <v>0</v>
      </c>
      <c r="E56" s="240">
        <v>0</v>
      </c>
      <c r="F56" s="240">
        <v>0</v>
      </c>
      <c r="G56" s="240">
        <v>0</v>
      </c>
      <c r="H56" s="240">
        <v>6</v>
      </c>
      <c r="I56" s="243"/>
      <c r="J56" s="242" t="s">
        <v>98</v>
      </c>
      <c r="K56" s="186"/>
      <c r="L56" s="145" t="s">
        <v>88</v>
      </c>
      <c r="M56" s="100" t="s">
        <v>895</v>
      </c>
      <c r="Q56" s="184"/>
      <c r="R56" s="184"/>
      <c r="S56" s="184"/>
      <c r="T56" s="184"/>
      <c r="U56" s="184"/>
    </row>
    <row r="57" spans="1:21" s="184" customFormat="1" ht="36" x14ac:dyDescent="0.25">
      <c r="A57" s="241">
        <v>26</v>
      </c>
      <c r="B57" s="240" t="s">
        <v>338</v>
      </c>
      <c r="C57" s="242" t="s">
        <v>339</v>
      </c>
      <c r="D57" s="241" t="s">
        <v>0</v>
      </c>
      <c r="E57" s="240">
        <v>0</v>
      </c>
      <c r="F57" s="240">
        <v>0</v>
      </c>
      <c r="G57" s="240">
        <v>0</v>
      </c>
      <c r="H57" s="240">
        <v>218</v>
      </c>
      <c r="I57" s="243"/>
      <c r="J57" s="242" t="s">
        <v>632</v>
      </c>
      <c r="K57" s="186"/>
      <c r="L57" s="182" t="s">
        <v>88</v>
      </c>
      <c r="M57" s="184" t="s">
        <v>895</v>
      </c>
    </row>
    <row r="58" spans="1:21" s="6" customFormat="1" ht="36" hidden="1" x14ac:dyDescent="0.25">
      <c r="A58" s="241">
        <v>32</v>
      </c>
      <c r="B58" s="240" t="s">
        <v>844</v>
      </c>
      <c r="C58" s="242" t="s">
        <v>845</v>
      </c>
      <c r="D58" s="241" t="s">
        <v>0</v>
      </c>
      <c r="E58" s="240">
        <v>0</v>
      </c>
      <c r="F58" s="240">
        <v>0</v>
      </c>
      <c r="G58" s="240">
        <v>0</v>
      </c>
      <c r="H58" s="240">
        <f>VLOOKUP(B58,'[1]Tháng 7.2025'!$B$23:$H$153,7,0)</f>
        <v>10</v>
      </c>
      <c r="I58" s="243"/>
      <c r="J58" s="242" t="s">
        <v>632</v>
      </c>
      <c r="K58" s="124"/>
      <c r="L58" s="19" t="s">
        <v>88</v>
      </c>
    </row>
    <row r="59" spans="1:21" s="6" customFormat="1" ht="24" hidden="1" x14ac:dyDescent="0.25">
      <c r="A59" s="241">
        <v>33</v>
      </c>
      <c r="B59" s="240"/>
      <c r="C59" s="242" t="s">
        <v>860</v>
      </c>
      <c r="D59" s="241" t="s">
        <v>0</v>
      </c>
      <c r="E59" s="240">
        <v>0</v>
      </c>
      <c r="F59" s="240">
        <v>0</v>
      </c>
      <c r="G59" s="240">
        <v>0</v>
      </c>
      <c r="H59" s="240">
        <v>1</v>
      </c>
      <c r="I59" s="243"/>
      <c r="J59" s="242" t="s">
        <v>861</v>
      </c>
      <c r="K59" s="124"/>
      <c r="L59" s="19" t="s">
        <v>76</v>
      </c>
    </row>
    <row r="60" spans="1:21" s="100" customFormat="1" ht="36" x14ac:dyDescent="0.25">
      <c r="A60" s="241">
        <v>27</v>
      </c>
      <c r="B60" s="240" t="s">
        <v>615</v>
      </c>
      <c r="C60" s="242" t="s">
        <v>616</v>
      </c>
      <c r="D60" s="241" t="s">
        <v>0</v>
      </c>
      <c r="E60" s="240">
        <v>0</v>
      </c>
      <c r="F60" s="240">
        <v>0</v>
      </c>
      <c r="G60" s="240">
        <v>0</v>
      </c>
      <c r="H60" s="240">
        <v>60</v>
      </c>
      <c r="I60" s="243"/>
      <c r="J60" s="242" t="s">
        <v>617</v>
      </c>
      <c r="K60" s="186">
        <v>1815</v>
      </c>
      <c r="L60" s="145" t="s">
        <v>76</v>
      </c>
      <c r="M60" s="100" t="s">
        <v>895</v>
      </c>
      <c r="Q60" s="184"/>
      <c r="R60" s="184"/>
      <c r="S60" s="184"/>
      <c r="T60" s="184"/>
      <c r="U60" s="184"/>
    </row>
    <row r="61" spans="1:21" s="100" customFormat="1" ht="36" x14ac:dyDescent="0.25">
      <c r="A61" s="241">
        <v>28</v>
      </c>
      <c r="B61" s="240" t="s">
        <v>618</v>
      </c>
      <c r="C61" s="242" t="s">
        <v>619</v>
      </c>
      <c r="D61" s="241" t="s">
        <v>0</v>
      </c>
      <c r="E61" s="240">
        <v>0</v>
      </c>
      <c r="F61" s="240">
        <v>0</v>
      </c>
      <c r="G61" s="240">
        <v>0</v>
      </c>
      <c r="H61" s="240">
        <v>12</v>
      </c>
      <c r="I61" s="243"/>
      <c r="J61" s="242" t="s">
        <v>620</v>
      </c>
      <c r="K61" s="186"/>
      <c r="L61" s="145" t="s">
        <v>76</v>
      </c>
      <c r="M61" s="100" t="s">
        <v>895</v>
      </c>
      <c r="Q61" s="184"/>
      <c r="R61" s="184"/>
      <c r="S61" s="184"/>
      <c r="T61" s="184"/>
      <c r="U61" s="184"/>
    </row>
    <row r="62" spans="1:21" s="100" customFormat="1" x14ac:dyDescent="0.25">
      <c r="A62" s="241">
        <v>29</v>
      </c>
      <c r="B62" s="240" t="s">
        <v>93</v>
      </c>
      <c r="C62" s="242" t="s">
        <v>94</v>
      </c>
      <c r="D62" s="241" t="s">
        <v>0</v>
      </c>
      <c r="E62" s="240">
        <v>0</v>
      </c>
      <c r="F62" s="240">
        <v>0</v>
      </c>
      <c r="G62" s="240">
        <v>0</v>
      </c>
      <c r="H62" s="240">
        <v>6</v>
      </c>
      <c r="I62" s="243"/>
      <c r="J62" s="242" t="s">
        <v>99</v>
      </c>
      <c r="K62" s="186">
        <v>0</v>
      </c>
      <c r="L62" s="145" t="s">
        <v>88</v>
      </c>
      <c r="M62" s="100" t="s">
        <v>895</v>
      </c>
      <c r="Q62" s="184"/>
      <c r="R62" s="184"/>
      <c r="S62" s="184"/>
      <c r="T62" s="184"/>
      <c r="U62" s="184"/>
    </row>
    <row r="63" spans="1:21" s="100" customFormat="1" ht="24" x14ac:dyDescent="0.25">
      <c r="A63" s="241">
        <v>30</v>
      </c>
      <c r="B63" s="240" t="s">
        <v>95</v>
      </c>
      <c r="C63" s="242" t="s">
        <v>96</v>
      </c>
      <c r="D63" s="241" t="s">
        <v>0</v>
      </c>
      <c r="E63" s="240">
        <v>0</v>
      </c>
      <c r="F63" s="240">
        <v>0</v>
      </c>
      <c r="G63" s="240">
        <v>0</v>
      </c>
      <c r="H63" s="240">
        <v>6</v>
      </c>
      <c r="I63" s="243"/>
      <c r="J63" s="242" t="s">
        <v>100</v>
      </c>
      <c r="K63" s="186"/>
      <c r="L63" s="121" t="s">
        <v>88</v>
      </c>
      <c r="M63" s="231" t="s">
        <v>895</v>
      </c>
      <c r="N63" s="231"/>
      <c r="P63" s="231"/>
      <c r="Q63" s="184"/>
      <c r="R63" s="222"/>
      <c r="S63" s="222"/>
      <c r="T63" s="184"/>
      <c r="U63" s="184"/>
    </row>
    <row r="64" spans="1:21" s="100" customFormat="1" ht="24" x14ac:dyDescent="0.25">
      <c r="A64" s="241">
        <v>31</v>
      </c>
      <c r="B64" s="241" t="s">
        <v>630</v>
      </c>
      <c r="C64" s="242" t="s">
        <v>631</v>
      </c>
      <c r="D64" s="241" t="s">
        <v>0</v>
      </c>
      <c r="E64" s="240">
        <v>0</v>
      </c>
      <c r="F64" s="240">
        <v>0</v>
      </c>
      <c r="G64" s="240">
        <v>0</v>
      </c>
      <c r="H64" s="240">
        <v>6</v>
      </c>
      <c r="I64" s="243"/>
      <c r="J64" s="242" t="s">
        <v>101</v>
      </c>
      <c r="K64" s="186"/>
      <c r="L64" s="121" t="s">
        <v>88</v>
      </c>
      <c r="M64" s="231" t="s">
        <v>895</v>
      </c>
      <c r="N64" s="231"/>
      <c r="O64" s="231"/>
      <c r="P64" s="231"/>
      <c r="Q64" s="184"/>
      <c r="R64" s="222"/>
      <c r="S64" s="222"/>
      <c r="T64" s="184"/>
      <c r="U64" s="184"/>
    </row>
    <row r="65" spans="1:21" s="100" customFormat="1" ht="36" x14ac:dyDescent="0.25">
      <c r="A65" s="241">
        <v>32</v>
      </c>
      <c r="B65" s="240" t="s">
        <v>856</v>
      </c>
      <c r="C65" s="242" t="s">
        <v>39</v>
      </c>
      <c r="D65" s="241" t="s">
        <v>0</v>
      </c>
      <c r="E65" s="240">
        <v>0</v>
      </c>
      <c r="F65" s="240">
        <v>0</v>
      </c>
      <c r="G65" s="240">
        <v>0</v>
      </c>
      <c r="H65" s="240">
        <v>5</v>
      </c>
      <c r="I65" s="243"/>
      <c r="J65" s="242" t="s">
        <v>623</v>
      </c>
      <c r="K65" s="186"/>
      <c r="L65" s="145" t="s">
        <v>88</v>
      </c>
      <c r="M65" s="100" t="s">
        <v>895</v>
      </c>
      <c r="O65" s="231"/>
      <c r="Q65" s="184"/>
      <c r="R65" s="184"/>
      <c r="S65" s="184"/>
      <c r="T65" s="184"/>
      <c r="U65" s="184"/>
    </row>
    <row r="66" spans="1:21" s="100" customFormat="1" ht="36" x14ac:dyDescent="0.25">
      <c r="A66" s="241">
        <v>33</v>
      </c>
      <c r="B66" s="240" t="s">
        <v>857</v>
      </c>
      <c r="C66" s="242" t="s">
        <v>37</v>
      </c>
      <c r="D66" s="241" t="s">
        <v>17</v>
      </c>
      <c r="E66" s="240">
        <v>0</v>
      </c>
      <c r="F66" s="240">
        <v>0</v>
      </c>
      <c r="G66" s="240">
        <v>0</v>
      </c>
      <c r="H66" s="240">
        <v>4</v>
      </c>
      <c r="I66" s="243"/>
      <c r="J66" s="242" t="s">
        <v>846</v>
      </c>
      <c r="K66" s="186" t="s">
        <v>121</v>
      </c>
      <c r="L66" s="145" t="s">
        <v>88</v>
      </c>
      <c r="M66" s="100" t="s">
        <v>895</v>
      </c>
      <c r="O66" s="231"/>
      <c r="Q66" s="184"/>
      <c r="R66" s="184"/>
      <c r="S66" s="184"/>
      <c r="T66" s="184"/>
      <c r="U66" s="184"/>
    </row>
    <row r="67" spans="1:21" s="100" customFormat="1" ht="48" x14ac:dyDescent="0.25">
      <c r="A67" s="241">
        <v>34</v>
      </c>
      <c r="B67" s="240" t="s">
        <v>825</v>
      </c>
      <c r="C67" s="242" t="s">
        <v>26</v>
      </c>
      <c r="D67" s="241" t="s">
        <v>17</v>
      </c>
      <c r="E67" s="240">
        <v>0</v>
      </c>
      <c r="F67" s="240">
        <v>0</v>
      </c>
      <c r="G67" s="240">
        <v>0</v>
      </c>
      <c r="H67" s="240">
        <f>VLOOKUP(B67,'[1]Tháng 7.2025'!$B$23:$H$153,7,0)</f>
        <v>2</v>
      </c>
      <c r="I67" s="243"/>
      <c r="J67" s="242" t="s">
        <v>847</v>
      </c>
      <c r="K67" s="183">
        <v>0</v>
      </c>
      <c r="L67" s="145" t="s">
        <v>88</v>
      </c>
      <c r="M67" s="100" t="s">
        <v>895</v>
      </c>
      <c r="O67" s="231"/>
      <c r="Q67" s="184"/>
      <c r="R67" s="184"/>
      <c r="S67" s="184"/>
      <c r="T67" s="184"/>
      <c r="U67" s="184"/>
    </row>
    <row r="68" spans="1:21" s="6" customFormat="1" ht="24" hidden="1" x14ac:dyDescent="0.25">
      <c r="A68" s="241">
        <v>42</v>
      </c>
      <c r="B68" s="240" t="s">
        <v>459</v>
      </c>
      <c r="C68" s="242" t="s">
        <v>460</v>
      </c>
      <c r="D68" s="241" t="s">
        <v>59</v>
      </c>
      <c r="E68" s="240">
        <v>0</v>
      </c>
      <c r="F68" s="240">
        <v>0</v>
      </c>
      <c r="G68" s="240">
        <v>0</v>
      </c>
      <c r="H68" s="240">
        <f>VLOOKUP(B68,'[1]Tháng 7.2025'!$B$23:$H$153,7,0)</f>
        <v>2</v>
      </c>
      <c r="I68" s="243"/>
      <c r="J68" s="242" t="s">
        <v>461</v>
      </c>
      <c r="K68" s="123"/>
      <c r="L68" s="19" t="s">
        <v>140</v>
      </c>
    </row>
    <row r="69" spans="1:21" s="100" customFormat="1" ht="48" x14ac:dyDescent="0.25">
      <c r="A69" s="241">
        <v>35</v>
      </c>
      <c r="B69" s="240" t="s">
        <v>361</v>
      </c>
      <c r="C69" s="242" t="s">
        <v>362</v>
      </c>
      <c r="D69" s="240" t="s">
        <v>0</v>
      </c>
      <c r="E69" s="240">
        <v>0</v>
      </c>
      <c r="F69" s="240">
        <v>0</v>
      </c>
      <c r="G69" s="240">
        <v>0</v>
      </c>
      <c r="H69" s="240">
        <f>VLOOKUP(B69,'[1]Tháng 7.2025'!$B$23:$H$153,7,0)</f>
        <v>6</v>
      </c>
      <c r="I69" s="240"/>
      <c r="J69" s="242" t="s">
        <v>879</v>
      </c>
      <c r="K69" s="183"/>
      <c r="L69" s="145" t="s">
        <v>88</v>
      </c>
      <c r="M69" s="100" t="s">
        <v>895</v>
      </c>
      <c r="Q69" s="184"/>
      <c r="R69" s="184"/>
      <c r="S69" s="184"/>
      <c r="T69" s="184"/>
      <c r="U69" s="184"/>
    </row>
    <row r="70" spans="1:21" s="5" customFormat="1" ht="24" hidden="1" x14ac:dyDescent="0.25">
      <c r="A70" s="241">
        <v>44</v>
      </c>
      <c r="B70" s="240" t="s">
        <v>829</v>
      </c>
      <c r="C70" s="242" t="s">
        <v>831</v>
      </c>
      <c r="D70" s="241" t="s">
        <v>172</v>
      </c>
      <c r="E70" s="240">
        <v>0</v>
      </c>
      <c r="F70" s="240">
        <v>0</v>
      </c>
      <c r="G70" s="240">
        <v>0</v>
      </c>
      <c r="H70" s="240">
        <v>5</v>
      </c>
      <c r="I70" s="241"/>
      <c r="J70" s="242" t="s">
        <v>859</v>
      </c>
      <c r="K70" s="124"/>
      <c r="L70" s="18" t="s">
        <v>76</v>
      </c>
      <c r="Q70" s="6"/>
      <c r="R70" s="6"/>
      <c r="S70" s="6"/>
      <c r="T70" s="6"/>
      <c r="U70" s="6"/>
    </row>
    <row r="71" spans="1:21" s="184" customFormat="1" ht="24" x14ac:dyDescent="0.25">
      <c r="A71" s="241">
        <v>36</v>
      </c>
      <c r="B71" s="240" t="s">
        <v>708</v>
      </c>
      <c r="C71" s="242" t="s">
        <v>709</v>
      </c>
      <c r="D71" s="240" t="s">
        <v>0</v>
      </c>
      <c r="E71" s="240">
        <v>0</v>
      </c>
      <c r="F71" s="240">
        <v>0</v>
      </c>
      <c r="G71" s="240">
        <v>0</v>
      </c>
      <c r="H71" s="240">
        <v>2</v>
      </c>
      <c r="I71" s="240"/>
      <c r="J71" s="242" t="s">
        <v>710</v>
      </c>
      <c r="K71" s="183"/>
      <c r="L71" s="182" t="s">
        <v>140</v>
      </c>
      <c r="M71" s="184" t="s">
        <v>895</v>
      </c>
    </row>
    <row r="72" spans="1:21" s="226" customFormat="1" ht="24" hidden="1" x14ac:dyDescent="0.25">
      <c r="A72" s="241">
        <v>46</v>
      </c>
      <c r="B72" s="240" t="s">
        <v>715</v>
      </c>
      <c r="C72" s="242" t="s">
        <v>714</v>
      </c>
      <c r="D72" s="240" t="s">
        <v>0</v>
      </c>
      <c r="E72" s="240">
        <v>0</v>
      </c>
      <c r="F72" s="240">
        <v>0</v>
      </c>
      <c r="G72" s="240">
        <v>0</v>
      </c>
      <c r="H72" s="240">
        <f>VLOOKUP(B72,'[1]Tháng 7.2025'!$B$23:$H$153,7,0)</f>
        <v>4</v>
      </c>
      <c r="I72" s="240"/>
      <c r="J72" s="242" t="s">
        <v>710</v>
      </c>
      <c r="K72" s="224"/>
      <c r="L72" s="225" t="s">
        <v>140</v>
      </c>
    </row>
    <row r="73" spans="1:21" s="184" customFormat="1" ht="55.5" customHeight="1" x14ac:dyDescent="0.25">
      <c r="A73" s="241">
        <v>37</v>
      </c>
      <c r="B73" s="240" t="s">
        <v>716</v>
      </c>
      <c r="C73" s="242" t="s">
        <v>717</v>
      </c>
      <c r="D73" s="240" t="s">
        <v>59</v>
      </c>
      <c r="E73" s="240">
        <v>0</v>
      </c>
      <c r="F73" s="240">
        <v>0</v>
      </c>
      <c r="G73" s="240">
        <v>0</v>
      </c>
      <c r="H73" s="240">
        <v>2</v>
      </c>
      <c r="I73" s="240"/>
      <c r="J73" s="242" t="s">
        <v>873</v>
      </c>
      <c r="K73" s="183"/>
      <c r="L73" s="182" t="s">
        <v>140</v>
      </c>
      <c r="M73" s="184" t="s">
        <v>895</v>
      </c>
    </row>
    <row r="74" spans="1:21" s="184" customFormat="1" x14ac:dyDescent="0.25">
      <c r="A74" s="241">
        <v>38</v>
      </c>
      <c r="B74" s="240" t="s">
        <v>871</v>
      </c>
      <c r="C74" s="242" t="s">
        <v>872</v>
      </c>
      <c r="D74" s="240" t="s">
        <v>59</v>
      </c>
      <c r="E74" s="240">
        <v>0</v>
      </c>
      <c r="F74" s="240">
        <v>0</v>
      </c>
      <c r="G74" s="240">
        <v>0</v>
      </c>
      <c r="H74" s="240">
        <v>2</v>
      </c>
      <c r="I74" s="240"/>
      <c r="J74" s="242" t="s">
        <v>874</v>
      </c>
      <c r="K74" s="183"/>
      <c r="L74" s="182" t="s">
        <v>140</v>
      </c>
      <c r="M74" s="184" t="s">
        <v>895</v>
      </c>
    </row>
    <row r="75" spans="1:21" s="184" customFormat="1" ht="24" x14ac:dyDescent="0.25">
      <c r="A75" s="241">
        <v>39</v>
      </c>
      <c r="B75" s="240" t="s">
        <v>711</v>
      </c>
      <c r="C75" s="242" t="s">
        <v>712</v>
      </c>
      <c r="D75" s="240" t="s">
        <v>59</v>
      </c>
      <c r="E75" s="240">
        <v>0</v>
      </c>
      <c r="F75" s="240">
        <v>0</v>
      </c>
      <c r="G75" s="240">
        <v>0</v>
      </c>
      <c r="H75" s="240">
        <v>2</v>
      </c>
      <c r="I75" s="240"/>
      <c r="J75" s="242" t="s">
        <v>875</v>
      </c>
      <c r="K75" s="183"/>
      <c r="L75" s="182" t="s">
        <v>140</v>
      </c>
      <c r="M75" s="184" t="s">
        <v>895</v>
      </c>
    </row>
    <row r="76" spans="1:21" s="6" customFormat="1" ht="24" hidden="1" x14ac:dyDescent="0.25">
      <c r="A76" s="241">
        <v>50</v>
      </c>
      <c r="B76" s="240" t="s">
        <v>719</v>
      </c>
      <c r="C76" s="242" t="s">
        <v>720</v>
      </c>
      <c r="D76" s="240" t="s">
        <v>0</v>
      </c>
      <c r="E76" s="240">
        <f>VLOOKUP(B76,'[1]Tháng 7.2025'!$B$23:$H$153,4,0)</f>
        <v>10</v>
      </c>
      <c r="F76" s="240">
        <f>VLOOKUP(B76,'[1]Tháng 7.2025'!$B$23:$H$153,5,0)</f>
        <v>2</v>
      </c>
      <c r="G76" s="240">
        <f t="shared" si="0"/>
        <v>8</v>
      </c>
      <c r="H76" s="240">
        <f>VLOOKUP(B76,'[1]Tháng 7.2025'!$B$23:$H$153,7,0)</f>
        <v>10</v>
      </c>
      <c r="I76" s="240"/>
      <c r="J76" s="242" t="s">
        <v>710</v>
      </c>
      <c r="K76" s="123"/>
      <c r="L76" s="19" t="s">
        <v>140</v>
      </c>
      <c r="N76" s="184"/>
    </row>
    <row r="77" spans="1:21" s="83" customFormat="1" x14ac:dyDescent="0.25">
      <c r="A77" s="241" t="s">
        <v>20</v>
      </c>
      <c r="B77" s="241"/>
      <c r="C77" s="241"/>
      <c r="D77" s="241"/>
      <c r="E77" s="240"/>
      <c r="F77" s="240"/>
      <c r="G77" s="240"/>
      <c r="H77" s="240"/>
      <c r="I77" s="241"/>
      <c r="J77" s="241"/>
      <c r="K77" s="120"/>
      <c r="L77" s="117"/>
      <c r="Q77" s="9"/>
      <c r="R77" s="9"/>
      <c r="S77" s="9"/>
      <c r="T77" s="9"/>
      <c r="U77" s="9"/>
    </row>
    <row r="78" spans="1:21" s="6" customFormat="1" ht="30.75" customHeight="1" x14ac:dyDescent="0.25">
      <c r="A78" s="241">
        <v>40</v>
      </c>
      <c r="B78" s="241" t="s">
        <v>49</v>
      </c>
      <c r="C78" s="242" t="s">
        <v>50</v>
      </c>
      <c r="D78" s="241" t="s">
        <v>51</v>
      </c>
      <c r="E78" s="244">
        <v>0</v>
      </c>
      <c r="F78" s="240">
        <v>0</v>
      </c>
      <c r="G78" s="240">
        <v>0</v>
      </c>
      <c r="H78" s="240">
        <v>30</v>
      </c>
      <c r="I78" s="241"/>
      <c r="J78" s="242" t="s">
        <v>876</v>
      </c>
      <c r="K78" s="124">
        <v>0</v>
      </c>
      <c r="L78" s="23" t="s">
        <v>140</v>
      </c>
      <c r="M78" s="49"/>
      <c r="N78" s="49"/>
      <c r="O78" s="49"/>
      <c r="Q78" s="49"/>
      <c r="R78" s="49"/>
      <c r="S78" s="49"/>
    </row>
    <row r="79" spans="1:21" s="6" customFormat="1" ht="30.75" customHeight="1" x14ac:dyDescent="0.25">
      <c r="A79" s="241">
        <v>41</v>
      </c>
      <c r="B79" s="241" t="s">
        <v>166</v>
      </c>
      <c r="C79" s="242" t="s">
        <v>167</v>
      </c>
      <c r="D79" s="241" t="s">
        <v>51</v>
      </c>
      <c r="E79" s="244">
        <v>0</v>
      </c>
      <c r="F79" s="240">
        <v>0</v>
      </c>
      <c r="G79" s="240">
        <v>0</v>
      </c>
      <c r="H79" s="240">
        <v>130</v>
      </c>
      <c r="I79" s="241"/>
      <c r="J79" s="242" t="s">
        <v>805</v>
      </c>
      <c r="K79" s="124">
        <v>4</v>
      </c>
      <c r="L79" s="19" t="s">
        <v>140</v>
      </c>
    </row>
    <row r="80" spans="1:21" s="100" customFormat="1" ht="30.75" customHeight="1" x14ac:dyDescent="0.25">
      <c r="A80" s="241">
        <v>42</v>
      </c>
      <c r="B80" s="241" t="s">
        <v>174</v>
      </c>
      <c r="C80" s="246" t="s">
        <v>102</v>
      </c>
      <c r="D80" s="241" t="s">
        <v>66</v>
      </c>
      <c r="E80" s="244">
        <v>0</v>
      </c>
      <c r="F80" s="240">
        <v>0</v>
      </c>
      <c r="G80" s="240">
        <v>0</v>
      </c>
      <c r="H80" s="240">
        <f>VLOOKUP(B80,'[1]Tháng 7.2025'!$B$23:$H$153,7,0)</f>
        <v>150000</v>
      </c>
      <c r="I80" s="241"/>
      <c r="J80" s="242" t="s">
        <v>103</v>
      </c>
      <c r="K80" s="183">
        <v>239581</v>
      </c>
      <c r="L80" s="145" t="s">
        <v>88</v>
      </c>
      <c r="M80" s="100" t="s">
        <v>895</v>
      </c>
      <c r="Q80" s="184"/>
      <c r="R80" s="184"/>
      <c r="S80" s="184"/>
      <c r="T80" s="184"/>
      <c r="U80" s="184"/>
    </row>
    <row r="81" spans="1:21" s="100" customFormat="1" ht="30.75" customHeight="1" x14ac:dyDescent="0.25">
      <c r="A81" s="241">
        <v>43</v>
      </c>
      <c r="B81" s="241" t="s">
        <v>880</v>
      </c>
      <c r="C81" s="246" t="s">
        <v>881</v>
      </c>
      <c r="D81" s="241" t="s">
        <v>66</v>
      </c>
      <c r="E81" s="244">
        <v>0</v>
      </c>
      <c r="F81" s="240">
        <v>0</v>
      </c>
      <c r="G81" s="240">
        <v>0</v>
      </c>
      <c r="H81" s="240">
        <v>30500</v>
      </c>
      <c r="I81" s="241"/>
      <c r="J81" s="242" t="s">
        <v>862</v>
      </c>
      <c r="K81" s="183"/>
      <c r="L81" s="145" t="s">
        <v>88</v>
      </c>
      <c r="M81" s="100" t="s">
        <v>895</v>
      </c>
      <c r="Q81" s="184"/>
      <c r="R81" s="184"/>
      <c r="S81" s="184"/>
      <c r="T81" s="184"/>
      <c r="U81" s="184"/>
    </row>
    <row r="82" spans="1:21" s="5" customFormat="1" ht="30.75" customHeight="1" x14ac:dyDescent="0.25">
      <c r="A82" s="241">
        <v>44</v>
      </c>
      <c r="B82" s="241" t="s">
        <v>147</v>
      </c>
      <c r="C82" s="242" t="s">
        <v>148</v>
      </c>
      <c r="D82" s="241" t="s">
        <v>66</v>
      </c>
      <c r="E82" s="244">
        <v>0</v>
      </c>
      <c r="F82" s="240">
        <v>0</v>
      </c>
      <c r="G82" s="240">
        <v>0</v>
      </c>
      <c r="H82" s="240">
        <f>VLOOKUP(B82,'[1]Tháng 7.2025'!$B$23:$H$153,7,0)</f>
        <v>100</v>
      </c>
      <c r="I82" s="240"/>
      <c r="J82" s="245" t="s">
        <v>374</v>
      </c>
      <c r="K82" s="124">
        <v>5379</v>
      </c>
      <c r="L82" s="18" t="s">
        <v>385</v>
      </c>
      <c r="Q82" s="6"/>
      <c r="R82" s="6"/>
      <c r="S82" s="6"/>
      <c r="T82" s="6"/>
      <c r="U82" s="6"/>
    </row>
    <row r="83" spans="1:21" s="5" customFormat="1" ht="30.75" customHeight="1" x14ac:dyDescent="0.25">
      <c r="A83" s="241">
        <v>45</v>
      </c>
      <c r="B83" s="241" t="s">
        <v>149</v>
      </c>
      <c r="C83" s="242" t="s">
        <v>150</v>
      </c>
      <c r="D83" s="241" t="s">
        <v>0</v>
      </c>
      <c r="E83" s="244">
        <v>0</v>
      </c>
      <c r="F83" s="240">
        <v>0</v>
      </c>
      <c r="G83" s="240">
        <v>0</v>
      </c>
      <c r="H83" s="240">
        <f>VLOOKUP(B83,'[1]Tháng 7.2025'!$B$23:$H$153,7,0)</f>
        <v>8000</v>
      </c>
      <c r="I83" s="240"/>
      <c r="J83" s="245" t="s">
        <v>151</v>
      </c>
      <c r="K83" s="124">
        <v>15000</v>
      </c>
      <c r="L83" s="18" t="s">
        <v>385</v>
      </c>
      <c r="M83" s="5" t="s">
        <v>895</v>
      </c>
      <c r="Q83" s="6"/>
      <c r="R83" s="6"/>
      <c r="S83" s="6"/>
      <c r="T83" s="6"/>
      <c r="U83" s="6"/>
    </row>
    <row r="84" spans="1:21" s="100" customFormat="1" ht="30.75" customHeight="1" x14ac:dyDescent="0.25">
      <c r="A84" s="241">
        <v>46</v>
      </c>
      <c r="B84" s="240" t="s">
        <v>883</v>
      </c>
      <c r="C84" s="242" t="s">
        <v>884</v>
      </c>
      <c r="D84" s="241" t="s">
        <v>0</v>
      </c>
      <c r="E84" s="244">
        <v>0</v>
      </c>
      <c r="F84" s="240">
        <v>0</v>
      </c>
      <c r="G84" s="240">
        <v>0</v>
      </c>
      <c r="H84" s="240">
        <v>150</v>
      </c>
      <c r="I84" s="240"/>
      <c r="J84" s="245" t="s">
        <v>906</v>
      </c>
      <c r="K84" s="186"/>
      <c r="L84" s="145" t="s">
        <v>385</v>
      </c>
      <c r="M84" s="100" t="s">
        <v>895</v>
      </c>
      <c r="Q84" s="184"/>
      <c r="R84" s="184"/>
      <c r="S84" s="184"/>
      <c r="T84" s="184"/>
      <c r="U84" s="184"/>
    </row>
    <row r="85" spans="1:21" s="100" customFormat="1" ht="30.75" customHeight="1" x14ac:dyDescent="0.25">
      <c r="A85" s="241">
        <v>47</v>
      </c>
      <c r="B85" s="240" t="s">
        <v>885</v>
      </c>
      <c r="C85" s="242" t="s">
        <v>886</v>
      </c>
      <c r="D85" s="240" t="s">
        <v>0</v>
      </c>
      <c r="E85" s="244">
        <v>0</v>
      </c>
      <c r="F85" s="240">
        <v>0</v>
      </c>
      <c r="G85" s="240">
        <v>0</v>
      </c>
      <c r="H85" s="240">
        <v>100</v>
      </c>
      <c r="I85" s="240"/>
      <c r="J85" s="245" t="s">
        <v>906</v>
      </c>
      <c r="K85" s="186"/>
      <c r="L85" s="145" t="s">
        <v>385</v>
      </c>
      <c r="M85" s="100" t="s">
        <v>895</v>
      </c>
      <c r="Q85" s="184"/>
      <c r="R85" s="184"/>
      <c r="S85" s="184"/>
      <c r="T85" s="184"/>
      <c r="U85" s="184"/>
    </row>
    <row r="86" spans="1:21" s="100" customFormat="1" ht="30.75" customHeight="1" x14ac:dyDescent="0.25">
      <c r="A86" s="241">
        <v>48</v>
      </c>
      <c r="B86" s="240" t="s">
        <v>887</v>
      </c>
      <c r="C86" s="242" t="s">
        <v>888</v>
      </c>
      <c r="D86" s="240" t="s">
        <v>66</v>
      </c>
      <c r="E86" s="244">
        <v>0</v>
      </c>
      <c r="F86" s="240">
        <v>0</v>
      </c>
      <c r="G86" s="240">
        <v>0</v>
      </c>
      <c r="H86" s="240">
        <v>10</v>
      </c>
      <c r="I86" s="240"/>
      <c r="J86" s="245" t="s">
        <v>906</v>
      </c>
      <c r="K86" s="186"/>
      <c r="L86" s="145" t="s">
        <v>385</v>
      </c>
      <c r="M86" s="100" t="s">
        <v>895</v>
      </c>
      <c r="Q86" s="184"/>
      <c r="R86" s="184"/>
      <c r="S86" s="184"/>
      <c r="T86" s="184"/>
      <c r="U86" s="184"/>
    </row>
    <row r="87" spans="1:21" s="100" customFormat="1" ht="30.75" customHeight="1" x14ac:dyDescent="0.25">
      <c r="A87" s="241">
        <v>49</v>
      </c>
      <c r="B87" s="240" t="s">
        <v>552</v>
      </c>
      <c r="C87" s="242" t="s">
        <v>553</v>
      </c>
      <c r="D87" s="240" t="s">
        <v>0</v>
      </c>
      <c r="E87" s="244">
        <v>0</v>
      </c>
      <c r="F87" s="240">
        <v>0</v>
      </c>
      <c r="G87" s="240">
        <v>0</v>
      </c>
      <c r="H87" s="240">
        <v>10</v>
      </c>
      <c r="I87" s="240"/>
      <c r="J87" s="245" t="s">
        <v>906</v>
      </c>
      <c r="K87" s="186"/>
      <c r="L87" s="145" t="s">
        <v>385</v>
      </c>
      <c r="M87" s="100" t="s">
        <v>895</v>
      </c>
      <c r="Q87" s="184"/>
      <c r="R87" s="184"/>
      <c r="S87" s="184"/>
      <c r="T87" s="184"/>
      <c r="U87" s="184"/>
    </row>
    <row r="88" spans="1:21" s="100" customFormat="1" ht="30.75" customHeight="1" x14ac:dyDescent="0.25">
      <c r="A88" s="241">
        <v>50</v>
      </c>
      <c r="B88" s="240" t="s">
        <v>889</v>
      </c>
      <c r="C88" s="242" t="s">
        <v>890</v>
      </c>
      <c r="D88" s="240" t="s">
        <v>390</v>
      </c>
      <c r="E88" s="244">
        <v>0</v>
      </c>
      <c r="F88" s="240">
        <v>0</v>
      </c>
      <c r="G88" s="240">
        <v>0</v>
      </c>
      <c r="H88" s="240">
        <v>100</v>
      </c>
      <c r="I88" s="240"/>
      <c r="J88" s="245" t="s">
        <v>906</v>
      </c>
      <c r="K88" s="186"/>
      <c r="L88" s="145" t="s">
        <v>385</v>
      </c>
      <c r="M88" s="100" t="s">
        <v>895</v>
      </c>
      <c r="Q88" s="184"/>
      <c r="R88" s="184"/>
      <c r="S88" s="184"/>
      <c r="T88" s="184"/>
      <c r="U88" s="184"/>
    </row>
    <row r="89" spans="1:21" s="100" customFormat="1" ht="30.75" customHeight="1" x14ac:dyDescent="0.25">
      <c r="A89" s="241">
        <v>51</v>
      </c>
      <c r="B89" s="240" t="s">
        <v>891</v>
      </c>
      <c r="C89" s="242" t="s">
        <v>892</v>
      </c>
      <c r="D89" s="240" t="s">
        <v>390</v>
      </c>
      <c r="E89" s="244">
        <v>0</v>
      </c>
      <c r="F89" s="240">
        <v>0</v>
      </c>
      <c r="G89" s="240">
        <v>0</v>
      </c>
      <c r="H89" s="240">
        <v>100</v>
      </c>
      <c r="I89" s="240"/>
      <c r="J89" s="245" t="s">
        <v>906</v>
      </c>
      <c r="K89" s="186"/>
      <c r="L89" s="145" t="s">
        <v>385</v>
      </c>
      <c r="M89" s="100" t="s">
        <v>895</v>
      </c>
      <c r="Q89" s="184"/>
      <c r="R89" s="184"/>
      <c r="S89" s="184"/>
      <c r="T89" s="184"/>
      <c r="U89" s="184"/>
    </row>
    <row r="90" spans="1:21" s="5" customFormat="1" ht="30.75" customHeight="1" x14ac:dyDescent="0.25">
      <c r="A90" s="241">
        <v>52</v>
      </c>
      <c r="B90" s="250"/>
      <c r="C90" s="251" t="s">
        <v>799</v>
      </c>
      <c r="D90" s="250" t="s">
        <v>2</v>
      </c>
      <c r="E90" s="240">
        <v>0</v>
      </c>
      <c r="F90" s="240">
        <v>0</v>
      </c>
      <c r="G90" s="240">
        <v>0</v>
      </c>
      <c r="H90" s="240">
        <v>50</v>
      </c>
      <c r="I90" s="240"/>
      <c r="J90" s="242" t="s">
        <v>802</v>
      </c>
      <c r="K90" s="186"/>
      <c r="L90" s="145" t="s">
        <v>385</v>
      </c>
      <c r="M90" s="100" t="s">
        <v>895</v>
      </c>
      <c r="N90" s="18"/>
      <c r="O90" s="18"/>
      <c r="Q90" s="6"/>
      <c r="R90" s="6"/>
      <c r="S90" s="6"/>
      <c r="T90" s="6"/>
      <c r="U90" s="6"/>
    </row>
    <row r="91" spans="1:21" s="5" customFormat="1" ht="30.75" customHeight="1" x14ac:dyDescent="0.25">
      <c r="A91" s="241">
        <v>53</v>
      </c>
      <c r="B91" s="241"/>
      <c r="C91" s="242" t="s">
        <v>800</v>
      </c>
      <c r="D91" s="241" t="s">
        <v>804</v>
      </c>
      <c r="E91" s="240">
        <v>0</v>
      </c>
      <c r="F91" s="240">
        <v>0</v>
      </c>
      <c r="G91" s="240">
        <v>0</v>
      </c>
      <c r="H91" s="240">
        <v>10</v>
      </c>
      <c r="I91" s="240"/>
      <c r="J91" s="242" t="s">
        <v>803</v>
      </c>
      <c r="K91" s="186"/>
      <c r="L91" s="145" t="s">
        <v>385</v>
      </c>
      <c r="M91" s="100" t="s">
        <v>895</v>
      </c>
      <c r="N91" s="18"/>
      <c r="O91" s="18"/>
      <c r="Q91" s="6"/>
      <c r="R91" s="6"/>
      <c r="S91" s="6"/>
      <c r="T91" s="6"/>
      <c r="U91" s="6"/>
    </row>
    <row r="92" spans="1:21" s="5" customFormat="1" ht="30.75" customHeight="1" x14ac:dyDescent="0.25">
      <c r="A92" s="241">
        <v>54</v>
      </c>
      <c r="B92" s="241"/>
      <c r="C92" s="242" t="s">
        <v>801</v>
      </c>
      <c r="D92" s="241" t="s">
        <v>804</v>
      </c>
      <c r="E92" s="240">
        <v>0</v>
      </c>
      <c r="F92" s="240">
        <v>0</v>
      </c>
      <c r="G92" s="240">
        <v>0</v>
      </c>
      <c r="H92" s="240">
        <v>10</v>
      </c>
      <c r="I92" s="240"/>
      <c r="J92" s="242" t="s">
        <v>803</v>
      </c>
      <c r="K92" s="186"/>
      <c r="L92" s="145" t="s">
        <v>385</v>
      </c>
      <c r="M92" s="100" t="s">
        <v>895</v>
      </c>
      <c r="N92" s="18"/>
      <c r="O92" s="18"/>
      <c r="Q92" s="6"/>
      <c r="R92" s="6"/>
      <c r="S92" s="6"/>
      <c r="T92" s="6"/>
      <c r="U92" s="6"/>
    </row>
    <row r="93" spans="1:21" s="5" customFormat="1" ht="30.75" customHeight="1" x14ac:dyDescent="0.25">
      <c r="A93" s="241">
        <v>55</v>
      </c>
      <c r="B93" s="240" t="s">
        <v>40</v>
      </c>
      <c r="C93" s="242" t="s">
        <v>1</v>
      </c>
      <c r="D93" s="241" t="s">
        <v>2</v>
      </c>
      <c r="E93" s="240">
        <v>0</v>
      </c>
      <c r="F93" s="240">
        <v>0</v>
      </c>
      <c r="G93" s="240">
        <v>0</v>
      </c>
      <c r="H93" s="240">
        <v>3000</v>
      </c>
      <c r="I93" s="240"/>
      <c r="J93" s="245" t="s">
        <v>119</v>
      </c>
      <c r="K93" s="186"/>
      <c r="L93" s="145" t="s">
        <v>76</v>
      </c>
      <c r="M93" s="100" t="s">
        <v>895</v>
      </c>
      <c r="O93" s="18"/>
      <c r="Q93" s="6"/>
      <c r="R93" s="6"/>
      <c r="S93" s="6"/>
      <c r="T93" s="6"/>
      <c r="U93" s="6"/>
    </row>
    <row r="94" spans="1:21" s="5" customFormat="1" ht="30.75" customHeight="1" x14ac:dyDescent="0.25">
      <c r="A94" s="241">
        <v>56</v>
      </c>
      <c r="B94" s="240" t="s">
        <v>130</v>
      </c>
      <c r="C94" s="242" t="s">
        <v>131</v>
      </c>
      <c r="D94" s="241" t="s">
        <v>66</v>
      </c>
      <c r="E94" s="240">
        <v>0</v>
      </c>
      <c r="F94" s="240">
        <v>0</v>
      </c>
      <c r="G94" s="240">
        <v>0</v>
      </c>
      <c r="H94" s="240">
        <v>20000</v>
      </c>
      <c r="I94" s="240"/>
      <c r="J94" s="245" t="s">
        <v>808</v>
      </c>
      <c r="K94" s="186"/>
      <c r="L94" s="145" t="s">
        <v>76</v>
      </c>
      <c r="M94" s="100" t="s">
        <v>895</v>
      </c>
      <c r="O94" s="18"/>
      <c r="Q94" s="6"/>
      <c r="R94" s="6"/>
      <c r="S94" s="6"/>
      <c r="T94" s="6"/>
      <c r="U94" s="6"/>
    </row>
    <row r="95" spans="1:21" s="5" customFormat="1" ht="30.75" customHeight="1" x14ac:dyDescent="0.25">
      <c r="A95" s="241">
        <v>57</v>
      </c>
      <c r="B95" s="240" t="s">
        <v>67</v>
      </c>
      <c r="C95" s="242" t="s">
        <v>68</v>
      </c>
      <c r="D95" s="241" t="s">
        <v>66</v>
      </c>
      <c r="E95" s="240">
        <v>0</v>
      </c>
      <c r="F95" s="240">
        <v>0</v>
      </c>
      <c r="G95" s="240">
        <v>0</v>
      </c>
      <c r="H95" s="240">
        <v>13000</v>
      </c>
      <c r="I95" s="240"/>
      <c r="J95" s="246" t="s">
        <v>134</v>
      </c>
      <c r="K95" s="186"/>
      <c r="L95" s="145" t="s">
        <v>76</v>
      </c>
      <c r="M95" s="100" t="s">
        <v>895</v>
      </c>
      <c r="O95" s="18"/>
      <c r="Q95" s="6"/>
      <c r="R95" s="6"/>
      <c r="S95" s="6"/>
      <c r="T95" s="6"/>
      <c r="U95" s="6"/>
    </row>
    <row r="96" spans="1:21" s="5" customFormat="1" ht="30.75" customHeight="1" x14ac:dyDescent="0.25">
      <c r="A96" s="241">
        <v>58</v>
      </c>
      <c r="B96" s="241" t="s">
        <v>69</v>
      </c>
      <c r="C96" s="242" t="s">
        <v>774</v>
      </c>
      <c r="D96" s="241" t="s">
        <v>66</v>
      </c>
      <c r="E96" s="240">
        <v>0</v>
      </c>
      <c r="F96" s="240">
        <v>0</v>
      </c>
      <c r="G96" s="240">
        <v>0</v>
      </c>
      <c r="H96" s="240">
        <f>VLOOKUP(B96,'[1]Tháng 7.2025'!$B$23:$H$153,7,0)</f>
        <v>900000</v>
      </c>
      <c r="I96" s="240"/>
      <c r="J96" s="245" t="s">
        <v>772</v>
      </c>
      <c r="K96" s="186"/>
      <c r="L96" s="145" t="s">
        <v>76</v>
      </c>
      <c r="M96" s="100" t="s">
        <v>895</v>
      </c>
      <c r="O96" s="18"/>
      <c r="Q96" s="6"/>
      <c r="R96" s="6"/>
      <c r="S96" s="6"/>
      <c r="T96" s="6"/>
      <c r="U96" s="6"/>
    </row>
    <row r="97" spans="1:21" s="5" customFormat="1" ht="30.75" customHeight="1" x14ac:dyDescent="0.25">
      <c r="A97" s="241">
        <v>59</v>
      </c>
      <c r="B97" s="240" t="s">
        <v>72</v>
      </c>
      <c r="C97" s="242" t="s">
        <v>73</v>
      </c>
      <c r="D97" s="241" t="s">
        <v>66</v>
      </c>
      <c r="E97" s="240">
        <v>0</v>
      </c>
      <c r="F97" s="240">
        <v>0</v>
      </c>
      <c r="G97" s="240">
        <v>0</v>
      </c>
      <c r="H97" s="240">
        <v>26000</v>
      </c>
      <c r="I97" s="240"/>
      <c r="J97" s="245" t="s">
        <v>809</v>
      </c>
      <c r="K97" s="186"/>
      <c r="L97" s="145" t="s">
        <v>76</v>
      </c>
      <c r="M97" s="100" t="s">
        <v>895</v>
      </c>
      <c r="O97" s="18"/>
      <c r="Q97" s="6"/>
      <c r="R97" s="6"/>
      <c r="S97" s="6"/>
      <c r="T97" s="6"/>
      <c r="U97" s="6"/>
    </row>
    <row r="98" spans="1:21" s="5" customFormat="1" ht="30.75" customHeight="1" x14ac:dyDescent="0.25">
      <c r="A98" s="241">
        <v>60</v>
      </c>
      <c r="B98" s="240" t="s">
        <v>137</v>
      </c>
      <c r="C98" s="242" t="s">
        <v>138</v>
      </c>
      <c r="D98" s="241" t="s">
        <v>66</v>
      </c>
      <c r="E98" s="240">
        <v>0</v>
      </c>
      <c r="F98" s="240">
        <v>0</v>
      </c>
      <c r="G98" s="240">
        <v>0</v>
      </c>
      <c r="H98" s="240">
        <v>10000</v>
      </c>
      <c r="I98" s="240"/>
      <c r="J98" s="245" t="s">
        <v>810</v>
      </c>
      <c r="K98" s="186"/>
      <c r="L98" s="145" t="s">
        <v>76</v>
      </c>
      <c r="M98" s="100" t="s">
        <v>895</v>
      </c>
      <c r="O98" s="18"/>
      <c r="Q98" s="6"/>
      <c r="R98" s="6"/>
      <c r="S98" s="6"/>
      <c r="T98" s="6"/>
      <c r="U98" s="6"/>
    </row>
    <row r="99" spans="1:21" s="5" customFormat="1" ht="30.75" customHeight="1" x14ac:dyDescent="0.25">
      <c r="A99" s="241">
        <v>61</v>
      </c>
      <c r="B99" s="241" t="s">
        <v>144</v>
      </c>
      <c r="C99" s="242" t="s">
        <v>145</v>
      </c>
      <c r="D99" s="241" t="s">
        <v>66</v>
      </c>
      <c r="E99" s="240">
        <v>0</v>
      </c>
      <c r="F99" s="240">
        <v>0</v>
      </c>
      <c r="G99" s="240">
        <v>0</v>
      </c>
      <c r="H99" s="240">
        <v>18000</v>
      </c>
      <c r="I99" s="240"/>
      <c r="J99" s="245" t="s">
        <v>811</v>
      </c>
      <c r="K99" s="186"/>
      <c r="L99" s="145" t="s">
        <v>76</v>
      </c>
      <c r="M99" s="100" t="s">
        <v>895</v>
      </c>
      <c r="O99" s="18"/>
      <c r="Q99" s="6"/>
      <c r="R99" s="6"/>
      <c r="S99" s="6"/>
      <c r="T99" s="6"/>
      <c r="U99" s="6"/>
    </row>
    <row r="100" spans="1:21" s="5" customFormat="1" ht="30.75" customHeight="1" x14ac:dyDescent="0.25">
      <c r="A100" s="241">
        <v>62</v>
      </c>
      <c r="B100" s="241" t="s">
        <v>156</v>
      </c>
      <c r="C100" s="242" t="s">
        <v>118</v>
      </c>
      <c r="D100" s="241" t="s">
        <v>74</v>
      </c>
      <c r="E100" s="240">
        <v>0</v>
      </c>
      <c r="F100" s="240">
        <v>0</v>
      </c>
      <c r="G100" s="240">
        <v>0</v>
      </c>
      <c r="H100" s="240">
        <f>VLOOKUP(B100,'[1]Tháng 7.2025'!$B$23:$H$153,7,0)</f>
        <v>100</v>
      </c>
      <c r="I100" s="240"/>
      <c r="J100" s="246" t="s">
        <v>75</v>
      </c>
      <c r="K100" s="186"/>
      <c r="L100" s="145" t="s">
        <v>76</v>
      </c>
      <c r="M100" s="100" t="s">
        <v>895</v>
      </c>
      <c r="O100" s="18"/>
      <c r="Q100" s="6"/>
      <c r="R100" s="6"/>
      <c r="S100" s="6"/>
      <c r="T100" s="6"/>
      <c r="U100" s="6"/>
    </row>
    <row r="101" spans="1:21" ht="30.75" customHeight="1" x14ac:dyDescent="0.25">
      <c r="A101" s="241">
        <v>63</v>
      </c>
      <c r="B101" s="252" t="s">
        <v>907</v>
      </c>
      <c r="C101" s="252" t="s">
        <v>908</v>
      </c>
      <c r="D101" s="253" t="s">
        <v>0</v>
      </c>
      <c r="E101" s="254">
        <v>4</v>
      </c>
      <c r="F101" s="254">
        <v>4</v>
      </c>
      <c r="G101" s="254">
        <v>0</v>
      </c>
      <c r="H101" s="254">
        <v>4</v>
      </c>
      <c r="I101" s="254">
        <v>4</v>
      </c>
      <c r="J101" s="255" t="s">
        <v>909</v>
      </c>
      <c r="K101" s="235"/>
      <c r="L101" s="236" t="s">
        <v>136</v>
      </c>
      <c r="M101" s="221" t="s">
        <v>895</v>
      </c>
    </row>
    <row r="102" spans="1:21" ht="30.75" customHeight="1" x14ac:dyDescent="0.25">
      <c r="A102" s="241">
        <v>64</v>
      </c>
      <c r="B102" s="252" t="s">
        <v>910</v>
      </c>
      <c r="C102" s="252" t="s">
        <v>911</v>
      </c>
      <c r="D102" s="253" t="s">
        <v>0</v>
      </c>
      <c r="E102" s="254">
        <v>8</v>
      </c>
      <c r="F102" s="254">
        <v>8</v>
      </c>
      <c r="G102" s="254">
        <v>0</v>
      </c>
      <c r="H102" s="254">
        <v>8</v>
      </c>
      <c r="I102" s="254">
        <v>8</v>
      </c>
      <c r="J102" s="255" t="s">
        <v>912</v>
      </c>
      <c r="L102" s="178" t="s">
        <v>136</v>
      </c>
      <c r="M102" s="221" t="s">
        <v>895</v>
      </c>
    </row>
    <row r="103" spans="1:21" ht="30.75" customHeight="1" x14ac:dyDescent="0.25">
      <c r="A103" s="241">
        <v>65</v>
      </c>
      <c r="B103" s="252" t="s">
        <v>913</v>
      </c>
      <c r="C103" s="252" t="s">
        <v>914</v>
      </c>
      <c r="D103" s="253" t="s">
        <v>0</v>
      </c>
      <c r="E103" s="254">
        <v>6</v>
      </c>
      <c r="F103" s="254">
        <v>6</v>
      </c>
      <c r="G103" s="254">
        <v>0</v>
      </c>
      <c r="H103" s="254">
        <v>6</v>
      </c>
      <c r="I103" s="254">
        <v>6</v>
      </c>
      <c r="J103" s="255" t="s">
        <v>491</v>
      </c>
      <c r="L103" s="178" t="s">
        <v>136</v>
      </c>
      <c r="M103" s="221" t="s">
        <v>895</v>
      </c>
    </row>
    <row r="104" spans="1:21" ht="30.75" customHeight="1" x14ac:dyDescent="0.25">
      <c r="A104" s="241">
        <v>66</v>
      </c>
      <c r="B104" s="252" t="s">
        <v>915</v>
      </c>
      <c r="C104" s="252" t="s">
        <v>916</v>
      </c>
      <c r="D104" s="254" t="s">
        <v>428</v>
      </c>
      <c r="E104" s="254">
        <v>1</v>
      </c>
      <c r="F104" s="254">
        <v>1</v>
      </c>
      <c r="G104" s="254">
        <v>0</v>
      </c>
      <c r="H104" s="254">
        <v>1</v>
      </c>
      <c r="I104" s="254">
        <v>1</v>
      </c>
      <c r="J104" s="255" t="s">
        <v>826</v>
      </c>
      <c r="L104" s="178" t="s">
        <v>136</v>
      </c>
      <c r="M104" s="221" t="s">
        <v>895</v>
      </c>
    </row>
    <row r="105" spans="1:21" ht="30.75" customHeight="1" x14ac:dyDescent="0.25">
      <c r="A105" s="241">
        <v>67</v>
      </c>
      <c r="B105" s="252" t="s">
        <v>917</v>
      </c>
      <c r="C105" s="252" t="s">
        <v>918</v>
      </c>
      <c r="D105" s="254" t="s">
        <v>428</v>
      </c>
      <c r="E105" s="254">
        <v>1</v>
      </c>
      <c r="F105" s="254">
        <v>1</v>
      </c>
      <c r="G105" s="254">
        <v>0</v>
      </c>
      <c r="H105" s="254">
        <v>1</v>
      </c>
      <c r="I105" s="254">
        <v>1</v>
      </c>
      <c r="J105" s="255" t="s">
        <v>919</v>
      </c>
      <c r="L105" s="178" t="s">
        <v>136</v>
      </c>
      <c r="M105" s="221" t="s">
        <v>895</v>
      </c>
    </row>
    <row r="106" spans="1:21" ht="30.75" customHeight="1" x14ac:dyDescent="0.25">
      <c r="A106" s="241">
        <v>68</v>
      </c>
      <c r="B106" s="252" t="s">
        <v>920</v>
      </c>
      <c r="C106" s="252" t="s">
        <v>921</v>
      </c>
      <c r="D106" s="254" t="s">
        <v>0</v>
      </c>
      <c r="E106" s="254">
        <v>8</v>
      </c>
      <c r="F106" s="254">
        <v>8</v>
      </c>
      <c r="G106" s="254">
        <v>0</v>
      </c>
      <c r="H106" s="254">
        <v>8</v>
      </c>
      <c r="I106" s="254">
        <v>8</v>
      </c>
      <c r="J106" s="255" t="s">
        <v>922</v>
      </c>
      <c r="L106" s="178" t="s">
        <v>136</v>
      </c>
      <c r="M106" s="221" t="s">
        <v>895</v>
      </c>
    </row>
    <row r="107" spans="1:21" ht="30.75" customHeight="1" x14ac:dyDescent="0.2">
      <c r="A107" s="241">
        <v>69</v>
      </c>
      <c r="B107" s="256" t="s">
        <v>834</v>
      </c>
      <c r="C107" s="256" t="s">
        <v>835</v>
      </c>
      <c r="D107" s="254" t="s">
        <v>0</v>
      </c>
      <c r="E107" s="254">
        <v>20</v>
      </c>
      <c r="F107" s="254">
        <v>20</v>
      </c>
      <c r="G107" s="254">
        <v>0</v>
      </c>
      <c r="H107" s="254">
        <v>20</v>
      </c>
      <c r="I107" s="254">
        <v>20</v>
      </c>
      <c r="J107" s="255" t="s">
        <v>909</v>
      </c>
      <c r="L107" s="178" t="s">
        <v>136</v>
      </c>
      <c r="M107" s="221" t="s">
        <v>895</v>
      </c>
    </row>
    <row r="108" spans="1:21" ht="30.75" customHeight="1" x14ac:dyDescent="0.2">
      <c r="A108" s="241">
        <v>70</v>
      </c>
      <c r="B108" s="256" t="s">
        <v>864</v>
      </c>
      <c r="C108" s="256" t="s">
        <v>865</v>
      </c>
      <c r="D108" s="254" t="s">
        <v>0</v>
      </c>
      <c r="E108" s="254">
        <v>14</v>
      </c>
      <c r="F108" s="254">
        <v>14</v>
      </c>
      <c r="G108" s="254">
        <v>0</v>
      </c>
      <c r="H108" s="254">
        <v>14</v>
      </c>
      <c r="I108" s="254">
        <v>14</v>
      </c>
      <c r="J108" s="255" t="s">
        <v>909</v>
      </c>
      <c r="L108" s="178" t="s">
        <v>136</v>
      </c>
      <c r="M108" s="221" t="s">
        <v>895</v>
      </c>
    </row>
    <row r="109" spans="1:21" ht="30.75" customHeight="1" x14ac:dyDescent="0.2">
      <c r="A109" s="241">
        <v>71</v>
      </c>
      <c r="B109" s="256" t="s">
        <v>923</v>
      </c>
      <c r="C109" s="256" t="s">
        <v>924</v>
      </c>
      <c r="D109" s="254" t="s">
        <v>0</v>
      </c>
      <c r="E109" s="254">
        <v>32</v>
      </c>
      <c r="F109" s="254">
        <v>32</v>
      </c>
      <c r="G109" s="254">
        <v>0</v>
      </c>
      <c r="H109" s="254">
        <v>32</v>
      </c>
      <c r="I109" s="254">
        <v>32</v>
      </c>
      <c r="J109" s="255" t="s">
        <v>912</v>
      </c>
      <c r="L109" s="178" t="s">
        <v>136</v>
      </c>
      <c r="M109" s="221" t="s">
        <v>895</v>
      </c>
    </row>
    <row r="110" spans="1:21" ht="30.75" customHeight="1" x14ac:dyDescent="0.2">
      <c r="A110" s="241">
        <v>72</v>
      </c>
      <c r="B110" s="256" t="s">
        <v>836</v>
      </c>
      <c r="C110" s="256" t="s">
        <v>837</v>
      </c>
      <c r="D110" s="254" t="s">
        <v>0</v>
      </c>
      <c r="E110" s="254">
        <v>100</v>
      </c>
      <c r="F110" s="254">
        <v>100</v>
      </c>
      <c r="G110" s="254">
        <v>0</v>
      </c>
      <c r="H110" s="254">
        <v>100</v>
      </c>
      <c r="I110" s="254">
        <v>100</v>
      </c>
      <c r="J110" s="255" t="s">
        <v>912</v>
      </c>
      <c r="L110" s="178" t="s">
        <v>136</v>
      </c>
      <c r="M110" s="221" t="s">
        <v>895</v>
      </c>
    </row>
    <row r="111" spans="1:21" ht="30.75" customHeight="1" x14ac:dyDescent="0.2">
      <c r="A111" s="241">
        <v>73</v>
      </c>
      <c r="B111" s="256" t="s">
        <v>925</v>
      </c>
      <c r="C111" s="256" t="s">
        <v>926</v>
      </c>
      <c r="D111" s="254" t="s">
        <v>0</v>
      </c>
      <c r="E111" s="254">
        <v>122</v>
      </c>
      <c r="F111" s="254">
        <v>122</v>
      </c>
      <c r="G111" s="254">
        <v>0</v>
      </c>
      <c r="H111" s="254">
        <v>122</v>
      </c>
      <c r="I111" s="254">
        <v>122</v>
      </c>
      <c r="J111" s="255" t="s">
        <v>912</v>
      </c>
      <c r="L111" s="178" t="s">
        <v>136</v>
      </c>
      <c r="M111" s="221" t="s">
        <v>895</v>
      </c>
    </row>
    <row r="112" spans="1:21" ht="30.75" customHeight="1" x14ac:dyDescent="0.2">
      <c r="A112" s="241">
        <v>74</v>
      </c>
      <c r="B112" s="256" t="s">
        <v>927</v>
      </c>
      <c r="C112" s="256" t="s">
        <v>928</v>
      </c>
      <c r="D112" s="254" t="s">
        <v>0</v>
      </c>
      <c r="E112" s="254">
        <v>3</v>
      </c>
      <c r="F112" s="254">
        <v>3</v>
      </c>
      <c r="G112" s="254">
        <v>0</v>
      </c>
      <c r="H112" s="254">
        <v>3</v>
      </c>
      <c r="I112" s="254">
        <v>3</v>
      </c>
      <c r="J112" s="255" t="s">
        <v>491</v>
      </c>
      <c r="L112" s="178" t="s">
        <v>136</v>
      </c>
      <c r="M112" s="221" t="s">
        <v>895</v>
      </c>
    </row>
    <row r="113" spans="1:13" ht="30.75" customHeight="1" x14ac:dyDescent="0.2">
      <c r="A113" s="241">
        <v>75</v>
      </c>
      <c r="B113" s="256" t="s">
        <v>929</v>
      </c>
      <c r="C113" s="256" t="s">
        <v>930</v>
      </c>
      <c r="D113" s="254" t="s">
        <v>0</v>
      </c>
      <c r="E113" s="254">
        <v>5</v>
      </c>
      <c r="F113" s="254">
        <v>5</v>
      </c>
      <c r="G113" s="254">
        <v>0</v>
      </c>
      <c r="H113" s="254">
        <v>5</v>
      </c>
      <c r="I113" s="254">
        <v>5</v>
      </c>
      <c r="J113" s="255" t="s">
        <v>491</v>
      </c>
      <c r="L113" s="178" t="s">
        <v>136</v>
      </c>
      <c r="M113" s="221" t="s">
        <v>895</v>
      </c>
    </row>
    <row r="114" spans="1:13" ht="30.75" customHeight="1" x14ac:dyDescent="0.2">
      <c r="A114" s="241">
        <v>76</v>
      </c>
      <c r="B114" s="256" t="s">
        <v>931</v>
      </c>
      <c r="C114" s="256" t="s">
        <v>932</v>
      </c>
      <c r="D114" s="254" t="s">
        <v>0</v>
      </c>
      <c r="E114" s="254">
        <v>7</v>
      </c>
      <c r="F114" s="254">
        <v>7</v>
      </c>
      <c r="G114" s="254">
        <v>0</v>
      </c>
      <c r="H114" s="254">
        <v>7</v>
      </c>
      <c r="I114" s="254">
        <v>7</v>
      </c>
      <c r="J114" s="255" t="s">
        <v>491</v>
      </c>
      <c r="L114" s="178" t="s">
        <v>136</v>
      </c>
      <c r="M114" s="221" t="s">
        <v>895</v>
      </c>
    </row>
    <row r="115" spans="1:13" ht="30.75" customHeight="1" x14ac:dyDescent="0.2">
      <c r="A115" s="241">
        <v>77</v>
      </c>
      <c r="B115" s="256" t="s">
        <v>838</v>
      </c>
      <c r="C115" s="256" t="s">
        <v>839</v>
      </c>
      <c r="D115" s="254" t="s">
        <v>0</v>
      </c>
      <c r="E115" s="254">
        <v>100</v>
      </c>
      <c r="F115" s="254">
        <v>100</v>
      </c>
      <c r="G115" s="254">
        <v>0</v>
      </c>
      <c r="H115" s="254">
        <v>100</v>
      </c>
      <c r="I115" s="254">
        <v>100</v>
      </c>
      <c r="J115" s="255" t="s">
        <v>491</v>
      </c>
      <c r="L115" s="178" t="s">
        <v>136</v>
      </c>
      <c r="M115" s="221" t="s">
        <v>895</v>
      </c>
    </row>
    <row r="116" spans="1:13" ht="30.75" customHeight="1" x14ac:dyDescent="0.2">
      <c r="A116" s="241">
        <v>78</v>
      </c>
      <c r="B116" s="256" t="s">
        <v>933</v>
      </c>
      <c r="C116" s="256" t="s">
        <v>934</v>
      </c>
      <c r="D116" s="254" t="s">
        <v>0</v>
      </c>
      <c r="E116" s="254">
        <v>36</v>
      </c>
      <c r="F116" s="254">
        <v>36</v>
      </c>
      <c r="G116" s="254">
        <v>0</v>
      </c>
      <c r="H116" s="254">
        <v>36</v>
      </c>
      <c r="I116" s="254">
        <v>36</v>
      </c>
      <c r="J116" s="255" t="s">
        <v>826</v>
      </c>
      <c r="L116" s="178" t="s">
        <v>136</v>
      </c>
      <c r="M116" s="221" t="s">
        <v>895</v>
      </c>
    </row>
    <row r="117" spans="1:13" ht="30.75" customHeight="1" x14ac:dyDescent="0.2">
      <c r="A117" s="241">
        <v>79</v>
      </c>
      <c r="B117" s="256" t="s">
        <v>935</v>
      </c>
      <c r="C117" s="256" t="s">
        <v>936</v>
      </c>
      <c r="D117" s="254" t="s">
        <v>0</v>
      </c>
      <c r="E117" s="254">
        <v>72</v>
      </c>
      <c r="F117" s="254">
        <v>72</v>
      </c>
      <c r="G117" s="254">
        <v>0</v>
      </c>
      <c r="H117" s="254">
        <v>72</v>
      </c>
      <c r="I117" s="254">
        <v>72</v>
      </c>
      <c r="J117" s="255" t="s">
        <v>826</v>
      </c>
      <c r="L117" s="178" t="s">
        <v>136</v>
      </c>
      <c r="M117" s="221" t="s">
        <v>895</v>
      </c>
    </row>
    <row r="118" spans="1:13" ht="30.75" customHeight="1" x14ac:dyDescent="0.2">
      <c r="A118" s="241">
        <v>80</v>
      </c>
      <c r="B118" s="256" t="s">
        <v>937</v>
      </c>
      <c r="C118" s="256" t="s">
        <v>938</v>
      </c>
      <c r="D118" s="254" t="s">
        <v>0</v>
      </c>
      <c r="E118" s="254">
        <v>7</v>
      </c>
      <c r="F118" s="254">
        <v>7</v>
      </c>
      <c r="G118" s="254">
        <v>0</v>
      </c>
      <c r="H118" s="254">
        <v>7</v>
      </c>
      <c r="I118" s="254">
        <v>7</v>
      </c>
      <c r="J118" s="255" t="s">
        <v>826</v>
      </c>
      <c r="L118" s="178" t="s">
        <v>136</v>
      </c>
      <c r="M118" s="221" t="s">
        <v>895</v>
      </c>
    </row>
    <row r="119" spans="1:13" ht="30.75" customHeight="1" x14ac:dyDescent="0.2">
      <c r="A119" s="241">
        <v>81</v>
      </c>
      <c r="B119" s="256" t="s">
        <v>939</v>
      </c>
      <c r="C119" s="256" t="s">
        <v>940</v>
      </c>
      <c r="D119" s="254" t="s">
        <v>0</v>
      </c>
      <c r="E119" s="254">
        <v>6</v>
      </c>
      <c r="F119" s="254">
        <v>6</v>
      </c>
      <c r="G119" s="254">
        <v>0</v>
      </c>
      <c r="H119" s="254">
        <v>6</v>
      </c>
      <c r="I119" s="254">
        <v>6</v>
      </c>
      <c r="J119" s="255" t="s">
        <v>826</v>
      </c>
      <c r="L119" s="178" t="s">
        <v>136</v>
      </c>
      <c r="M119" s="221" t="s">
        <v>895</v>
      </c>
    </row>
    <row r="120" spans="1:13" ht="30.75" customHeight="1" x14ac:dyDescent="0.2">
      <c r="A120" s="241">
        <v>82</v>
      </c>
      <c r="B120" s="256" t="s">
        <v>941</v>
      </c>
      <c r="C120" s="256" t="s">
        <v>942</v>
      </c>
      <c r="D120" s="254" t="s">
        <v>0</v>
      </c>
      <c r="E120" s="254">
        <v>8</v>
      </c>
      <c r="F120" s="254">
        <v>8</v>
      </c>
      <c r="G120" s="254">
        <v>0</v>
      </c>
      <c r="H120" s="254">
        <v>8</v>
      </c>
      <c r="I120" s="254">
        <v>8</v>
      </c>
      <c r="J120" s="255" t="s">
        <v>826</v>
      </c>
      <c r="L120" s="178" t="s">
        <v>136</v>
      </c>
      <c r="M120" s="221" t="s">
        <v>895</v>
      </c>
    </row>
    <row r="121" spans="1:13" ht="30.75" customHeight="1" x14ac:dyDescent="0.2">
      <c r="A121" s="241">
        <v>83</v>
      </c>
      <c r="B121" s="256" t="s">
        <v>943</v>
      </c>
      <c r="C121" s="256" t="s">
        <v>944</v>
      </c>
      <c r="D121" s="254" t="s">
        <v>0</v>
      </c>
      <c r="E121" s="254">
        <v>7</v>
      </c>
      <c r="F121" s="254">
        <v>7</v>
      </c>
      <c r="G121" s="254">
        <v>0</v>
      </c>
      <c r="H121" s="254">
        <v>7</v>
      </c>
      <c r="I121" s="254">
        <v>7</v>
      </c>
      <c r="J121" s="255" t="s">
        <v>826</v>
      </c>
      <c r="L121" s="178" t="s">
        <v>136</v>
      </c>
      <c r="M121" s="221" t="s">
        <v>895</v>
      </c>
    </row>
    <row r="1046180" spans="3:11" s="5" customFormat="1" ht="26.25" customHeight="1" x14ac:dyDescent="0.25">
      <c r="C1046180" s="23"/>
      <c r="H1046180" s="237"/>
      <c r="J1046180" s="49"/>
      <c r="K1046180" s="94"/>
    </row>
  </sheetData>
  <autoFilter ref="A21:AF100" xr:uid="{00000000-0009-0000-0000-000007000000}"/>
  <mergeCells count="7">
    <mergeCell ref="B15:J15"/>
    <mergeCell ref="A22:C22"/>
    <mergeCell ref="A10:B10"/>
    <mergeCell ref="A11:B11"/>
    <mergeCell ref="A12:B12"/>
    <mergeCell ref="H12:I12"/>
    <mergeCell ref="B14:J14"/>
  </mergeCells>
  <phoneticPr fontId="3" type="noConversion"/>
  <printOptions horizontalCentered="1"/>
  <pageMargins left="0" right="0" top="0.25" bottom="0.25" header="0.3" footer="0.3"/>
  <pageSetup scale="55" orientation="landscap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46519"/>
  <sheetViews>
    <sheetView topLeftCell="A10" zoomScale="60" zoomScaleNormal="60" workbookViewId="0">
      <pane ySplit="12" topLeftCell="A149" activePane="bottomLeft" state="frozen"/>
      <selection activeCell="A10" sqref="A10"/>
      <selection pane="bottomLeft" activeCell="A164" sqref="A164"/>
    </sheetView>
  </sheetViews>
  <sheetFormatPr defaultColWidth="9.140625" defaultRowHeight="16.5" x14ac:dyDescent="0.25"/>
  <cols>
    <col min="1" max="1" width="7" style="5" customWidth="1"/>
    <col min="2" max="2" width="28.5703125" style="5" customWidth="1"/>
    <col min="3" max="3" width="34" style="49" customWidth="1"/>
    <col min="4" max="4" width="11.7109375" style="5" customWidth="1"/>
    <col min="5" max="5" width="14" style="5" customWidth="1"/>
    <col min="6" max="7" width="11.7109375" style="5" customWidth="1"/>
    <col min="8" max="8" width="12.5703125" style="180" customWidth="1"/>
    <col min="9" max="9" width="9.5703125" style="5" customWidth="1"/>
    <col min="10" max="10" width="46.85546875" style="49" customWidth="1"/>
    <col min="11" max="11" width="12.7109375" style="94" customWidth="1"/>
    <col min="12" max="12" width="26.42578125" style="8" customWidth="1"/>
    <col min="13" max="16384" width="9.140625" style="8"/>
  </cols>
  <sheetData>
    <row r="1" spans="1:12" ht="28.5" hidden="1" customHeight="1" x14ac:dyDescent="0.25">
      <c r="A1" s="5" t="s">
        <v>8</v>
      </c>
      <c r="C1" s="87"/>
      <c r="D1" s="88"/>
      <c r="E1" s="88"/>
      <c r="F1" s="88"/>
      <c r="G1" s="88"/>
      <c r="H1" s="160"/>
      <c r="I1" s="88"/>
      <c r="J1" s="87"/>
      <c r="K1" s="91"/>
      <c r="L1" s="92"/>
    </row>
    <row r="2" spans="1:12" ht="28.5" hidden="1" customHeight="1" x14ac:dyDescent="0.25">
      <c r="A2" s="83" t="s">
        <v>9</v>
      </c>
      <c r="B2" s="83"/>
      <c r="C2" s="87"/>
      <c r="D2" s="88"/>
      <c r="E2" s="88"/>
      <c r="F2" s="88"/>
      <c r="G2" s="88"/>
      <c r="H2" s="160"/>
      <c r="I2" s="88"/>
      <c r="J2" s="87"/>
      <c r="K2" s="91"/>
      <c r="L2" s="92"/>
    </row>
    <row r="3" spans="1:12" ht="19.5" hidden="1" customHeight="1" x14ac:dyDescent="0.25">
      <c r="C3" s="87"/>
      <c r="D3" s="88"/>
      <c r="E3" s="88"/>
      <c r="F3" s="88"/>
      <c r="G3" s="88"/>
      <c r="H3" s="160"/>
      <c r="I3" s="88"/>
      <c r="J3" s="87"/>
      <c r="K3" s="91"/>
      <c r="L3" s="92"/>
    </row>
    <row r="4" spans="1:12" ht="14.25" hidden="1" customHeight="1" x14ac:dyDescent="0.25">
      <c r="C4" s="87"/>
      <c r="D4" s="88"/>
      <c r="E4" s="88"/>
      <c r="F4" s="88"/>
      <c r="G4" s="88"/>
      <c r="H4" s="160"/>
      <c r="I4" s="88"/>
      <c r="J4" s="87"/>
      <c r="K4" s="91"/>
      <c r="L4" s="92"/>
    </row>
    <row r="5" spans="1:12" ht="14.25" hidden="1" customHeight="1" x14ac:dyDescent="0.25">
      <c r="B5" s="5" t="s">
        <v>14</v>
      </c>
      <c r="C5" s="87"/>
      <c r="D5" s="88"/>
      <c r="E5" s="88"/>
      <c r="F5" s="88"/>
      <c r="G5" s="88"/>
      <c r="H5" s="160"/>
      <c r="I5" s="88"/>
      <c r="J5" s="87"/>
      <c r="K5" s="91"/>
      <c r="L5" s="92"/>
    </row>
    <row r="6" spans="1:12" ht="14.25" hidden="1" customHeight="1" x14ac:dyDescent="0.25">
      <c r="B6" s="5" t="s">
        <v>12</v>
      </c>
      <c r="C6" s="87"/>
      <c r="D6" s="88"/>
      <c r="E6" s="88"/>
      <c r="F6" s="88"/>
      <c r="G6" s="88"/>
      <c r="H6" s="160"/>
      <c r="I6" s="88"/>
      <c r="J6" s="87"/>
      <c r="K6" s="91"/>
      <c r="L6" s="92"/>
    </row>
    <row r="7" spans="1:12" ht="14.25" hidden="1" customHeight="1" x14ac:dyDescent="0.25">
      <c r="B7" s="5" t="s">
        <v>15</v>
      </c>
      <c r="C7" s="87"/>
      <c r="D7" s="88"/>
      <c r="E7" s="88"/>
      <c r="F7" s="88"/>
      <c r="G7" s="88"/>
      <c r="H7" s="160"/>
      <c r="I7" s="88"/>
      <c r="J7" s="87"/>
      <c r="K7" s="91"/>
      <c r="L7" s="92"/>
    </row>
    <row r="8" spans="1:12" ht="14.25" hidden="1" customHeight="1" x14ac:dyDescent="0.25">
      <c r="B8" s="5" t="s">
        <v>13</v>
      </c>
      <c r="C8" s="87"/>
      <c r="D8" s="88"/>
      <c r="E8" s="88"/>
      <c r="F8" s="88"/>
      <c r="G8" s="88"/>
      <c r="H8" s="160"/>
      <c r="I8" s="88"/>
      <c r="J8" s="87"/>
      <c r="K8" s="91"/>
      <c r="L8" s="92"/>
    </row>
    <row r="9" spans="1:12" ht="14.25" hidden="1" customHeight="1" x14ac:dyDescent="0.25">
      <c r="C9" s="87"/>
      <c r="D9" s="88"/>
      <c r="E9" s="88"/>
      <c r="F9" s="88"/>
      <c r="G9" s="88"/>
      <c r="H9" s="160"/>
      <c r="I9" s="88"/>
      <c r="J9" s="87"/>
      <c r="K9" s="91"/>
      <c r="L9" s="92"/>
    </row>
    <row r="10" spans="1:12" ht="45" customHeight="1" x14ac:dyDescent="0.25">
      <c r="A10" s="487" t="s">
        <v>109</v>
      </c>
      <c r="B10" s="487"/>
      <c r="C10" s="87"/>
      <c r="D10" s="88"/>
      <c r="E10" s="88"/>
      <c r="F10" s="88"/>
      <c r="G10" s="88"/>
      <c r="H10" s="160"/>
      <c r="I10" s="88"/>
      <c r="J10" s="93" t="s">
        <v>371</v>
      </c>
      <c r="L10" s="92"/>
    </row>
    <row r="11" spans="1:12" ht="18.75" x14ac:dyDescent="0.25">
      <c r="A11" s="488" t="s">
        <v>9</v>
      </c>
      <c r="B11" s="488"/>
      <c r="C11" s="95"/>
      <c r="D11" s="96"/>
      <c r="E11" s="96"/>
      <c r="F11" s="96"/>
      <c r="G11" s="96"/>
      <c r="H11" s="161"/>
      <c r="I11" s="96"/>
      <c r="J11" s="95"/>
      <c r="K11" s="99"/>
      <c r="L11" s="95"/>
    </row>
    <row r="12" spans="1:12" x14ac:dyDescent="0.25">
      <c r="A12" s="486" t="s">
        <v>738</v>
      </c>
      <c r="B12" s="486"/>
      <c r="C12" s="6"/>
      <c r="H12" s="489"/>
      <c r="I12" s="489"/>
      <c r="J12" s="101"/>
    </row>
    <row r="13" spans="1:12" x14ac:dyDescent="0.25">
      <c r="B13" s="8"/>
      <c r="C13" s="6"/>
      <c r="H13" s="101"/>
      <c r="J13" s="6"/>
    </row>
    <row r="14" spans="1:12" s="104" customFormat="1" ht="25.5" x14ac:dyDescent="0.25">
      <c r="A14" s="103"/>
      <c r="B14" s="490" t="s">
        <v>368</v>
      </c>
      <c r="C14" s="490"/>
      <c r="D14" s="490"/>
      <c r="E14" s="490"/>
      <c r="F14" s="490"/>
      <c r="G14" s="490"/>
      <c r="H14" s="490"/>
      <c r="I14" s="490"/>
      <c r="J14" s="490"/>
      <c r="K14" s="91"/>
    </row>
    <row r="15" spans="1:12" x14ac:dyDescent="0.25">
      <c r="B15" s="486" t="s">
        <v>750</v>
      </c>
      <c r="C15" s="486"/>
      <c r="D15" s="486"/>
      <c r="E15" s="486"/>
      <c r="F15" s="486"/>
      <c r="G15" s="486"/>
      <c r="H15" s="486"/>
      <c r="I15" s="486"/>
      <c r="J15" s="486"/>
      <c r="K15" s="105"/>
    </row>
    <row r="16" spans="1:12" x14ac:dyDescent="0.25">
      <c r="B16" s="8"/>
      <c r="C16" s="6"/>
      <c r="H16" s="101"/>
      <c r="J16" s="6"/>
      <c r="K16" s="105"/>
    </row>
    <row r="17" spans="1:12" x14ac:dyDescent="0.25">
      <c r="B17" s="8" t="s">
        <v>220</v>
      </c>
      <c r="C17" s="6"/>
      <c r="H17" s="101"/>
      <c r="J17" s="6" t="s">
        <v>512</v>
      </c>
      <c r="K17" s="105"/>
    </row>
    <row r="18" spans="1:12" x14ac:dyDescent="0.25">
      <c r="B18" s="8" t="s">
        <v>610</v>
      </c>
      <c r="C18" s="6"/>
      <c r="H18" s="101"/>
      <c r="J18" s="6" t="s">
        <v>513</v>
      </c>
      <c r="K18" s="105"/>
    </row>
    <row r="19" spans="1:12" x14ac:dyDescent="0.25">
      <c r="B19" s="8"/>
      <c r="C19" s="6"/>
      <c r="H19" s="101"/>
      <c r="J19" s="6" t="s">
        <v>514</v>
      </c>
      <c r="K19" s="105"/>
    </row>
    <row r="20" spans="1:12" x14ac:dyDescent="0.25">
      <c r="A20" s="106"/>
      <c r="B20" s="107"/>
      <c r="C20" s="108"/>
      <c r="D20" s="106"/>
      <c r="E20" s="106"/>
      <c r="F20" s="106"/>
      <c r="G20" s="106"/>
      <c r="H20" s="170"/>
      <c r="I20" s="106"/>
      <c r="J20" s="108"/>
      <c r="K20" s="111"/>
      <c r="L20" s="107"/>
    </row>
    <row r="21" spans="1:12" s="6" customFormat="1" ht="75" customHeight="1" x14ac:dyDescent="0.25">
      <c r="A21" s="112" t="s">
        <v>5</v>
      </c>
      <c r="B21" s="112" t="s">
        <v>10</v>
      </c>
      <c r="C21" s="112" t="s">
        <v>11</v>
      </c>
      <c r="D21" s="112" t="s">
        <v>6</v>
      </c>
      <c r="E21" s="112" t="s">
        <v>373</v>
      </c>
      <c r="F21" s="112" t="s">
        <v>404</v>
      </c>
      <c r="G21" s="112" t="s">
        <v>405</v>
      </c>
      <c r="H21" s="171" t="s">
        <v>406</v>
      </c>
      <c r="I21" s="115" t="s">
        <v>407</v>
      </c>
      <c r="J21" s="112" t="s">
        <v>408</v>
      </c>
      <c r="K21" s="116" t="s">
        <v>35</v>
      </c>
      <c r="L21" s="117" t="s">
        <v>108</v>
      </c>
    </row>
    <row r="22" spans="1:12" s="9" customFormat="1" x14ac:dyDescent="0.25">
      <c r="A22" s="61" t="s">
        <v>18</v>
      </c>
      <c r="B22" s="45"/>
      <c r="C22" s="45"/>
      <c r="D22" s="46"/>
      <c r="E22" s="46"/>
      <c r="F22" s="46"/>
      <c r="G22" s="46"/>
      <c r="H22" s="172"/>
      <c r="I22" s="46"/>
      <c r="J22" s="47"/>
      <c r="K22" s="120"/>
      <c r="L22" s="48"/>
    </row>
    <row r="23" spans="1:12" s="6" customFormat="1" ht="33" x14ac:dyDescent="0.25">
      <c r="A23" s="18">
        <v>1</v>
      </c>
      <c r="B23" s="19" t="s">
        <v>153</v>
      </c>
      <c r="C23" s="19" t="s">
        <v>54</v>
      </c>
      <c r="D23" s="20" t="s">
        <v>2</v>
      </c>
      <c r="E23" s="20">
        <v>2210</v>
      </c>
      <c r="F23" s="20">
        <v>0</v>
      </c>
      <c r="G23" s="20">
        <f>E23-F23</f>
        <v>2210</v>
      </c>
      <c r="H23" s="162">
        <v>20</v>
      </c>
      <c r="I23" s="18"/>
      <c r="J23" s="22" t="s">
        <v>55</v>
      </c>
      <c r="K23" s="123" t="s">
        <v>110</v>
      </c>
      <c r="L23" s="19" t="s">
        <v>76</v>
      </c>
    </row>
    <row r="24" spans="1:12" s="6" customFormat="1" ht="33" x14ac:dyDescent="0.25">
      <c r="A24" s="18">
        <v>2</v>
      </c>
      <c r="B24" s="19" t="s">
        <v>153</v>
      </c>
      <c r="C24" s="19" t="s">
        <v>54</v>
      </c>
      <c r="D24" s="18" t="s">
        <v>2</v>
      </c>
      <c r="E24" s="18">
        <v>2210</v>
      </c>
      <c r="F24" s="18">
        <v>0</v>
      </c>
      <c r="G24" s="20">
        <f t="shared" ref="G24:G90" si="0">E24-F24</f>
        <v>2210</v>
      </c>
      <c r="H24" s="162">
        <v>208</v>
      </c>
      <c r="I24" s="18"/>
      <c r="J24" s="23" t="s">
        <v>624</v>
      </c>
      <c r="K24" s="123">
        <v>0</v>
      </c>
      <c r="L24" s="19" t="s">
        <v>88</v>
      </c>
    </row>
    <row r="25" spans="1:12" s="6" customFormat="1" x14ac:dyDescent="0.25">
      <c r="A25" s="18">
        <v>3</v>
      </c>
      <c r="B25" s="19" t="s">
        <v>153</v>
      </c>
      <c r="C25" s="19" t="s">
        <v>54</v>
      </c>
      <c r="D25" s="18" t="s">
        <v>2</v>
      </c>
      <c r="E25" s="18">
        <v>2210</v>
      </c>
      <c r="F25" s="18">
        <v>0</v>
      </c>
      <c r="G25" s="20">
        <f t="shared" si="0"/>
        <v>2210</v>
      </c>
      <c r="H25" s="162">
        <v>90</v>
      </c>
      <c r="I25" s="18"/>
      <c r="J25" s="23" t="s">
        <v>161</v>
      </c>
      <c r="K25" s="123">
        <v>0</v>
      </c>
      <c r="L25" s="19" t="s">
        <v>140</v>
      </c>
    </row>
    <row r="26" spans="1:12" s="6" customFormat="1" ht="33" x14ac:dyDescent="0.25">
      <c r="A26" s="18">
        <v>4</v>
      </c>
      <c r="B26" s="23" t="s">
        <v>141</v>
      </c>
      <c r="C26" s="23" t="s">
        <v>142</v>
      </c>
      <c r="D26" s="18" t="s">
        <v>2</v>
      </c>
      <c r="E26" s="18">
        <v>5436</v>
      </c>
      <c r="F26" s="18">
        <f>1248*3+20+20+832*2</f>
        <v>5448</v>
      </c>
      <c r="G26" s="20">
        <f>E26-F26+832*2</f>
        <v>1652</v>
      </c>
      <c r="H26" s="155">
        <v>208</v>
      </c>
      <c r="I26" s="18"/>
      <c r="J26" s="23" t="s">
        <v>143</v>
      </c>
      <c r="K26" s="124">
        <v>4382</v>
      </c>
      <c r="L26" s="19" t="s">
        <v>140</v>
      </c>
    </row>
    <row r="27" spans="1:12" s="184" customFormat="1" x14ac:dyDescent="0.25">
      <c r="A27" s="18">
        <v>5</v>
      </c>
      <c r="B27" s="185" t="s">
        <v>141</v>
      </c>
      <c r="C27" s="185" t="s">
        <v>142</v>
      </c>
      <c r="D27" s="145" t="s">
        <v>2</v>
      </c>
      <c r="E27" s="145">
        <v>5436</v>
      </c>
      <c r="F27" s="145">
        <f>1248*3+20+20</f>
        <v>3784</v>
      </c>
      <c r="G27" s="121">
        <f t="shared" si="0"/>
        <v>1652</v>
      </c>
      <c r="H27" s="187">
        <v>0</v>
      </c>
      <c r="I27" s="85"/>
      <c r="J27" s="185" t="s">
        <v>730</v>
      </c>
      <c r="K27" s="186">
        <v>4382</v>
      </c>
      <c r="L27" s="182" t="s">
        <v>731</v>
      </c>
    </row>
    <row r="28" spans="1:12" s="6" customFormat="1" x14ac:dyDescent="0.25">
      <c r="A28" s="18">
        <v>6</v>
      </c>
      <c r="B28" s="23" t="s">
        <v>158</v>
      </c>
      <c r="C28" s="23" t="s">
        <v>159</v>
      </c>
      <c r="D28" s="18" t="s">
        <v>2</v>
      </c>
      <c r="E28" s="18">
        <v>715</v>
      </c>
      <c r="F28" s="18">
        <v>559</v>
      </c>
      <c r="G28" s="20">
        <f t="shared" si="0"/>
        <v>156</v>
      </c>
      <c r="H28" s="155">
        <v>60</v>
      </c>
      <c r="I28" s="18"/>
      <c r="J28" s="23" t="s">
        <v>160</v>
      </c>
      <c r="K28" s="124">
        <v>559</v>
      </c>
      <c r="L28" s="19" t="s">
        <v>140</v>
      </c>
    </row>
    <row r="29" spans="1:12" s="6" customFormat="1" ht="49.5" x14ac:dyDescent="0.25">
      <c r="A29" s="18">
        <v>7</v>
      </c>
      <c r="B29" s="23" t="s">
        <v>162</v>
      </c>
      <c r="C29" s="23" t="s">
        <v>163</v>
      </c>
      <c r="D29" s="20" t="s">
        <v>66</v>
      </c>
      <c r="E29" s="20">
        <v>720</v>
      </c>
      <c r="F29" s="20">
        <v>1813</v>
      </c>
      <c r="G29" s="20">
        <v>0</v>
      </c>
      <c r="H29" s="155">
        <v>600</v>
      </c>
      <c r="I29" s="18"/>
      <c r="J29" s="23" t="s">
        <v>183</v>
      </c>
      <c r="K29" s="124" t="s">
        <v>110</v>
      </c>
      <c r="L29" s="19" t="s">
        <v>140</v>
      </c>
    </row>
    <row r="30" spans="1:12" s="184" customFormat="1" ht="33" x14ac:dyDescent="0.25">
      <c r="A30" s="18">
        <v>8</v>
      </c>
      <c r="B30" s="185" t="s">
        <v>162</v>
      </c>
      <c r="C30" s="185" t="s">
        <v>163</v>
      </c>
      <c r="D30" s="121" t="s">
        <v>66</v>
      </c>
      <c r="E30" s="121">
        <v>720</v>
      </c>
      <c r="F30" s="121">
        <v>1813</v>
      </c>
      <c r="G30" s="121">
        <v>0</v>
      </c>
      <c r="H30" s="85">
        <v>690</v>
      </c>
      <c r="I30" s="145"/>
      <c r="J30" s="185" t="s">
        <v>403</v>
      </c>
      <c r="K30" s="186" t="s">
        <v>110</v>
      </c>
      <c r="L30" s="182" t="s">
        <v>140</v>
      </c>
    </row>
    <row r="31" spans="1:12" s="6" customFormat="1" ht="41.25" customHeight="1" x14ac:dyDescent="0.25">
      <c r="A31" s="18">
        <v>9</v>
      </c>
      <c r="B31" s="23" t="s">
        <v>515</v>
      </c>
      <c r="C31" s="23" t="s">
        <v>516</v>
      </c>
      <c r="D31" s="18" t="s">
        <v>2</v>
      </c>
      <c r="E31" s="18">
        <v>660</v>
      </c>
      <c r="F31" s="18">
        <v>209</v>
      </c>
      <c r="G31" s="20">
        <f t="shared" si="0"/>
        <v>451</v>
      </c>
      <c r="H31" s="165">
        <v>209</v>
      </c>
      <c r="I31" s="18"/>
      <c r="J31" s="23" t="s">
        <v>517</v>
      </c>
      <c r="K31" s="123"/>
      <c r="L31" s="23" t="s">
        <v>88</v>
      </c>
    </row>
    <row r="32" spans="1:12" s="6" customFormat="1" ht="33" x14ac:dyDescent="0.25">
      <c r="A32" s="18">
        <v>10</v>
      </c>
      <c r="B32" s="23" t="s">
        <v>444</v>
      </c>
      <c r="C32" s="23" t="s">
        <v>633</v>
      </c>
      <c r="D32" s="18" t="s">
        <v>2</v>
      </c>
      <c r="E32" s="18">
        <v>927</v>
      </c>
      <c r="F32" s="18">
        <f>30+650</f>
        <v>680</v>
      </c>
      <c r="G32" s="20">
        <f t="shared" si="0"/>
        <v>247</v>
      </c>
      <c r="H32" s="155">
        <v>1000</v>
      </c>
      <c r="I32" s="18"/>
      <c r="J32" s="22" t="s">
        <v>780</v>
      </c>
      <c r="K32" s="123">
        <v>1100</v>
      </c>
      <c r="L32" s="23" t="s">
        <v>140</v>
      </c>
    </row>
    <row r="33" spans="1:12" s="6" customFormat="1" ht="33" x14ac:dyDescent="0.25">
      <c r="A33" s="18">
        <v>11</v>
      </c>
      <c r="B33" s="23" t="s">
        <v>24</v>
      </c>
      <c r="C33" s="23" t="s">
        <v>7</v>
      </c>
      <c r="D33" s="18" t="s">
        <v>2</v>
      </c>
      <c r="E33" s="18">
        <v>418</v>
      </c>
      <c r="F33" s="18">
        <v>30</v>
      </c>
      <c r="G33" s="20">
        <f t="shared" si="0"/>
        <v>388</v>
      </c>
      <c r="H33" s="155">
        <v>100</v>
      </c>
      <c r="I33" s="18"/>
      <c r="J33" s="22" t="s">
        <v>105</v>
      </c>
      <c r="K33" s="124">
        <v>190</v>
      </c>
      <c r="L33" s="19" t="s">
        <v>104</v>
      </c>
    </row>
    <row r="34" spans="1:12" s="6" customFormat="1" x14ac:dyDescent="0.25">
      <c r="A34" s="18">
        <v>12</v>
      </c>
      <c r="B34" s="23" t="s">
        <v>77</v>
      </c>
      <c r="C34" s="23" t="s">
        <v>78</v>
      </c>
      <c r="D34" s="20" t="s">
        <v>2</v>
      </c>
      <c r="E34" s="20">
        <v>1512</v>
      </c>
      <c r="F34" s="20">
        <v>832</v>
      </c>
      <c r="G34" s="20">
        <f t="shared" si="0"/>
        <v>680</v>
      </c>
      <c r="H34" s="155">
        <v>208</v>
      </c>
      <c r="I34" s="18"/>
      <c r="J34" s="23" t="s">
        <v>288</v>
      </c>
      <c r="K34" s="124">
        <v>1076</v>
      </c>
      <c r="L34" s="19" t="s">
        <v>88</v>
      </c>
    </row>
    <row r="35" spans="1:12" s="6" customFormat="1" ht="49.5" x14ac:dyDescent="0.25">
      <c r="A35" s="18">
        <v>13</v>
      </c>
      <c r="B35" s="23" t="s">
        <v>3</v>
      </c>
      <c r="C35" s="23" t="s">
        <v>4</v>
      </c>
      <c r="D35" s="18" t="s">
        <v>2</v>
      </c>
      <c r="E35" s="18">
        <v>1725</v>
      </c>
      <c r="F35" s="18">
        <f>100*2+400+40+100</f>
        <v>740</v>
      </c>
      <c r="G35" s="20">
        <f t="shared" si="0"/>
        <v>985</v>
      </c>
      <c r="H35" s="155">
        <v>208</v>
      </c>
      <c r="I35" s="18"/>
      <c r="J35" s="23" t="s">
        <v>777</v>
      </c>
      <c r="K35" s="124">
        <v>2703</v>
      </c>
      <c r="L35" s="19" t="s">
        <v>88</v>
      </c>
    </row>
    <row r="36" spans="1:12" s="6" customFormat="1" ht="33" x14ac:dyDescent="0.25">
      <c r="A36" s="18">
        <v>14</v>
      </c>
      <c r="B36" s="23" t="s">
        <v>3</v>
      </c>
      <c r="C36" s="23" t="s">
        <v>4</v>
      </c>
      <c r="D36" s="145" t="s">
        <v>2</v>
      </c>
      <c r="E36" s="18">
        <v>1725</v>
      </c>
      <c r="F36" s="18"/>
      <c r="G36" s="20"/>
      <c r="H36" s="155">
        <v>500</v>
      </c>
      <c r="I36" s="18"/>
      <c r="J36" s="23" t="s">
        <v>36</v>
      </c>
      <c r="K36" s="124"/>
      <c r="L36" s="19" t="s">
        <v>104</v>
      </c>
    </row>
    <row r="37" spans="1:12" s="6" customFormat="1" x14ac:dyDescent="0.25">
      <c r="A37" s="18">
        <v>15</v>
      </c>
      <c r="B37" s="23" t="s">
        <v>16</v>
      </c>
      <c r="C37" s="23" t="s">
        <v>164</v>
      </c>
      <c r="D37" s="18" t="s">
        <v>2</v>
      </c>
      <c r="E37" s="18">
        <v>550</v>
      </c>
      <c r="F37" s="18">
        <v>0</v>
      </c>
      <c r="G37" s="20">
        <f t="shared" si="0"/>
        <v>550</v>
      </c>
      <c r="H37" s="155">
        <v>50</v>
      </c>
      <c r="I37" s="18"/>
      <c r="J37" s="22" t="s">
        <v>165</v>
      </c>
      <c r="K37" s="124">
        <v>0</v>
      </c>
      <c r="L37" s="19" t="s">
        <v>140</v>
      </c>
    </row>
    <row r="38" spans="1:12" s="6" customFormat="1" ht="49.5" x14ac:dyDescent="0.25">
      <c r="A38" s="18">
        <v>16</v>
      </c>
      <c r="B38" s="23" t="s">
        <v>85</v>
      </c>
      <c r="C38" s="23" t="s">
        <v>86</v>
      </c>
      <c r="D38" s="18" t="s">
        <v>2</v>
      </c>
      <c r="E38" s="18">
        <v>4081</v>
      </c>
      <c r="F38" s="18">
        <f>860+200+600</f>
        <v>1660</v>
      </c>
      <c r="G38" s="20">
        <f t="shared" si="0"/>
        <v>2421</v>
      </c>
      <c r="H38" s="156">
        <v>208</v>
      </c>
      <c r="I38" s="18"/>
      <c r="J38" s="23" t="s">
        <v>219</v>
      </c>
      <c r="K38" s="124">
        <v>6843</v>
      </c>
      <c r="L38" s="19" t="s">
        <v>88</v>
      </c>
    </row>
    <row r="39" spans="1:12" s="6" customFormat="1" ht="33" x14ac:dyDescent="0.25">
      <c r="A39" s="18">
        <v>17</v>
      </c>
      <c r="B39" s="23" t="s">
        <v>83</v>
      </c>
      <c r="C39" s="23" t="s">
        <v>84</v>
      </c>
      <c r="D39" s="18" t="s">
        <v>2</v>
      </c>
      <c r="E39" s="18">
        <v>2178</v>
      </c>
      <c r="F39" s="18">
        <f>80+400</f>
        <v>480</v>
      </c>
      <c r="G39" s="20">
        <f t="shared" si="0"/>
        <v>1698</v>
      </c>
      <c r="H39" s="155">
        <v>208</v>
      </c>
      <c r="I39" s="18"/>
      <c r="J39" s="23" t="s">
        <v>778</v>
      </c>
      <c r="K39" s="124">
        <v>0</v>
      </c>
      <c r="L39" s="23" t="s">
        <v>732</v>
      </c>
    </row>
    <row r="40" spans="1:12" s="6" customFormat="1" ht="33" x14ac:dyDescent="0.25">
      <c r="A40" s="18">
        <v>18</v>
      </c>
      <c r="B40" s="79" t="s">
        <v>634</v>
      </c>
      <c r="C40" s="79" t="s">
        <v>635</v>
      </c>
      <c r="D40" s="20" t="s">
        <v>636</v>
      </c>
      <c r="E40" s="18"/>
      <c r="F40" s="18"/>
      <c r="G40" s="20">
        <f t="shared" si="0"/>
        <v>0</v>
      </c>
      <c r="H40" s="155">
        <v>50</v>
      </c>
      <c r="I40" s="18"/>
      <c r="J40" s="22" t="s">
        <v>637</v>
      </c>
      <c r="K40" s="124"/>
      <c r="L40" s="19" t="s">
        <v>140</v>
      </c>
    </row>
    <row r="41" spans="1:12" s="184" customFormat="1" ht="49.5" x14ac:dyDescent="0.25">
      <c r="A41" s="18">
        <v>19</v>
      </c>
      <c r="B41" s="185" t="s">
        <v>83</v>
      </c>
      <c r="C41" s="185" t="s">
        <v>84</v>
      </c>
      <c r="D41" s="145" t="s">
        <v>2</v>
      </c>
      <c r="E41" s="145">
        <v>2178</v>
      </c>
      <c r="F41" s="145">
        <v>1200</v>
      </c>
      <c r="G41" s="121">
        <f t="shared" si="0"/>
        <v>978</v>
      </c>
      <c r="H41" s="85">
        <v>400</v>
      </c>
      <c r="I41" s="145"/>
      <c r="J41" s="185" t="s">
        <v>402</v>
      </c>
      <c r="K41" s="186">
        <v>0</v>
      </c>
      <c r="L41" s="182"/>
    </row>
    <row r="42" spans="1:12" s="184" customFormat="1" ht="33" x14ac:dyDescent="0.25">
      <c r="A42" s="18">
        <v>20</v>
      </c>
      <c r="B42" s="185" t="s">
        <v>83</v>
      </c>
      <c r="C42" s="185" t="s">
        <v>84</v>
      </c>
      <c r="D42" s="145" t="s">
        <v>2</v>
      </c>
      <c r="E42" s="145">
        <v>2178</v>
      </c>
      <c r="F42" s="145">
        <v>1200</v>
      </c>
      <c r="G42" s="121">
        <f t="shared" si="0"/>
        <v>978</v>
      </c>
      <c r="H42" s="85">
        <v>400</v>
      </c>
      <c r="I42" s="145"/>
      <c r="J42" s="185" t="s">
        <v>734</v>
      </c>
      <c r="K42" s="189">
        <v>0</v>
      </c>
      <c r="L42" s="190" t="s">
        <v>733</v>
      </c>
    </row>
    <row r="43" spans="1:12" s="6" customFormat="1" ht="33" x14ac:dyDescent="0.25">
      <c r="A43" s="18">
        <v>21</v>
      </c>
      <c r="B43" s="23" t="s">
        <v>415</v>
      </c>
      <c r="C43" s="23" t="s">
        <v>175</v>
      </c>
      <c r="D43" s="18" t="s">
        <v>66</v>
      </c>
      <c r="E43" s="18">
        <v>9530</v>
      </c>
      <c r="F43" s="18">
        <f>170*3+1020+1530</f>
        <v>3060</v>
      </c>
      <c r="G43" s="20">
        <f>E43-F43+1530</f>
        <v>8000</v>
      </c>
      <c r="H43" s="165">
        <f>170*7</f>
        <v>1190</v>
      </c>
      <c r="I43" s="18"/>
      <c r="J43" s="23" t="s">
        <v>767</v>
      </c>
      <c r="K43" s="129">
        <v>2550</v>
      </c>
      <c r="L43" s="75" t="s">
        <v>76</v>
      </c>
    </row>
    <row r="44" spans="1:12" s="6" customFormat="1" ht="33" x14ac:dyDescent="0.25">
      <c r="A44" s="18">
        <v>22</v>
      </c>
      <c r="B44" s="23" t="s">
        <v>203</v>
      </c>
      <c r="C44" s="23" t="s">
        <v>204</v>
      </c>
      <c r="D44" s="18" t="s">
        <v>2</v>
      </c>
      <c r="E44" s="18">
        <v>1256</v>
      </c>
      <c r="F44" s="18">
        <v>416</v>
      </c>
      <c r="G44" s="20">
        <f t="shared" si="0"/>
        <v>840</v>
      </c>
      <c r="H44" s="165">
        <v>208</v>
      </c>
      <c r="I44" s="18"/>
      <c r="J44" s="23" t="s">
        <v>510</v>
      </c>
      <c r="K44" s="123">
        <v>1210</v>
      </c>
      <c r="L44" s="23" t="s">
        <v>88</v>
      </c>
    </row>
    <row r="45" spans="1:12" s="6" customFormat="1" ht="49.5" x14ac:dyDescent="0.25">
      <c r="A45" s="18">
        <v>23</v>
      </c>
      <c r="B45" s="23" t="s">
        <v>79</v>
      </c>
      <c r="C45" s="23" t="s">
        <v>80</v>
      </c>
      <c r="D45" s="18" t="s">
        <v>2</v>
      </c>
      <c r="E45" s="18">
        <v>2400</v>
      </c>
      <c r="F45" s="18">
        <f>20+209</f>
        <v>229</v>
      </c>
      <c r="G45" s="20">
        <f t="shared" si="0"/>
        <v>2171</v>
      </c>
      <c r="H45" s="155">
        <v>209</v>
      </c>
      <c r="I45" s="18"/>
      <c r="J45" s="23" t="s">
        <v>511</v>
      </c>
      <c r="K45" s="124">
        <v>500</v>
      </c>
      <c r="L45" s="19" t="s">
        <v>88</v>
      </c>
    </row>
    <row r="46" spans="1:12" s="6" customFormat="1" ht="33" x14ac:dyDescent="0.25">
      <c r="A46" s="18">
        <v>24</v>
      </c>
      <c r="B46" s="23" t="s">
        <v>56</v>
      </c>
      <c r="C46" s="23" t="s">
        <v>57</v>
      </c>
      <c r="D46" s="18" t="s">
        <v>2</v>
      </c>
      <c r="E46" s="18">
        <v>2318</v>
      </c>
      <c r="F46" s="18">
        <f>2116+20</f>
        <v>2136</v>
      </c>
      <c r="G46" s="20">
        <f t="shared" si="0"/>
        <v>182</v>
      </c>
      <c r="H46" s="155">
        <v>208</v>
      </c>
      <c r="I46" s="18"/>
      <c r="J46" s="23" t="s">
        <v>217</v>
      </c>
      <c r="K46" s="124"/>
      <c r="L46" s="19" t="s">
        <v>88</v>
      </c>
    </row>
    <row r="47" spans="1:12" s="6" customFormat="1" ht="33" x14ac:dyDescent="0.25">
      <c r="A47" s="18">
        <v>25</v>
      </c>
      <c r="B47" s="23" t="s">
        <v>447</v>
      </c>
      <c r="C47" s="23" t="s">
        <v>701</v>
      </c>
      <c r="D47" s="18" t="s">
        <v>2</v>
      </c>
      <c r="E47" s="18">
        <v>257.89999999999998</v>
      </c>
      <c r="F47" s="18">
        <v>65</v>
      </c>
      <c r="G47" s="20">
        <f t="shared" si="0"/>
        <v>192.89999999999998</v>
      </c>
      <c r="H47" s="155">
        <v>60</v>
      </c>
      <c r="I47" s="18"/>
      <c r="J47" s="23" t="s">
        <v>779</v>
      </c>
      <c r="K47" s="124"/>
      <c r="L47" s="19" t="s">
        <v>140</v>
      </c>
    </row>
    <row r="48" spans="1:12" s="6" customFormat="1" x14ac:dyDescent="0.25">
      <c r="A48" s="18">
        <v>26</v>
      </c>
      <c r="B48" s="23" t="s">
        <v>25</v>
      </c>
      <c r="C48" s="23" t="s">
        <v>703</v>
      </c>
      <c r="D48" s="18" t="s">
        <v>2</v>
      </c>
      <c r="E48" s="18">
        <v>92</v>
      </c>
      <c r="F48" s="18">
        <v>32</v>
      </c>
      <c r="G48" s="20">
        <f t="shared" si="0"/>
        <v>60</v>
      </c>
      <c r="H48" s="155">
        <v>80</v>
      </c>
      <c r="I48" s="18"/>
      <c r="J48" s="23" t="s">
        <v>704</v>
      </c>
      <c r="K48" s="124"/>
      <c r="L48" s="19" t="s">
        <v>88</v>
      </c>
    </row>
    <row r="49" spans="1:12" s="184" customFormat="1" ht="33" x14ac:dyDescent="0.25">
      <c r="A49" s="18">
        <v>27</v>
      </c>
      <c r="B49" s="185" t="s">
        <v>705</v>
      </c>
      <c r="C49" s="185" t="s">
        <v>706</v>
      </c>
      <c r="D49" s="145" t="s">
        <v>2</v>
      </c>
      <c r="E49" s="145">
        <v>0</v>
      </c>
      <c r="F49" s="145">
        <v>0</v>
      </c>
      <c r="G49" s="121">
        <f t="shared" si="0"/>
        <v>0</v>
      </c>
      <c r="H49" s="85">
        <v>100</v>
      </c>
      <c r="I49" s="145"/>
      <c r="J49" s="185" t="s">
        <v>707</v>
      </c>
      <c r="K49" s="186"/>
      <c r="L49" s="182" t="s">
        <v>88</v>
      </c>
    </row>
    <row r="50" spans="1:12" s="6" customFormat="1" ht="33" x14ac:dyDescent="0.25">
      <c r="A50" s="18">
        <v>28</v>
      </c>
      <c r="B50" s="23" t="s">
        <v>46</v>
      </c>
      <c r="C50" s="23" t="s">
        <v>47</v>
      </c>
      <c r="D50" s="18" t="s">
        <v>2</v>
      </c>
      <c r="E50" s="18">
        <v>662</v>
      </c>
      <c r="F50" s="18">
        <v>0</v>
      </c>
      <c r="G50" s="20">
        <f t="shared" si="0"/>
        <v>662</v>
      </c>
      <c r="H50" s="162">
        <v>50</v>
      </c>
      <c r="I50" s="18"/>
      <c r="J50" s="22" t="s">
        <v>775</v>
      </c>
      <c r="K50" s="123" t="s">
        <v>110</v>
      </c>
      <c r="L50" s="19" t="s">
        <v>48</v>
      </c>
    </row>
    <row r="51" spans="1:12" s="6" customFormat="1" ht="49.5" x14ac:dyDescent="0.25">
      <c r="A51" s="18">
        <v>29</v>
      </c>
      <c r="B51" s="19" t="s">
        <v>52</v>
      </c>
      <c r="C51" s="23" t="s">
        <v>53</v>
      </c>
      <c r="D51" s="20" t="s">
        <v>2</v>
      </c>
      <c r="E51" s="20">
        <v>2720</v>
      </c>
      <c r="F51" s="20">
        <v>1200</v>
      </c>
      <c r="G51" s="20">
        <f t="shared" si="0"/>
        <v>1520</v>
      </c>
      <c r="H51" s="162">
        <v>200</v>
      </c>
      <c r="I51" s="18"/>
      <c r="J51" s="23" t="s">
        <v>152</v>
      </c>
      <c r="K51" s="123" t="s">
        <v>110</v>
      </c>
      <c r="L51" s="19" t="s">
        <v>76</v>
      </c>
    </row>
    <row r="52" spans="1:12" s="6" customFormat="1" ht="115.5" x14ac:dyDescent="0.25">
      <c r="A52" s="18">
        <v>30</v>
      </c>
      <c r="B52" s="23" t="s">
        <v>81</v>
      </c>
      <c r="C52" s="23" t="s">
        <v>82</v>
      </c>
      <c r="D52" s="18" t="s">
        <v>66</v>
      </c>
      <c r="E52" s="18">
        <v>22078</v>
      </c>
      <c r="F52" s="18">
        <f>16455+180*6+225</f>
        <v>17760</v>
      </c>
      <c r="G52" s="20">
        <f>E52-F52</f>
        <v>4318</v>
      </c>
      <c r="H52" s="156">
        <v>3000</v>
      </c>
      <c r="I52" s="18"/>
      <c r="J52" s="23" t="s">
        <v>87</v>
      </c>
      <c r="K52" s="124">
        <v>9385</v>
      </c>
      <c r="L52" s="19" t="s">
        <v>88</v>
      </c>
    </row>
    <row r="53" spans="1:12" s="6" customFormat="1" x14ac:dyDescent="0.25">
      <c r="A53" s="18">
        <v>31</v>
      </c>
      <c r="B53" s="23" t="s">
        <v>495</v>
      </c>
      <c r="C53" s="23" t="s">
        <v>496</v>
      </c>
      <c r="D53" s="18" t="s">
        <v>2</v>
      </c>
      <c r="E53" s="18">
        <v>482.6</v>
      </c>
      <c r="F53" s="18">
        <v>329</v>
      </c>
      <c r="G53" s="20">
        <f t="shared" si="0"/>
        <v>153.60000000000002</v>
      </c>
      <c r="H53" s="156">
        <v>208</v>
      </c>
      <c r="I53" s="18"/>
      <c r="J53" s="23" t="s">
        <v>509</v>
      </c>
      <c r="K53" s="124">
        <v>713</v>
      </c>
      <c r="L53" s="19" t="s">
        <v>88</v>
      </c>
    </row>
    <row r="54" spans="1:12" s="195" customFormat="1" x14ac:dyDescent="0.25">
      <c r="A54" s="191" t="s">
        <v>19</v>
      </c>
      <c r="B54" s="191"/>
      <c r="C54" s="191"/>
      <c r="D54" s="192"/>
      <c r="E54" s="192"/>
      <c r="F54" s="192"/>
      <c r="G54" s="121">
        <f t="shared" si="0"/>
        <v>0</v>
      </c>
      <c r="H54" s="193"/>
      <c r="I54" s="192"/>
      <c r="J54" s="191"/>
      <c r="K54" s="194"/>
      <c r="L54" s="191"/>
    </row>
    <row r="55" spans="1:12" s="184" customFormat="1" ht="33" x14ac:dyDescent="0.25">
      <c r="A55" s="145">
        <v>1</v>
      </c>
      <c r="B55" s="185" t="s">
        <v>111</v>
      </c>
      <c r="C55" s="185" t="s">
        <v>58</v>
      </c>
      <c r="D55" s="145" t="s">
        <v>0</v>
      </c>
      <c r="E55" s="145">
        <v>92</v>
      </c>
      <c r="F55" s="145">
        <v>39</v>
      </c>
      <c r="G55" s="121">
        <f t="shared" si="0"/>
        <v>53</v>
      </c>
      <c r="H55" s="130">
        <v>10</v>
      </c>
      <c r="I55" s="145"/>
      <c r="J55" s="185" t="s">
        <v>698</v>
      </c>
      <c r="K55" s="183">
        <v>8</v>
      </c>
      <c r="L55" s="182" t="s">
        <v>178</v>
      </c>
    </row>
    <row r="56" spans="1:12" s="184" customFormat="1" ht="82.5" x14ac:dyDescent="0.25">
      <c r="A56" s="145">
        <v>2</v>
      </c>
      <c r="B56" s="185" t="s">
        <v>450</v>
      </c>
      <c r="C56" s="185" t="s">
        <v>451</v>
      </c>
      <c r="D56" s="145" t="s">
        <v>0</v>
      </c>
      <c r="E56" s="145">
        <v>0</v>
      </c>
      <c r="F56" s="145">
        <v>0</v>
      </c>
      <c r="G56" s="121">
        <f t="shared" si="0"/>
        <v>0</v>
      </c>
      <c r="H56" s="130">
        <v>2</v>
      </c>
      <c r="I56" s="145"/>
      <c r="J56" s="188" t="s">
        <v>452</v>
      </c>
      <c r="K56" s="183"/>
      <c r="L56" s="182" t="s">
        <v>140</v>
      </c>
    </row>
    <row r="57" spans="1:12" s="184" customFormat="1" ht="99" x14ac:dyDescent="0.25">
      <c r="A57" s="145">
        <v>3</v>
      </c>
      <c r="B57" s="185" t="s">
        <v>453</v>
      </c>
      <c r="C57" s="185" t="s">
        <v>454</v>
      </c>
      <c r="D57" s="145" t="s">
        <v>0</v>
      </c>
      <c r="E57" s="145">
        <v>0</v>
      </c>
      <c r="F57" s="145">
        <v>0</v>
      </c>
      <c r="G57" s="121">
        <f t="shared" si="0"/>
        <v>0</v>
      </c>
      <c r="H57" s="130">
        <v>2</v>
      </c>
      <c r="I57" s="145"/>
      <c r="J57" s="188" t="s">
        <v>455</v>
      </c>
      <c r="K57" s="183"/>
      <c r="L57" s="182" t="s">
        <v>140</v>
      </c>
    </row>
    <row r="58" spans="1:12" s="6" customFormat="1" ht="82.5" x14ac:dyDescent="0.25">
      <c r="A58" s="145">
        <v>4</v>
      </c>
      <c r="B58" s="23" t="s">
        <v>456</v>
      </c>
      <c r="C58" s="23" t="s">
        <v>457</v>
      </c>
      <c r="D58" s="18" t="s">
        <v>0</v>
      </c>
      <c r="E58" s="18">
        <v>0</v>
      </c>
      <c r="F58" s="18">
        <v>0</v>
      </c>
      <c r="G58" s="20">
        <f t="shared" si="0"/>
        <v>0</v>
      </c>
      <c r="H58" s="164">
        <v>2</v>
      </c>
      <c r="I58" s="18"/>
      <c r="J58" s="79" t="s">
        <v>458</v>
      </c>
      <c r="K58" s="123"/>
      <c r="L58" s="19" t="s">
        <v>140</v>
      </c>
    </row>
    <row r="59" spans="1:12" s="6" customFormat="1" ht="66" x14ac:dyDescent="0.25">
      <c r="A59" s="145">
        <v>5</v>
      </c>
      <c r="B59" s="23" t="s">
        <v>113</v>
      </c>
      <c r="C59" s="23" t="s">
        <v>61</v>
      </c>
      <c r="D59" s="18" t="s">
        <v>0</v>
      </c>
      <c r="E59" s="18">
        <v>28</v>
      </c>
      <c r="F59" s="18">
        <v>10</v>
      </c>
      <c r="G59" s="20">
        <f t="shared" si="0"/>
        <v>18</v>
      </c>
      <c r="H59" s="164">
        <v>3</v>
      </c>
      <c r="I59" s="18"/>
      <c r="J59" s="23" t="s">
        <v>769</v>
      </c>
      <c r="K59" s="124" t="s">
        <v>110</v>
      </c>
      <c r="L59" s="19" t="s">
        <v>76</v>
      </c>
    </row>
    <row r="60" spans="1:12" s="6" customFormat="1" ht="49.5" x14ac:dyDescent="0.25">
      <c r="A60" s="145">
        <v>6</v>
      </c>
      <c r="B60" s="23" t="s">
        <v>115</v>
      </c>
      <c r="C60" s="23" t="s">
        <v>423</v>
      </c>
      <c r="D60" s="18" t="s">
        <v>0</v>
      </c>
      <c r="E60" s="18">
        <v>10</v>
      </c>
      <c r="F60" s="18">
        <v>4</v>
      </c>
      <c r="G60" s="20">
        <f t="shared" si="0"/>
        <v>6</v>
      </c>
      <c r="H60" s="164">
        <v>1</v>
      </c>
      <c r="I60" s="18"/>
      <c r="J60" s="23" t="s">
        <v>771</v>
      </c>
      <c r="K60" s="124"/>
      <c r="L60" s="19"/>
    </row>
    <row r="61" spans="1:12" s="184" customFormat="1" ht="33" x14ac:dyDescent="0.25">
      <c r="A61" s="145">
        <v>7</v>
      </c>
      <c r="B61" s="185" t="s">
        <v>113</v>
      </c>
      <c r="C61" s="185" t="s">
        <v>170</v>
      </c>
      <c r="D61" s="145" t="s">
        <v>172</v>
      </c>
      <c r="E61" s="145">
        <v>28</v>
      </c>
      <c r="F61" s="145">
        <v>10</v>
      </c>
      <c r="G61" s="121">
        <f t="shared" si="0"/>
        <v>18</v>
      </c>
      <c r="H61" s="130">
        <v>1</v>
      </c>
      <c r="I61" s="145"/>
      <c r="J61" s="185" t="s">
        <v>173</v>
      </c>
      <c r="K61" s="186" t="s">
        <v>110</v>
      </c>
      <c r="L61" s="182" t="s">
        <v>76</v>
      </c>
    </row>
    <row r="62" spans="1:12" s="6" customFormat="1" ht="66" x14ac:dyDescent="0.25">
      <c r="A62" s="145">
        <v>8</v>
      </c>
      <c r="B62" s="23" t="s">
        <v>112</v>
      </c>
      <c r="C62" s="23" t="s">
        <v>60</v>
      </c>
      <c r="D62" s="18" t="s">
        <v>172</v>
      </c>
      <c r="E62" s="18">
        <v>20</v>
      </c>
      <c r="F62" s="18">
        <v>6</v>
      </c>
      <c r="G62" s="20">
        <f t="shared" si="0"/>
        <v>14</v>
      </c>
      <c r="H62" s="164">
        <v>14</v>
      </c>
      <c r="I62" s="18"/>
      <c r="J62" s="23" t="s">
        <v>768</v>
      </c>
      <c r="K62" s="124">
        <v>10</v>
      </c>
      <c r="L62" s="19" t="s">
        <v>76</v>
      </c>
    </row>
    <row r="63" spans="1:12" s="6" customFormat="1" ht="66" x14ac:dyDescent="0.25">
      <c r="A63" s="145">
        <v>9</v>
      </c>
      <c r="B63" s="23" t="s">
        <v>114</v>
      </c>
      <c r="C63" s="23" t="s">
        <v>171</v>
      </c>
      <c r="D63" s="18" t="s">
        <v>0</v>
      </c>
      <c r="E63" s="18">
        <v>20</v>
      </c>
      <c r="F63" s="18">
        <v>11</v>
      </c>
      <c r="G63" s="20">
        <f t="shared" si="0"/>
        <v>9</v>
      </c>
      <c r="H63" s="164">
        <v>2</v>
      </c>
      <c r="I63" s="18"/>
      <c r="J63" s="23" t="s">
        <v>770</v>
      </c>
      <c r="K63" s="124">
        <v>3</v>
      </c>
      <c r="L63" s="19" t="s">
        <v>76</v>
      </c>
    </row>
    <row r="64" spans="1:12" s="184" customFormat="1" ht="66" x14ac:dyDescent="0.25">
      <c r="A64" s="145">
        <v>10</v>
      </c>
      <c r="B64" s="185" t="s">
        <v>114</v>
      </c>
      <c r="C64" s="185" t="s">
        <v>62</v>
      </c>
      <c r="D64" s="145" t="s">
        <v>0</v>
      </c>
      <c r="E64" s="145">
        <v>20</v>
      </c>
      <c r="F64" s="145">
        <v>11</v>
      </c>
      <c r="G64" s="121">
        <f t="shared" si="0"/>
        <v>9</v>
      </c>
      <c r="H64" s="130">
        <v>2</v>
      </c>
      <c r="I64" s="145"/>
      <c r="J64" s="185" t="s">
        <v>613</v>
      </c>
      <c r="K64" s="183">
        <v>4</v>
      </c>
      <c r="L64" s="182" t="s">
        <v>76</v>
      </c>
    </row>
    <row r="65" spans="1:12" s="184" customFormat="1" ht="115.5" x14ac:dyDescent="0.25">
      <c r="A65" s="145">
        <v>11</v>
      </c>
      <c r="B65" s="185" t="s">
        <v>116</v>
      </c>
      <c r="C65" s="185" t="s">
        <v>64</v>
      </c>
      <c r="D65" s="145" t="s">
        <v>0</v>
      </c>
      <c r="E65" s="145">
        <v>80</v>
      </c>
      <c r="F65" s="145">
        <v>46</v>
      </c>
      <c r="G65" s="121">
        <f t="shared" si="0"/>
        <v>34</v>
      </c>
      <c r="H65" s="130">
        <v>10</v>
      </c>
      <c r="I65" s="145"/>
      <c r="J65" s="185" t="s">
        <v>614</v>
      </c>
      <c r="K65" s="183">
        <v>2</v>
      </c>
      <c r="L65" s="182" t="s">
        <v>76</v>
      </c>
    </row>
    <row r="66" spans="1:12" s="6" customFormat="1" ht="82.5" x14ac:dyDescent="0.25">
      <c r="A66" s="145">
        <v>12</v>
      </c>
      <c r="B66" s="23" t="s">
        <v>295</v>
      </c>
      <c r="C66" s="23" t="s">
        <v>296</v>
      </c>
      <c r="D66" s="18" t="s">
        <v>0</v>
      </c>
      <c r="E66" s="18">
        <v>18</v>
      </c>
      <c r="F66" s="18">
        <v>0</v>
      </c>
      <c r="G66" s="20">
        <f t="shared" si="0"/>
        <v>18</v>
      </c>
      <c r="H66" s="156">
        <v>6</v>
      </c>
      <c r="I66" s="26"/>
      <c r="J66" s="23" t="s">
        <v>297</v>
      </c>
      <c r="K66" s="124">
        <v>0</v>
      </c>
      <c r="L66" s="19" t="s">
        <v>88</v>
      </c>
    </row>
    <row r="67" spans="1:12" s="6" customFormat="1" ht="49.5" x14ac:dyDescent="0.25">
      <c r="A67" s="145">
        <v>13</v>
      </c>
      <c r="B67" s="19" t="s">
        <v>89</v>
      </c>
      <c r="C67" s="23" t="s">
        <v>90</v>
      </c>
      <c r="D67" s="18" t="s">
        <v>0</v>
      </c>
      <c r="E67" s="18">
        <v>80</v>
      </c>
      <c r="F67" s="18">
        <v>0</v>
      </c>
      <c r="G67" s="20">
        <f t="shared" si="0"/>
        <v>80</v>
      </c>
      <c r="H67" s="156">
        <v>6</v>
      </c>
      <c r="I67" s="26"/>
      <c r="J67" s="23" t="s">
        <v>97</v>
      </c>
      <c r="K67" s="124">
        <v>0</v>
      </c>
      <c r="L67" s="19" t="s">
        <v>88</v>
      </c>
    </row>
    <row r="68" spans="1:12" s="6" customFormat="1" ht="115.5" x14ac:dyDescent="0.25">
      <c r="A68" s="145">
        <v>14</v>
      </c>
      <c r="B68" s="20" t="s">
        <v>626</v>
      </c>
      <c r="C68" s="23" t="s">
        <v>627</v>
      </c>
      <c r="D68" s="18" t="s">
        <v>0</v>
      </c>
      <c r="E68" s="18">
        <v>8</v>
      </c>
      <c r="F68" s="18">
        <v>0</v>
      </c>
      <c r="G68" s="20">
        <f t="shared" si="0"/>
        <v>8</v>
      </c>
      <c r="H68" s="156">
        <v>2</v>
      </c>
      <c r="I68" s="26"/>
      <c r="J68" s="23" t="s">
        <v>628</v>
      </c>
      <c r="K68" s="124"/>
      <c r="L68" s="19" t="s">
        <v>88</v>
      </c>
    </row>
    <row r="69" spans="1:12" s="6" customFormat="1" ht="165" x14ac:dyDescent="0.25">
      <c r="A69" s="145">
        <v>15</v>
      </c>
      <c r="B69" s="20" t="s">
        <v>338</v>
      </c>
      <c r="C69" s="23" t="s">
        <v>629</v>
      </c>
      <c r="D69" s="18" t="s">
        <v>0</v>
      </c>
      <c r="E69" s="18">
        <v>60</v>
      </c>
      <c r="F69" s="18">
        <v>0</v>
      </c>
      <c r="G69" s="20">
        <f t="shared" si="0"/>
        <v>60</v>
      </c>
      <c r="H69" s="157">
        <f>30*8</f>
        <v>240</v>
      </c>
      <c r="I69" s="26"/>
      <c r="J69" s="79" t="s">
        <v>632</v>
      </c>
      <c r="K69" s="124"/>
      <c r="L69" s="23" t="s">
        <v>88</v>
      </c>
    </row>
    <row r="70" spans="1:12" s="6" customFormat="1" ht="99" x14ac:dyDescent="0.25">
      <c r="A70" s="145">
        <v>16</v>
      </c>
      <c r="B70" s="79" t="s">
        <v>190</v>
      </c>
      <c r="C70" s="23" t="s">
        <v>191</v>
      </c>
      <c r="D70" s="18" t="s">
        <v>59</v>
      </c>
      <c r="E70" s="18">
        <v>62</v>
      </c>
      <c r="F70" s="18">
        <v>31</v>
      </c>
      <c r="G70" s="20">
        <f t="shared" si="0"/>
        <v>31</v>
      </c>
      <c r="H70" s="79">
        <v>31</v>
      </c>
      <c r="I70" s="26"/>
      <c r="J70" s="79" t="s">
        <v>193</v>
      </c>
      <c r="K70" s="123"/>
      <c r="L70" s="19"/>
    </row>
    <row r="71" spans="1:12" s="6" customFormat="1" ht="66" x14ac:dyDescent="0.25">
      <c r="A71" s="145">
        <v>17</v>
      </c>
      <c r="B71" s="23" t="s">
        <v>615</v>
      </c>
      <c r="C71" s="23" t="s">
        <v>616</v>
      </c>
      <c r="D71" s="18" t="s">
        <v>0</v>
      </c>
      <c r="E71" s="18">
        <v>624</v>
      </c>
      <c r="F71" s="18">
        <v>0</v>
      </c>
      <c r="G71" s="20">
        <f t="shared" si="0"/>
        <v>624</v>
      </c>
      <c r="H71" s="156">
        <v>54</v>
      </c>
      <c r="I71" s="26"/>
      <c r="J71" s="79" t="s">
        <v>617</v>
      </c>
      <c r="K71" s="124">
        <v>1815</v>
      </c>
      <c r="L71" s="19" t="s">
        <v>104</v>
      </c>
    </row>
    <row r="72" spans="1:12" s="6" customFormat="1" ht="33" x14ac:dyDescent="0.25">
      <c r="A72" s="145">
        <v>18</v>
      </c>
      <c r="B72" s="23" t="s">
        <v>711</v>
      </c>
      <c r="C72" s="23" t="s">
        <v>712</v>
      </c>
      <c r="D72" s="20" t="s">
        <v>0</v>
      </c>
      <c r="E72" s="20">
        <v>10</v>
      </c>
      <c r="F72" s="20">
        <v>2</v>
      </c>
      <c r="G72" s="20">
        <f t="shared" si="0"/>
        <v>8</v>
      </c>
      <c r="H72" s="165">
        <v>10</v>
      </c>
      <c r="I72" s="20"/>
      <c r="J72" s="23" t="s">
        <v>713</v>
      </c>
      <c r="K72" s="123"/>
      <c r="L72" s="23" t="s">
        <v>206</v>
      </c>
    </row>
    <row r="73" spans="1:12" s="6" customFormat="1" ht="33" x14ac:dyDescent="0.25">
      <c r="A73" s="145">
        <v>19</v>
      </c>
      <c r="B73" s="23" t="s">
        <v>716</v>
      </c>
      <c r="C73" s="23" t="s">
        <v>717</v>
      </c>
      <c r="D73" s="20" t="s">
        <v>0</v>
      </c>
      <c r="E73" s="20">
        <v>10</v>
      </c>
      <c r="F73" s="20">
        <v>2</v>
      </c>
      <c r="G73" s="20">
        <f t="shared" si="0"/>
        <v>8</v>
      </c>
      <c r="H73" s="165">
        <v>10</v>
      </c>
      <c r="I73" s="20"/>
      <c r="J73" s="23" t="s">
        <v>718</v>
      </c>
      <c r="K73" s="123"/>
      <c r="L73" s="19" t="s">
        <v>88</v>
      </c>
    </row>
    <row r="74" spans="1:12" s="6" customFormat="1" ht="33" x14ac:dyDescent="0.25">
      <c r="A74" s="145">
        <v>20</v>
      </c>
      <c r="B74" s="23" t="s">
        <v>708</v>
      </c>
      <c r="C74" s="23" t="s">
        <v>709</v>
      </c>
      <c r="D74" s="20" t="s">
        <v>0</v>
      </c>
      <c r="E74" s="20">
        <v>10</v>
      </c>
      <c r="F74" s="20">
        <v>0</v>
      </c>
      <c r="G74" s="20">
        <f t="shared" si="0"/>
        <v>10</v>
      </c>
      <c r="H74" s="165">
        <v>4</v>
      </c>
      <c r="I74" s="20"/>
      <c r="J74" s="23" t="s">
        <v>710</v>
      </c>
      <c r="K74" s="123"/>
      <c r="L74" s="19" t="s">
        <v>140</v>
      </c>
    </row>
    <row r="75" spans="1:12" s="6" customFormat="1" ht="33" x14ac:dyDescent="0.25">
      <c r="A75" s="145">
        <v>21</v>
      </c>
      <c r="B75" s="23" t="s">
        <v>715</v>
      </c>
      <c r="C75" s="23" t="s">
        <v>714</v>
      </c>
      <c r="D75" s="20" t="s">
        <v>0</v>
      </c>
      <c r="E75" s="20">
        <v>10</v>
      </c>
      <c r="F75" s="20">
        <v>0</v>
      </c>
      <c r="G75" s="20">
        <f t="shared" si="0"/>
        <v>10</v>
      </c>
      <c r="H75" s="165">
        <v>4</v>
      </c>
      <c r="I75" s="20"/>
      <c r="J75" s="23" t="s">
        <v>710</v>
      </c>
      <c r="K75" s="123"/>
      <c r="L75" s="19" t="s">
        <v>140</v>
      </c>
    </row>
    <row r="76" spans="1:12" s="6" customFormat="1" ht="33" x14ac:dyDescent="0.25">
      <c r="A76" s="145">
        <v>22</v>
      </c>
      <c r="B76" s="23" t="s">
        <v>719</v>
      </c>
      <c r="C76" s="23" t="s">
        <v>720</v>
      </c>
      <c r="D76" s="20" t="s">
        <v>0</v>
      </c>
      <c r="E76" s="20">
        <v>10</v>
      </c>
      <c r="F76" s="20">
        <v>0</v>
      </c>
      <c r="G76" s="20">
        <f t="shared" si="0"/>
        <v>10</v>
      </c>
      <c r="H76" s="165">
        <v>10</v>
      </c>
      <c r="I76" s="20"/>
      <c r="J76" s="23" t="s">
        <v>710</v>
      </c>
      <c r="K76" s="123"/>
      <c r="L76" s="19" t="s">
        <v>140</v>
      </c>
    </row>
    <row r="77" spans="1:12" s="6" customFormat="1" ht="99" x14ac:dyDescent="0.25">
      <c r="A77" s="145">
        <v>23</v>
      </c>
      <c r="B77" s="174" t="s">
        <v>314</v>
      </c>
      <c r="C77" s="174" t="s">
        <v>315</v>
      </c>
      <c r="D77" s="20" t="s">
        <v>0</v>
      </c>
      <c r="E77" s="20">
        <v>20</v>
      </c>
      <c r="F77" s="20">
        <v>10</v>
      </c>
      <c r="G77" s="20">
        <f t="shared" si="0"/>
        <v>10</v>
      </c>
      <c r="H77" s="165">
        <v>10</v>
      </c>
      <c r="I77" s="20"/>
      <c r="J77" s="79" t="s">
        <v>794</v>
      </c>
      <c r="K77" s="123"/>
      <c r="L77" s="19" t="s">
        <v>737</v>
      </c>
    </row>
    <row r="78" spans="1:12" s="6" customFormat="1" ht="33" x14ac:dyDescent="0.25">
      <c r="A78" s="145">
        <v>24</v>
      </c>
      <c r="B78" s="23" t="s">
        <v>93</v>
      </c>
      <c r="C78" s="23" t="s">
        <v>94</v>
      </c>
      <c r="D78" s="18" t="s">
        <v>0</v>
      </c>
      <c r="E78" s="18">
        <v>48</v>
      </c>
      <c r="F78" s="18">
        <v>2</v>
      </c>
      <c r="G78" s="20">
        <f t="shared" si="0"/>
        <v>46</v>
      </c>
      <c r="H78" s="156">
        <v>6</v>
      </c>
      <c r="I78" s="26"/>
      <c r="J78" s="23" t="s">
        <v>99</v>
      </c>
      <c r="K78" s="124">
        <v>0</v>
      </c>
      <c r="L78" s="19" t="s">
        <v>88</v>
      </c>
    </row>
    <row r="79" spans="1:12" s="6" customFormat="1" ht="33" x14ac:dyDescent="0.25">
      <c r="A79" s="145">
        <v>25</v>
      </c>
      <c r="B79" s="20" t="s">
        <v>95</v>
      </c>
      <c r="C79" s="23" t="s">
        <v>96</v>
      </c>
      <c r="D79" s="18" t="s">
        <v>0</v>
      </c>
      <c r="E79" s="18">
        <v>96</v>
      </c>
      <c r="F79" s="18">
        <v>0</v>
      </c>
      <c r="G79" s="20">
        <f t="shared" si="0"/>
        <v>96</v>
      </c>
      <c r="H79" s="157">
        <v>6</v>
      </c>
      <c r="I79" s="26"/>
      <c r="J79" s="79" t="s">
        <v>100</v>
      </c>
      <c r="K79" s="124"/>
      <c r="L79" s="23" t="s">
        <v>88</v>
      </c>
    </row>
    <row r="80" spans="1:12" s="6" customFormat="1" ht="49.5" x14ac:dyDescent="0.25">
      <c r="A80" s="145">
        <v>26</v>
      </c>
      <c r="B80" s="18" t="s">
        <v>630</v>
      </c>
      <c r="C80" s="79" t="s">
        <v>631</v>
      </c>
      <c r="D80" s="18" t="s">
        <v>0</v>
      </c>
      <c r="E80" s="18">
        <v>96</v>
      </c>
      <c r="F80" s="18">
        <v>12</v>
      </c>
      <c r="G80" s="20">
        <f t="shared" si="0"/>
        <v>84</v>
      </c>
      <c r="H80" s="157">
        <v>6</v>
      </c>
      <c r="I80" s="26"/>
      <c r="J80" s="79" t="s">
        <v>101</v>
      </c>
      <c r="K80" s="124"/>
      <c r="L80" s="23" t="s">
        <v>88</v>
      </c>
    </row>
    <row r="81" spans="1:12" s="6" customFormat="1" ht="82.5" x14ac:dyDescent="0.25">
      <c r="A81" s="145">
        <v>27</v>
      </c>
      <c r="B81" s="23" t="s">
        <v>28</v>
      </c>
      <c r="C81" s="23" t="s">
        <v>39</v>
      </c>
      <c r="D81" s="18" t="s">
        <v>0</v>
      </c>
      <c r="E81" s="18">
        <v>0</v>
      </c>
      <c r="F81" s="18">
        <v>0</v>
      </c>
      <c r="G81" s="20">
        <f t="shared" si="0"/>
        <v>0</v>
      </c>
      <c r="H81" s="155">
        <v>5</v>
      </c>
      <c r="I81" s="26"/>
      <c r="J81" s="23" t="s">
        <v>623</v>
      </c>
      <c r="K81" s="124">
        <v>29</v>
      </c>
      <c r="L81" s="19" t="s">
        <v>104</v>
      </c>
    </row>
    <row r="82" spans="1:12" s="6" customFormat="1" ht="82.5" x14ac:dyDescent="0.25">
      <c r="A82" s="145">
        <v>28</v>
      </c>
      <c r="B82" s="23" t="s">
        <v>638</v>
      </c>
      <c r="C82" s="23" t="s">
        <v>639</v>
      </c>
      <c r="D82" s="18" t="s">
        <v>59</v>
      </c>
      <c r="E82" s="18">
        <v>0</v>
      </c>
      <c r="F82" s="18">
        <v>0</v>
      </c>
      <c r="G82" s="20">
        <f t="shared" si="0"/>
        <v>0</v>
      </c>
      <c r="H82" s="155">
        <v>10</v>
      </c>
      <c r="I82" s="26"/>
      <c r="J82" s="79" t="s">
        <v>640</v>
      </c>
      <c r="K82" s="124"/>
      <c r="L82" s="19" t="s">
        <v>140</v>
      </c>
    </row>
    <row r="83" spans="1:12" s="6" customFormat="1" ht="82.5" x14ac:dyDescent="0.25">
      <c r="A83" s="145">
        <v>29</v>
      </c>
      <c r="B83" s="23" t="s">
        <v>29</v>
      </c>
      <c r="C83" s="23" t="s">
        <v>37</v>
      </c>
      <c r="D83" s="18" t="s">
        <v>17</v>
      </c>
      <c r="E83" s="18">
        <v>6</v>
      </c>
      <c r="F83" s="18">
        <v>0</v>
      </c>
      <c r="G83" s="20">
        <f t="shared" si="0"/>
        <v>6</v>
      </c>
      <c r="H83" s="156">
        <v>4</v>
      </c>
      <c r="I83" s="26"/>
      <c r="J83" s="23" t="s">
        <v>22</v>
      </c>
      <c r="K83" s="124" t="s">
        <v>121</v>
      </c>
      <c r="L83" s="19" t="s">
        <v>104</v>
      </c>
    </row>
    <row r="84" spans="1:12" s="6" customFormat="1" ht="82.5" x14ac:dyDescent="0.25">
      <c r="A84" s="145">
        <v>30</v>
      </c>
      <c r="B84" s="23" t="s">
        <v>30</v>
      </c>
      <c r="C84" s="23" t="s">
        <v>26</v>
      </c>
      <c r="D84" s="18" t="s">
        <v>17</v>
      </c>
      <c r="E84" s="18">
        <v>0</v>
      </c>
      <c r="F84" s="18">
        <v>0</v>
      </c>
      <c r="G84" s="20">
        <f t="shared" si="0"/>
        <v>0</v>
      </c>
      <c r="H84" s="156">
        <v>2</v>
      </c>
      <c r="I84" s="26"/>
      <c r="J84" s="23" t="s">
        <v>32</v>
      </c>
      <c r="K84" s="123">
        <v>0</v>
      </c>
      <c r="L84" s="19" t="s">
        <v>104</v>
      </c>
    </row>
    <row r="85" spans="1:12" s="6" customFormat="1" ht="99" x14ac:dyDescent="0.25">
      <c r="A85" s="145">
        <v>31</v>
      </c>
      <c r="B85" s="23" t="s">
        <v>23</v>
      </c>
      <c r="C85" s="23" t="s">
        <v>27</v>
      </c>
      <c r="D85" s="18" t="s">
        <v>0</v>
      </c>
      <c r="E85" s="18">
        <v>8</v>
      </c>
      <c r="F85" s="18">
        <v>0</v>
      </c>
      <c r="G85" s="20">
        <f t="shared" si="0"/>
        <v>8</v>
      </c>
      <c r="H85" s="156">
        <v>2</v>
      </c>
      <c r="I85" s="26"/>
      <c r="J85" s="23" t="s">
        <v>33</v>
      </c>
      <c r="K85" s="123">
        <v>0</v>
      </c>
      <c r="L85" s="19" t="s">
        <v>104</v>
      </c>
    </row>
    <row r="86" spans="1:12" s="6" customFormat="1" ht="214.5" x14ac:dyDescent="0.25">
      <c r="A86" s="145">
        <v>32</v>
      </c>
      <c r="B86" s="23" t="s">
        <v>641</v>
      </c>
      <c r="C86" s="23" t="s">
        <v>642</v>
      </c>
      <c r="D86" s="18" t="s">
        <v>59</v>
      </c>
      <c r="E86" s="18">
        <v>0</v>
      </c>
      <c r="F86" s="18">
        <v>0</v>
      </c>
      <c r="G86" s="20">
        <f t="shared" si="0"/>
        <v>0</v>
      </c>
      <c r="H86" s="158">
        <v>2</v>
      </c>
      <c r="I86" s="26"/>
      <c r="J86" s="79" t="s">
        <v>643</v>
      </c>
      <c r="K86" s="123"/>
      <c r="L86" s="19" t="s">
        <v>140</v>
      </c>
    </row>
    <row r="87" spans="1:12" s="6" customFormat="1" ht="33" x14ac:dyDescent="0.25">
      <c r="A87" s="145">
        <v>33</v>
      </c>
      <c r="B87" s="23" t="s">
        <v>459</v>
      </c>
      <c r="C87" s="23" t="s">
        <v>460</v>
      </c>
      <c r="D87" s="18" t="s">
        <v>59</v>
      </c>
      <c r="E87" s="18">
        <v>3</v>
      </c>
      <c r="F87" s="18">
        <v>0</v>
      </c>
      <c r="G87" s="20">
        <f t="shared" si="0"/>
        <v>3</v>
      </c>
      <c r="H87" s="158">
        <v>2</v>
      </c>
      <c r="I87" s="26"/>
      <c r="J87" s="79" t="s">
        <v>461</v>
      </c>
      <c r="K87" s="123"/>
      <c r="L87" s="19" t="s">
        <v>140</v>
      </c>
    </row>
    <row r="88" spans="1:12" s="6" customFormat="1" ht="99" x14ac:dyDescent="0.25">
      <c r="A88" s="145">
        <v>34</v>
      </c>
      <c r="B88" s="23" t="s">
        <v>122</v>
      </c>
      <c r="C88" s="23" t="s">
        <v>123</v>
      </c>
      <c r="D88" s="18" t="s">
        <v>0</v>
      </c>
      <c r="E88" s="18">
        <v>624</v>
      </c>
      <c r="F88" s="18">
        <v>55</v>
      </c>
      <c r="G88" s="20">
        <v>569</v>
      </c>
      <c r="H88" s="156">
        <v>0</v>
      </c>
      <c r="I88" s="26"/>
      <c r="J88" s="23" t="s">
        <v>34</v>
      </c>
      <c r="K88" s="124" t="s">
        <v>124</v>
      </c>
      <c r="L88" s="19" t="s">
        <v>104</v>
      </c>
    </row>
    <row r="89" spans="1:12" s="6" customFormat="1" ht="99" x14ac:dyDescent="0.25">
      <c r="A89" s="145">
        <v>35</v>
      </c>
      <c r="B89" s="23" t="s">
        <v>31</v>
      </c>
      <c r="C89" s="23" t="s">
        <v>38</v>
      </c>
      <c r="D89" s="18" t="s">
        <v>0</v>
      </c>
      <c r="E89" s="18">
        <v>148</v>
      </c>
      <c r="F89" s="18">
        <f>100+26</f>
        <v>126</v>
      </c>
      <c r="G89" s="20">
        <f t="shared" si="0"/>
        <v>22</v>
      </c>
      <c r="H89" s="164">
        <v>30</v>
      </c>
      <c r="I89" s="26"/>
      <c r="J89" s="23" t="s">
        <v>300</v>
      </c>
      <c r="K89" s="124" t="s">
        <v>110</v>
      </c>
      <c r="L89" s="19" t="s">
        <v>76</v>
      </c>
    </row>
    <row r="90" spans="1:12" s="6" customFormat="1" ht="66" x14ac:dyDescent="0.25">
      <c r="A90" s="145">
        <v>36</v>
      </c>
      <c r="B90" s="23" t="s">
        <v>618</v>
      </c>
      <c r="C90" s="23" t="s">
        <v>619</v>
      </c>
      <c r="D90" s="18" t="s">
        <v>0</v>
      </c>
      <c r="E90" s="18">
        <v>148</v>
      </c>
      <c r="F90" s="18">
        <v>126</v>
      </c>
      <c r="G90" s="20">
        <f t="shared" si="0"/>
        <v>22</v>
      </c>
      <c r="H90" s="164">
        <v>30</v>
      </c>
      <c r="I90" s="26"/>
      <c r="J90" s="23" t="s">
        <v>620</v>
      </c>
      <c r="K90" s="124">
        <v>325</v>
      </c>
      <c r="L90" s="19" t="s">
        <v>76</v>
      </c>
    </row>
    <row r="91" spans="1:12" s="6" customFormat="1" ht="66" x14ac:dyDescent="0.25">
      <c r="A91" s="145">
        <v>37</v>
      </c>
      <c r="B91" s="23" t="s">
        <v>112</v>
      </c>
      <c r="C91" s="23" t="s">
        <v>60</v>
      </c>
      <c r="D91" s="20" t="s">
        <v>0</v>
      </c>
      <c r="E91" s="20">
        <v>20</v>
      </c>
      <c r="F91" s="20">
        <v>6</v>
      </c>
      <c r="G91" s="20">
        <f t="shared" ref="G91:G164" si="1">E91-F91</f>
        <v>14</v>
      </c>
      <c r="H91" s="165">
        <v>6</v>
      </c>
      <c r="I91" s="20"/>
      <c r="J91" s="23" t="s">
        <v>611</v>
      </c>
      <c r="K91" s="123">
        <v>4</v>
      </c>
      <c r="L91" s="19" t="s">
        <v>76</v>
      </c>
    </row>
    <row r="92" spans="1:12" s="6" customFormat="1" ht="99" x14ac:dyDescent="0.25">
      <c r="A92" s="145">
        <v>38</v>
      </c>
      <c r="B92" s="23" t="s">
        <v>361</v>
      </c>
      <c r="C92" s="23" t="s">
        <v>362</v>
      </c>
      <c r="D92" s="20" t="s">
        <v>0</v>
      </c>
      <c r="E92" s="20">
        <v>12</v>
      </c>
      <c r="F92" s="20">
        <v>4</v>
      </c>
      <c r="G92" s="20">
        <f t="shared" si="1"/>
        <v>8</v>
      </c>
      <c r="H92" s="165">
        <v>6</v>
      </c>
      <c r="I92" s="20"/>
      <c r="J92" s="23" t="s">
        <v>625</v>
      </c>
      <c r="K92" s="123"/>
      <c r="L92" s="19" t="s">
        <v>88</v>
      </c>
    </row>
    <row r="93" spans="1:12" s="6" customFormat="1" ht="82.5" x14ac:dyDescent="0.25">
      <c r="A93" s="145">
        <v>39</v>
      </c>
      <c r="B93" s="23" t="s">
        <v>363</v>
      </c>
      <c r="C93" s="23" t="s">
        <v>364</v>
      </c>
      <c r="D93" s="20" t="s">
        <v>0</v>
      </c>
      <c r="E93" s="20">
        <v>32</v>
      </c>
      <c r="F93" s="20">
        <v>0</v>
      </c>
      <c r="G93" s="20">
        <f t="shared" si="1"/>
        <v>32</v>
      </c>
      <c r="H93" s="165">
        <v>4</v>
      </c>
      <c r="I93" s="20"/>
      <c r="J93" s="23" t="s">
        <v>625</v>
      </c>
      <c r="K93" s="123"/>
      <c r="L93" s="19" t="s">
        <v>88</v>
      </c>
    </row>
    <row r="94" spans="1:12" s="9" customFormat="1" x14ac:dyDescent="0.25">
      <c r="A94" s="48" t="s">
        <v>20</v>
      </c>
      <c r="B94" s="48"/>
      <c r="C94" s="48"/>
      <c r="D94" s="117"/>
      <c r="E94" s="117"/>
      <c r="F94" s="117"/>
      <c r="G94" s="20">
        <f t="shared" si="1"/>
        <v>0</v>
      </c>
      <c r="H94" s="173"/>
      <c r="I94" s="117"/>
      <c r="J94" s="48"/>
      <c r="K94" s="120"/>
      <c r="L94" s="48"/>
    </row>
    <row r="95" spans="1:12" s="6" customFormat="1" ht="82.5" x14ac:dyDescent="0.25">
      <c r="A95" s="18">
        <v>1</v>
      </c>
      <c r="B95" s="19" t="s">
        <v>49</v>
      </c>
      <c r="C95" s="23" t="s">
        <v>50</v>
      </c>
      <c r="D95" s="18" t="s">
        <v>51</v>
      </c>
      <c r="E95" s="18">
        <v>40</v>
      </c>
      <c r="F95" s="18">
        <v>92</v>
      </c>
      <c r="G95" s="20">
        <v>0</v>
      </c>
      <c r="H95" s="155">
        <v>40</v>
      </c>
      <c r="I95" s="18"/>
      <c r="J95" s="23" t="s">
        <v>761</v>
      </c>
      <c r="K95" s="124">
        <v>0</v>
      </c>
      <c r="L95" s="23" t="s">
        <v>621</v>
      </c>
    </row>
    <row r="96" spans="1:12" s="6" customFormat="1" ht="49.5" x14ac:dyDescent="0.25">
      <c r="A96" s="18">
        <v>2</v>
      </c>
      <c r="B96" s="19" t="s">
        <v>166</v>
      </c>
      <c r="C96" s="23" t="s">
        <v>167</v>
      </c>
      <c r="D96" s="18" t="s">
        <v>51</v>
      </c>
      <c r="E96" s="18">
        <v>260</v>
      </c>
      <c r="F96" s="18">
        <f>53</f>
        <v>53</v>
      </c>
      <c r="G96" s="20">
        <f t="shared" si="1"/>
        <v>207</v>
      </c>
      <c r="H96" s="155">
        <v>40</v>
      </c>
      <c r="I96" s="18"/>
      <c r="J96" s="23" t="s">
        <v>168</v>
      </c>
      <c r="K96" s="124">
        <v>4</v>
      </c>
      <c r="L96" s="19" t="s">
        <v>140</v>
      </c>
    </row>
    <row r="97" spans="1:12" s="6" customFormat="1" x14ac:dyDescent="0.25">
      <c r="A97" s="18">
        <v>3</v>
      </c>
      <c r="B97" s="19" t="s">
        <v>563</v>
      </c>
      <c r="C97" s="23" t="s">
        <v>699</v>
      </c>
      <c r="D97" s="18" t="s">
        <v>2</v>
      </c>
      <c r="E97" s="18">
        <v>0</v>
      </c>
      <c r="F97" s="18">
        <v>1765</v>
      </c>
      <c r="G97" s="20">
        <v>0</v>
      </c>
      <c r="H97" s="155">
        <v>750</v>
      </c>
      <c r="I97" s="18"/>
      <c r="J97" s="23" t="s">
        <v>700</v>
      </c>
      <c r="K97" s="124"/>
      <c r="L97" s="19"/>
    </row>
    <row r="98" spans="1:12" s="6" customFormat="1" ht="33" x14ac:dyDescent="0.25">
      <c r="A98" s="18">
        <v>4</v>
      </c>
      <c r="B98" s="19" t="s">
        <v>40</v>
      </c>
      <c r="C98" s="19" t="s">
        <v>1</v>
      </c>
      <c r="D98" s="18" t="s">
        <v>2</v>
      </c>
      <c r="E98" s="18">
        <v>76275.609756097605</v>
      </c>
      <c r="F98" s="18">
        <f>14000+2000</f>
        <v>16000</v>
      </c>
      <c r="G98" s="20">
        <f t="shared" si="1"/>
        <v>60275.609756097605</v>
      </c>
      <c r="H98" s="162">
        <v>200</v>
      </c>
      <c r="I98" s="18"/>
      <c r="J98" s="22" t="s">
        <v>776</v>
      </c>
      <c r="K98" s="123">
        <v>900</v>
      </c>
      <c r="L98" s="19" t="s">
        <v>48</v>
      </c>
    </row>
    <row r="99" spans="1:12" s="6" customFormat="1" ht="66" x14ac:dyDescent="0.25">
      <c r="A99" s="18">
        <v>5</v>
      </c>
      <c r="B99" s="19" t="s">
        <v>133</v>
      </c>
      <c r="C99" s="23" t="s">
        <v>118</v>
      </c>
      <c r="D99" s="18" t="s">
        <v>74</v>
      </c>
      <c r="E99" s="18">
        <v>0</v>
      </c>
      <c r="F99" s="18">
        <v>0</v>
      </c>
      <c r="G99" s="20">
        <f t="shared" si="1"/>
        <v>0</v>
      </c>
      <c r="H99" s="162">
        <v>100</v>
      </c>
      <c r="I99" s="18"/>
      <c r="J99" s="23" t="s">
        <v>75</v>
      </c>
      <c r="K99" s="124" t="s">
        <v>110</v>
      </c>
      <c r="L99" s="19" t="s">
        <v>76</v>
      </c>
    </row>
    <row r="100" spans="1:12" s="6" customFormat="1" x14ac:dyDescent="0.25">
      <c r="A100" s="18">
        <v>6</v>
      </c>
      <c r="B100" s="19" t="s">
        <v>174</v>
      </c>
      <c r="C100" s="19" t="s">
        <v>102</v>
      </c>
      <c r="D100" s="18" t="s">
        <v>66</v>
      </c>
      <c r="E100" s="18">
        <v>815691.33257280034</v>
      </c>
      <c r="F100" s="18">
        <f>324900+11400*3+5700+11400*3</f>
        <v>399000</v>
      </c>
      <c r="G100" s="20">
        <f t="shared" si="1"/>
        <v>416691.33257280034</v>
      </c>
      <c r="H100" s="162">
        <v>300000</v>
      </c>
      <c r="I100" s="18"/>
      <c r="J100" s="23" t="s">
        <v>103</v>
      </c>
      <c r="K100" s="123">
        <v>239581</v>
      </c>
      <c r="L100" s="19" t="s">
        <v>88</v>
      </c>
    </row>
    <row r="101" spans="1:12" s="6" customFormat="1" x14ac:dyDescent="0.25">
      <c r="A101" s="18">
        <v>7</v>
      </c>
      <c r="B101" s="51" t="s">
        <v>147</v>
      </c>
      <c r="C101" s="50" t="s">
        <v>148</v>
      </c>
      <c r="D101" s="52" t="s">
        <v>66</v>
      </c>
      <c r="E101" s="18">
        <v>0</v>
      </c>
      <c r="F101" s="5">
        <f>250+100</f>
        <v>350</v>
      </c>
      <c r="G101" s="20">
        <v>0</v>
      </c>
      <c r="H101" s="214">
        <v>100</v>
      </c>
      <c r="I101" s="54"/>
      <c r="J101" s="55" t="s">
        <v>374</v>
      </c>
      <c r="K101" s="136">
        <v>5379</v>
      </c>
      <c r="L101" s="51"/>
    </row>
    <row r="102" spans="1:12" s="6" customFormat="1" ht="33" x14ac:dyDescent="0.25">
      <c r="A102" s="18">
        <v>8</v>
      </c>
      <c r="B102" s="19" t="s">
        <v>149</v>
      </c>
      <c r="C102" s="23" t="s">
        <v>150</v>
      </c>
      <c r="D102" s="18" t="s">
        <v>0</v>
      </c>
      <c r="E102" s="18">
        <v>30000</v>
      </c>
      <c r="F102" s="18">
        <v>16000</v>
      </c>
      <c r="G102" s="20">
        <f t="shared" ref="G102" si="2">E102-F102</f>
        <v>14000</v>
      </c>
      <c r="H102" s="155">
        <v>8000</v>
      </c>
      <c r="I102" s="20"/>
      <c r="J102" s="22" t="s">
        <v>151</v>
      </c>
      <c r="K102" s="124">
        <v>15000</v>
      </c>
      <c r="L102" s="19"/>
    </row>
    <row r="103" spans="1:12" s="6" customFormat="1" ht="66" x14ac:dyDescent="0.25">
      <c r="A103" s="18">
        <v>9</v>
      </c>
      <c r="B103" s="19" t="s">
        <v>429</v>
      </c>
      <c r="C103" s="23" t="s">
        <v>751</v>
      </c>
      <c r="D103" s="18" t="s">
        <v>386</v>
      </c>
      <c r="E103" s="18">
        <v>0</v>
      </c>
      <c r="F103" s="18">
        <v>0</v>
      </c>
      <c r="G103" s="20">
        <v>0</v>
      </c>
      <c r="H103" s="155">
        <v>1</v>
      </c>
      <c r="I103" s="20"/>
      <c r="J103" s="22" t="s">
        <v>752</v>
      </c>
      <c r="K103" s="124">
        <v>1</v>
      </c>
      <c r="L103" s="19" t="s">
        <v>753</v>
      </c>
    </row>
    <row r="104" spans="1:12" s="6" customFormat="1" x14ac:dyDescent="0.25">
      <c r="A104" s="18">
        <v>10</v>
      </c>
      <c r="B104" s="19"/>
      <c r="C104" s="23" t="s">
        <v>795</v>
      </c>
      <c r="D104" s="18" t="s">
        <v>172</v>
      </c>
      <c r="E104" s="18">
        <v>0</v>
      </c>
      <c r="F104" s="18">
        <v>0</v>
      </c>
      <c r="G104" s="20">
        <v>0</v>
      </c>
      <c r="H104" s="155">
        <v>10</v>
      </c>
      <c r="I104" s="20"/>
      <c r="J104" s="22" t="s">
        <v>796</v>
      </c>
      <c r="K104" s="124"/>
      <c r="L104" s="19"/>
    </row>
    <row r="105" spans="1:12" s="6" customFormat="1" x14ac:dyDescent="0.25">
      <c r="A105" s="18">
        <v>11</v>
      </c>
      <c r="B105" s="215" t="s">
        <v>754</v>
      </c>
      <c r="C105" s="215" t="s">
        <v>755</v>
      </c>
      <c r="D105" s="18" t="s">
        <v>0</v>
      </c>
      <c r="E105" s="18">
        <v>0</v>
      </c>
      <c r="F105" s="18">
        <v>0</v>
      </c>
      <c r="G105" s="20">
        <v>0</v>
      </c>
      <c r="H105" s="155">
        <v>10</v>
      </c>
      <c r="I105" s="20"/>
      <c r="J105" s="22" t="s">
        <v>756</v>
      </c>
      <c r="K105" s="124">
        <v>30</v>
      </c>
      <c r="L105" s="19" t="s">
        <v>757</v>
      </c>
    </row>
    <row r="106" spans="1:12" s="6" customFormat="1" x14ac:dyDescent="0.25">
      <c r="A106" s="18">
        <v>12</v>
      </c>
      <c r="B106" s="216" t="s">
        <v>758</v>
      </c>
      <c r="C106" s="216" t="s">
        <v>759</v>
      </c>
      <c r="D106" s="18" t="s">
        <v>66</v>
      </c>
      <c r="E106" s="18">
        <v>0</v>
      </c>
      <c r="F106" s="18">
        <v>0</v>
      </c>
      <c r="G106" s="20">
        <v>0</v>
      </c>
      <c r="H106" s="155">
        <v>350</v>
      </c>
      <c r="I106" s="20"/>
      <c r="J106" s="22" t="s">
        <v>760</v>
      </c>
      <c r="K106" s="124"/>
      <c r="L106" s="19"/>
    </row>
    <row r="107" spans="1:12" s="6" customFormat="1" ht="99" x14ac:dyDescent="0.25">
      <c r="A107" s="18">
        <v>13</v>
      </c>
      <c r="B107" s="19" t="s">
        <v>91</v>
      </c>
      <c r="C107" s="23" t="s">
        <v>337</v>
      </c>
      <c r="D107" s="18" t="s">
        <v>0</v>
      </c>
      <c r="E107" s="18">
        <v>0</v>
      </c>
      <c r="F107" s="18">
        <v>180</v>
      </c>
      <c r="G107" s="20">
        <v>0</v>
      </c>
      <c r="H107" s="155">
        <v>109</v>
      </c>
      <c r="I107" s="20"/>
      <c r="J107" s="22" t="s">
        <v>762</v>
      </c>
      <c r="K107" s="124"/>
      <c r="L107" s="19"/>
    </row>
    <row r="108" spans="1:12" s="6" customFormat="1" ht="33" x14ac:dyDescent="0.25">
      <c r="A108" s="18">
        <v>14</v>
      </c>
      <c r="B108" s="19" t="s">
        <v>790</v>
      </c>
      <c r="C108" s="23" t="s">
        <v>791</v>
      </c>
      <c r="D108" s="18" t="s">
        <v>0</v>
      </c>
      <c r="E108" s="18">
        <v>0</v>
      </c>
      <c r="F108" s="18">
        <v>0</v>
      </c>
      <c r="G108" s="20">
        <v>0</v>
      </c>
      <c r="H108" s="155">
        <v>5</v>
      </c>
      <c r="I108" s="20"/>
      <c r="J108" s="22" t="s">
        <v>792</v>
      </c>
      <c r="K108" s="124">
        <v>20</v>
      </c>
      <c r="L108" s="74" t="s">
        <v>793</v>
      </c>
    </row>
    <row r="109" spans="1:12" s="6" customFormat="1" ht="25.5" x14ac:dyDescent="0.25">
      <c r="A109" s="18">
        <v>15</v>
      </c>
      <c r="B109" s="216" t="s">
        <v>763</v>
      </c>
      <c r="C109" s="216" t="s">
        <v>764</v>
      </c>
      <c r="D109" s="18" t="s">
        <v>765</v>
      </c>
      <c r="E109" s="18">
        <v>0</v>
      </c>
      <c r="F109" s="18">
        <v>0</v>
      </c>
      <c r="G109" s="20">
        <v>0</v>
      </c>
      <c r="H109" s="155">
        <v>10</v>
      </c>
      <c r="I109" s="20"/>
      <c r="J109" s="22" t="s">
        <v>766</v>
      </c>
      <c r="K109" s="124"/>
      <c r="L109" s="74"/>
    </row>
    <row r="110" spans="1:12" s="6" customFormat="1" x14ac:dyDescent="0.25">
      <c r="A110" s="18">
        <v>16</v>
      </c>
      <c r="B110" s="216" t="s">
        <v>40</v>
      </c>
      <c r="C110" s="216" t="s">
        <v>1</v>
      </c>
      <c r="D110" s="18" t="s">
        <v>2</v>
      </c>
      <c r="E110" s="18">
        <v>76275.609756097561</v>
      </c>
      <c r="F110" s="18">
        <v>0</v>
      </c>
      <c r="G110" s="20">
        <v>76275.609756097561</v>
      </c>
      <c r="H110" s="155">
        <v>3000</v>
      </c>
      <c r="I110" s="20"/>
      <c r="J110" s="22" t="s">
        <v>119</v>
      </c>
      <c r="K110" s="124"/>
      <c r="L110" s="74"/>
    </row>
    <row r="111" spans="1:12" s="6" customFormat="1" ht="33" x14ac:dyDescent="0.25">
      <c r="A111" s="18">
        <v>17</v>
      </c>
      <c r="B111" s="216" t="s">
        <v>130</v>
      </c>
      <c r="C111" s="216" t="s">
        <v>131</v>
      </c>
      <c r="D111" s="18" t="s">
        <v>66</v>
      </c>
      <c r="E111" s="18">
        <v>210344.50715200003</v>
      </c>
      <c r="F111" s="18">
        <f>'[2]Lỹ kế số lượng sử dụng'!F21</f>
        <v>110447.68200000002</v>
      </c>
      <c r="G111" s="18">
        <f>'[2]Thang 12 2024'!F21-'Tháng 12.2024'!F111</f>
        <v>99896.825152000019</v>
      </c>
      <c r="H111" s="155">
        <v>20000</v>
      </c>
      <c r="I111" s="20"/>
      <c r="J111" s="22" t="s">
        <v>132</v>
      </c>
      <c r="K111" s="124"/>
      <c r="L111" s="74"/>
    </row>
    <row r="112" spans="1:12" s="6" customFormat="1" ht="25.5" x14ac:dyDescent="0.25">
      <c r="A112" s="18">
        <v>18</v>
      </c>
      <c r="B112" s="216" t="s">
        <v>67</v>
      </c>
      <c r="C112" s="216" t="s">
        <v>68</v>
      </c>
      <c r="D112" s="18" t="s">
        <v>66</v>
      </c>
      <c r="E112" s="18">
        <v>70533.213333333304</v>
      </c>
      <c r="F112" s="18">
        <f>'[2]Lỹ kế số lượng sử dụng'!F22</f>
        <v>40130.449999999997</v>
      </c>
      <c r="G112" s="18">
        <f>'[2]Thang 12 2024'!F22-'Tháng 12.2024'!F112</f>
        <v>30402.763333333307</v>
      </c>
      <c r="H112" s="155">
        <v>8000</v>
      </c>
      <c r="I112" s="20"/>
      <c r="J112" s="19" t="s">
        <v>134</v>
      </c>
      <c r="K112" s="124"/>
      <c r="L112" s="74"/>
    </row>
    <row r="113" spans="1:12" s="6" customFormat="1" ht="33" x14ac:dyDescent="0.25">
      <c r="A113" s="18">
        <v>19</v>
      </c>
      <c r="B113" s="216" t="s">
        <v>72</v>
      </c>
      <c r="C113" s="216" t="s">
        <v>73</v>
      </c>
      <c r="D113" s="18" t="s">
        <v>66</v>
      </c>
      <c r="E113" s="18">
        <v>214379.59804920002</v>
      </c>
      <c r="F113" s="18">
        <f>'[2]Lỹ kế số lượng sử dụng'!F25</f>
        <v>119355.61200000001</v>
      </c>
      <c r="G113" s="18">
        <f>'[2]Thang 12 2024'!F25-F113</f>
        <v>95023.986049200015</v>
      </c>
      <c r="H113" s="155">
        <v>14000</v>
      </c>
      <c r="I113" s="20"/>
      <c r="J113" s="22" t="s">
        <v>772</v>
      </c>
      <c r="K113" s="124"/>
      <c r="L113" s="74"/>
    </row>
    <row r="114" spans="1:12" s="6" customFormat="1" ht="25.5" x14ac:dyDescent="0.25">
      <c r="A114" s="18">
        <v>20</v>
      </c>
      <c r="B114" s="216" t="s">
        <v>137</v>
      </c>
      <c r="C114" s="216" t="s">
        <v>138</v>
      </c>
      <c r="D114" s="18" t="s">
        <v>66</v>
      </c>
      <c r="E114" s="19">
        <v>0</v>
      </c>
      <c r="F114" s="18">
        <v>0</v>
      </c>
      <c r="G114" s="20">
        <v>0</v>
      </c>
      <c r="H114" s="155">
        <v>6000</v>
      </c>
      <c r="I114" s="20"/>
      <c r="J114" s="22" t="s">
        <v>773</v>
      </c>
      <c r="K114" s="124"/>
      <c r="L114" s="74"/>
    </row>
    <row r="115" spans="1:12" s="6" customFormat="1" ht="49.5" x14ac:dyDescent="0.25">
      <c r="A115" s="18">
        <v>21</v>
      </c>
      <c r="B115" s="19" t="s">
        <v>144</v>
      </c>
      <c r="C115" s="23" t="s">
        <v>145</v>
      </c>
      <c r="D115" s="18" t="s">
        <v>66</v>
      </c>
      <c r="E115" s="18">
        <v>0</v>
      </c>
      <c r="F115" s="18">
        <v>0</v>
      </c>
      <c r="G115" s="20">
        <v>0</v>
      </c>
      <c r="H115" s="155">
        <v>12000</v>
      </c>
      <c r="I115" s="20"/>
      <c r="J115" s="22"/>
      <c r="K115" s="124"/>
      <c r="L115" s="74"/>
    </row>
    <row r="116" spans="1:12" s="6" customFormat="1" x14ac:dyDescent="0.25">
      <c r="A116" s="18">
        <v>22</v>
      </c>
      <c r="B116" s="19" t="s">
        <v>69</v>
      </c>
      <c r="C116" s="23" t="s">
        <v>774</v>
      </c>
      <c r="D116" s="18" t="s">
        <v>66</v>
      </c>
      <c r="E116" s="18">
        <v>5937653.7398247998</v>
      </c>
      <c r="F116" s="18">
        <f>'[2]Lỹ kế số lượng sử dụng'!F24</f>
        <v>3133824</v>
      </c>
      <c r="G116" s="18">
        <f>'[2]Thang 12 2024'!F24-'Tháng 12.2024'!F116</f>
        <v>2803829.7398247998</v>
      </c>
      <c r="H116" s="155">
        <v>900000</v>
      </c>
      <c r="I116" s="20"/>
      <c r="J116" s="22"/>
      <c r="K116" s="124"/>
      <c r="L116" s="74"/>
    </row>
    <row r="117" spans="1:12" s="6" customFormat="1" ht="82.5" x14ac:dyDescent="0.25">
      <c r="A117" s="18">
        <v>23</v>
      </c>
      <c r="B117" s="74" t="s">
        <v>781</v>
      </c>
      <c r="C117" s="75" t="s">
        <v>782</v>
      </c>
      <c r="D117" s="72" t="s">
        <v>0</v>
      </c>
      <c r="E117" s="72">
        <v>0</v>
      </c>
      <c r="F117" s="72"/>
      <c r="G117" s="73"/>
      <c r="H117" s="217">
        <v>1</v>
      </c>
      <c r="I117" s="73"/>
      <c r="J117" s="181" t="s">
        <v>787</v>
      </c>
      <c r="K117" s="129"/>
      <c r="L117" s="74" t="s">
        <v>136</v>
      </c>
    </row>
    <row r="118" spans="1:12" s="6" customFormat="1" ht="99" x14ac:dyDescent="0.25">
      <c r="A118" s="18">
        <v>24</v>
      </c>
      <c r="B118" s="74" t="s">
        <v>538</v>
      </c>
      <c r="C118" s="75" t="s">
        <v>539</v>
      </c>
      <c r="D118" s="72" t="s">
        <v>0</v>
      </c>
      <c r="E118" s="72">
        <v>0</v>
      </c>
      <c r="F118" s="72"/>
      <c r="G118" s="73"/>
      <c r="H118" s="217">
        <v>2</v>
      </c>
      <c r="I118" s="73"/>
      <c r="J118" s="181" t="s">
        <v>788</v>
      </c>
      <c r="K118" s="129"/>
      <c r="L118" s="74" t="s">
        <v>136</v>
      </c>
    </row>
    <row r="119" spans="1:12" s="6" customFormat="1" ht="33" x14ac:dyDescent="0.25">
      <c r="A119" s="18">
        <v>25</v>
      </c>
      <c r="B119" s="74" t="s">
        <v>783</v>
      </c>
      <c r="C119" s="75" t="s">
        <v>784</v>
      </c>
      <c r="D119" s="72" t="s">
        <v>0</v>
      </c>
      <c r="E119" s="72">
        <v>0</v>
      </c>
      <c r="F119" s="72"/>
      <c r="G119" s="73"/>
      <c r="H119" s="217">
        <v>16</v>
      </c>
      <c r="I119" s="73"/>
      <c r="J119" s="181" t="s">
        <v>789</v>
      </c>
      <c r="K119" s="129"/>
      <c r="L119" s="74" t="s">
        <v>136</v>
      </c>
    </row>
    <row r="120" spans="1:12" s="6" customFormat="1" ht="82.5" x14ac:dyDescent="0.25">
      <c r="A120" s="18">
        <v>26</v>
      </c>
      <c r="B120" s="74" t="s">
        <v>785</v>
      </c>
      <c r="C120" s="75" t="s">
        <v>786</v>
      </c>
      <c r="D120" s="72" t="s">
        <v>0</v>
      </c>
      <c r="E120" s="72">
        <v>0</v>
      </c>
      <c r="F120" s="72">
        <v>0</v>
      </c>
      <c r="G120" s="73"/>
      <c r="H120" s="217">
        <v>3</v>
      </c>
      <c r="I120" s="73"/>
      <c r="J120" s="181" t="s">
        <v>493</v>
      </c>
      <c r="K120" s="129"/>
      <c r="L120" s="74" t="s">
        <v>136</v>
      </c>
    </row>
    <row r="121" spans="1:12" s="6" customFormat="1" ht="49.5" x14ac:dyDescent="0.25">
      <c r="A121" s="18">
        <v>27</v>
      </c>
      <c r="B121" s="74" t="s">
        <v>577</v>
      </c>
      <c r="C121" s="218" t="s">
        <v>578</v>
      </c>
      <c r="D121" s="72" t="s">
        <v>0</v>
      </c>
      <c r="E121" s="219">
        <v>4</v>
      </c>
      <c r="F121" s="72">
        <v>0</v>
      </c>
      <c r="G121" s="73">
        <f t="shared" si="1"/>
        <v>4</v>
      </c>
      <c r="H121" s="217">
        <f>E121</f>
        <v>4</v>
      </c>
      <c r="I121" s="73"/>
      <c r="J121" s="220" t="s">
        <v>579</v>
      </c>
      <c r="K121" s="129"/>
      <c r="L121" s="181"/>
    </row>
    <row r="122" spans="1:12" s="6" customFormat="1" ht="49.5" x14ac:dyDescent="0.25">
      <c r="A122" s="18">
        <v>28</v>
      </c>
      <c r="B122" s="19" t="s">
        <v>606</v>
      </c>
      <c r="C122" s="23" t="s">
        <v>607</v>
      </c>
      <c r="D122" s="18" t="s">
        <v>0</v>
      </c>
      <c r="E122" s="18">
        <v>82</v>
      </c>
      <c r="F122" s="18">
        <v>0</v>
      </c>
      <c r="G122" s="20">
        <f t="shared" si="1"/>
        <v>82</v>
      </c>
      <c r="H122" s="155">
        <f t="shared" ref="H122:H135" si="3">E122</f>
        <v>82</v>
      </c>
      <c r="I122" s="20"/>
      <c r="J122" s="166" t="s">
        <v>608</v>
      </c>
      <c r="K122" s="124"/>
      <c r="L122" s="22"/>
    </row>
    <row r="123" spans="1:12" s="6" customFormat="1" ht="33" x14ac:dyDescent="0.25">
      <c r="A123" s="18">
        <v>29</v>
      </c>
      <c r="B123" s="167" t="s">
        <v>580</v>
      </c>
      <c r="C123" s="79" t="s">
        <v>593</v>
      </c>
      <c r="D123" s="18" t="s">
        <v>386</v>
      </c>
      <c r="E123" s="159">
        <v>2</v>
      </c>
      <c r="F123" s="18">
        <v>0</v>
      </c>
      <c r="G123" s="20">
        <f t="shared" si="1"/>
        <v>2</v>
      </c>
      <c r="H123" s="155">
        <f t="shared" si="3"/>
        <v>2</v>
      </c>
      <c r="I123" s="20"/>
      <c r="J123" s="166" t="s">
        <v>739</v>
      </c>
      <c r="K123" s="124"/>
      <c r="L123" s="22"/>
    </row>
    <row r="124" spans="1:12" s="6" customFormat="1" ht="66" x14ac:dyDescent="0.25">
      <c r="A124" s="18">
        <v>30</v>
      </c>
      <c r="B124" s="167" t="s">
        <v>581</v>
      </c>
      <c r="C124" s="79" t="s">
        <v>594</v>
      </c>
      <c r="D124" s="18" t="s">
        <v>411</v>
      </c>
      <c r="E124" s="159">
        <v>30</v>
      </c>
      <c r="F124" s="18">
        <v>0</v>
      </c>
      <c r="G124" s="20">
        <f t="shared" si="1"/>
        <v>30</v>
      </c>
      <c r="H124" s="155">
        <f t="shared" si="3"/>
        <v>30</v>
      </c>
      <c r="I124" s="20"/>
      <c r="J124" s="166" t="s">
        <v>739</v>
      </c>
      <c r="K124" s="124"/>
      <c r="L124" s="22"/>
    </row>
    <row r="125" spans="1:12" s="6" customFormat="1" ht="115.5" x14ac:dyDescent="0.25">
      <c r="A125" s="18">
        <v>31</v>
      </c>
      <c r="B125" s="167" t="s">
        <v>582</v>
      </c>
      <c r="C125" s="79" t="s">
        <v>595</v>
      </c>
      <c r="D125" s="18" t="s">
        <v>411</v>
      </c>
      <c r="E125" s="159">
        <v>200</v>
      </c>
      <c r="F125" s="18">
        <v>0</v>
      </c>
      <c r="G125" s="20">
        <f t="shared" si="1"/>
        <v>200</v>
      </c>
      <c r="H125" s="155">
        <f t="shared" si="3"/>
        <v>200</v>
      </c>
      <c r="I125" s="20"/>
      <c r="J125" s="166" t="s">
        <v>739</v>
      </c>
      <c r="K125" s="124"/>
      <c r="L125" s="22"/>
    </row>
    <row r="126" spans="1:12" s="6" customFormat="1" ht="82.5" x14ac:dyDescent="0.25">
      <c r="A126" s="18">
        <v>32</v>
      </c>
      <c r="B126" s="167" t="s">
        <v>583</v>
      </c>
      <c r="C126" s="79" t="s">
        <v>596</v>
      </c>
      <c r="D126" s="18" t="s">
        <v>411</v>
      </c>
      <c r="E126" s="159">
        <v>200</v>
      </c>
      <c r="F126" s="18">
        <v>0</v>
      </c>
      <c r="G126" s="20">
        <f t="shared" si="1"/>
        <v>200</v>
      </c>
      <c r="H126" s="155">
        <f t="shared" si="3"/>
        <v>200</v>
      </c>
      <c r="I126" s="20"/>
      <c r="J126" s="166" t="s">
        <v>740</v>
      </c>
      <c r="K126" s="124"/>
      <c r="L126" s="22"/>
    </row>
    <row r="127" spans="1:12" s="6" customFormat="1" ht="66" x14ac:dyDescent="0.25">
      <c r="A127" s="18">
        <v>33</v>
      </c>
      <c r="B127" s="167" t="s">
        <v>584</v>
      </c>
      <c r="C127" s="79" t="s">
        <v>597</v>
      </c>
      <c r="D127" s="18" t="s">
        <v>0</v>
      </c>
      <c r="E127" s="159">
        <v>40</v>
      </c>
      <c r="F127" s="18">
        <v>0</v>
      </c>
      <c r="G127" s="20">
        <f t="shared" si="1"/>
        <v>40</v>
      </c>
      <c r="H127" s="155">
        <f t="shared" si="3"/>
        <v>40</v>
      </c>
      <c r="I127" s="20"/>
      <c r="J127" s="166" t="s">
        <v>740</v>
      </c>
      <c r="K127" s="124"/>
      <c r="L127" s="22"/>
    </row>
    <row r="128" spans="1:12" s="6" customFormat="1" ht="82.5" x14ac:dyDescent="0.25">
      <c r="A128" s="18">
        <v>34</v>
      </c>
      <c r="B128" s="167" t="s">
        <v>585</v>
      </c>
      <c r="C128" s="79" t="s">
        <v>598</v>
      </c>
      <c r="D128" s="18" t="s">
        <v>0</v>
      </c>
      <c r="E128" s="159">
        <v>5</v>
      </c>
      <c r="F128" s="18">
        <v>0</v>
      </c>
      <c r="G128" s="20">
        <f t="shared" si="1"/>
        <v>5</v>
      </c>
      <c r="H128" s="155">
        <v>10</v>
      </c>
      <c r="I128" s="20"/>
      <c r="J128" s="166" t="s">
        <v>740</v>
      </c>
      <c r="K128" s="124"/>
      <c r="L128" s="22"/>
    </row>
    <row r="129" spans="1:12" s="6" customFormat="1" ht="49.5" x14ac:dyDescent="0.25">
      <c r="A129" s="18">
        <v>35</v>
      </c>
      <c r="B129" s="167" t="s">
        <v>586</v>
      </c>
      <c r="C129" s="79" t="s">
        <v>599</v>
      </c>
      <c r="D129" s="18" t="s">
        <v>0</v>
      </c>
      <c r="E129" s="159">
        <v>4</v>
      </c>
      <c r="F129" s="18">
        <v>0</v>
      </c>
      <c r="G129" s="20">
        <f t="shared" si="1"/>
        <v>4</v>
      </c>
      <c r="H129" s="155">
        <f t="shared" si="3"/>
        <v>4</v>
      </c>
      <c r="I129" s="20"/>
      <c r="J129" s="166" t="s">
        <v>739</v>
      </c>
      <c r="K129" s="124"/>
      <c r="L129" s="22"/>
    </row>
    <row r="130" spans="1:12" s="6" customFormat="1" ht="66" x14ac:dyDescent="0.25">
      <c r="A130" s="18">
        <v>36</v>
      </c>
      <c r="B130" s="167" t="s">
        <v>587</v>
      </c>
      <c r="C130" s="79" t="s">
        <v>600</v>
      </c>
      <c r="D130" s="18" t="s">
        <v>0</v>
      </c>
      <c r="E130" s="159">
        <v>4</v>
      </c>
      <c r="F130" s="18">
        <v>0</v>
      </c>
      <c r="G130" s="20">
        <f t="shared" si="1"/>
        <v>4</v>
      </c>
      <c r="H130" s="155">
        <f t="shared" si="3"/>
        <v>4</v>
      </c>
      <c r="I130" s="20"/>
      <c r="J130" s="166" t="s">
        <v>740</v>
      </c>
      <c r="K130" s="124"/>
      <c r="L130" s="22"/>
    </row>
    <row r="131" spans="1:12" s="6" customFormat="1" ht="82.5" x14ac:dyDescent="0.25">
      <c r="A131" s="18">
        <v>37</v>
      </c>
      <c r="B131" s="167" t="s">
        <v>588</v>
      </c>
      <c r="C131" s="79" t="s">
        <v>601</v>
      </c>
      <c r="D131" s="18" t="s">
        <v>0</v>
      </c>
      <c r="E131" s="159">
        <v>5</v>
      </c>
      <c r="F131" s="18">
        <v>0</v>
      </c>
      <c r="G131" s="20">
        <f t="shared" si="1"/>
        <v>5</v>
      </c>
      <c r="H131" s="155">
        <f t="shared" si="3"/>
        <v>5</v>
      </c>
      <c r="I131" s="20"/>
      <c r="J131" s="166" t="s">
        <v>740</v>
      </c>
      <c r="K131" s="124"/>
      <c r="L131" s="22"/>
    </row>
    <row r="132" spans="1:12" s="6" customFormat="1" ht="82.5" x14ac:dyDescent="0.25">
      <c r="A132" s="18">
        <v>38</v>
      </c>
      <c r="B132" s="167" t="s">
        <v>589</v>
      </c>
      <c r="C132" s="79" t="s">
        <v>602</v>
      </c>
      <c r="D132" s="18" t="s">
        <v>0</v>
      </c>
      <c r="E132" s="159">
        <v>1</v>
      </c>
      <c r="F132" s="18">
        <v>0</v>
      </c>
      <c r="G132" s="20">
        <f t="shared" si="1"/>
        <v>1</v>
      </c>
      <c r="H132" s="155">
        <f t="shared" si="3"/>
        <v>1</v>
      </c>
      <c r="I132" s="20"/>
      <c r="J132" s="166" t="s">
        <v>740</v>
      </c>
      <c r="K132" s="124"/>
      <c r="L132" s="22"/>
    </row>
    <row r="133" spans="1:12" s="6" customFormat="1" ht="82.5" x14ac:dyDescent="0.25">
      <c r="A133" s="18">
        <v>39</v>
      </c>
      <c r="B133" s="167" t="s">
        <v>590</v>
      </c>
      <c r="C133" s="79" t="s">
        <v>603</v>
      </c>
      <c r="D133" s="18" t="s">
        <v>0</v>
      </c>
      <c r="E133" s="159">
        <v>1</v>
      </c>
      <c r="F133" s="18">
        <v>0</v>
      </c>
      <c r="G133" s="20">
        <f t="shared" si="1"/>
        <v>1</v>
      </c>
      <c r="H133" s="155">
        <f t="shared" si="3"/>
        <v>1</v>
      </c>
      <c r="I133" s="20"/>
      <c r="J133" s="166" t="s">
        <v>740</v>
      </c>
      <c r="K133" s="124"/>
      <c r="L133" s="22"/>
    </row>
    <row r="134" spans="1:12" s="6" customFormat="1" ht="82.5" x14ac:dyDescent="0.25">
      <c r="A134" s="18">
        <v>40</v>
      </c>
      <c r="B134" s="167" t="s">
        <v>591</v>
      </c>
      <c r="C134" s="79" t="s">
        <v>604</v>
      </c>
      <c r="D134" s="18" t="s">
        <v>0</v>
      </c>
      <c r="E134" s="159">
        <v>1</v>
      </c>
      <c r="F134" s="18">
        <v>0</v>
      </c>
      <c r="G134" s="20">
        <f t="shared" si="1"/>
        <v>1</v>
      </c>
      <c r="H134" s="155">
        <f t="shared" si="3"/>
        <v>1</v>
      </c>
      <c r="I134" s="20"/>
      <c r="J134" s="166" t="s">
        <v>740</v>
      </c>
      <c r="K134" s="124"/>
      <c r="L134" s="22"/>
    </row>
    <row r="135" spans="1:12" s="6" customFormat="1" ht="115.5" x14ac:dyDescent="0.25">
      <c r="A135" s="18">
        <v>41</v>
      </c>
      <c r="B135" s="167" t="s">
        <v>592</v>
      </c>
      <c r="C135" s="79" t="s">
        <v>605</v>
      </c>
      <c r="D135" s="18" t="s">
        <v>0</v>
      </c>
      <c r="E135" s="159">
        <v>1</v>
      </c>
      <c r="F135" s="18">
        <v>0</v>
      </c>
      <c r="G135" s="20">
        <f t="shared" si="1"/>
        <v>1</v>
      </c>
      <c r="H135" s="155">
        <f t="shared" si="3"/>
        <v>1</v>
      </c>
      <c r="I135" s="20"/>
      <c r="J135" s="166" t="s">
        <v>740</v>
      </c>
      <c r="K135" s="124"/>
      <c r="L135" s="22"/>
    </row>
    <row r="136" spans="1:12" s="6" customFormat="1" x14ac:dyDescent="0.25">
      <c r="A136" s="18">
        <v>42</v>
      </c>
      <c r="B136" s="19" t="s">
        <v>398</v>
      </c>
      <c r="C136" s="19" t="s">
        <v>397</v>
      </c>
      <c r="D136" s="18" t="s">
        <v>0</v>
      </c>
      <c r="E136" s="20">
        <v>0</v>
      </c>
      <c r="F136" s="20">
        <v>1974</v>
      </c>
      <c r="G136" s="20">
        <v>0</v>
      </c>
      <c r="H136" s="165">
        <v>1000</v>
      </c>
      <c r="I136" s="20"/>
      <c r="J136" s="166" t="s">
        <v>749</v>
      </c>
      <c r="K136" s="124"/>
      <c r="L136" s="22"/>
    </row>
    <row r="137" spans="1:12" ht="33" x14ac:dyDescent="0.25">
      <c r="A137" s="18">
        <v>43</v>
      </c>
      <c r="B137" s="175" t="s">
        <v>644</v>
      </c>
      <c r="C137" s="175" t="s">
        <v>645</v>
      </c>
      <c r="D137" s="176" t="s">
        <v>0</v>
      </c>
      <c r="E137" s="18">
        <v>0</v>
      </c>
      <c r="F137" s="18">
        <v>0</v>
      </c>
      <c r="G137" s="20">
        <f t="shared" si="1"/>
        <v>0</v>
      </c>
      <c r="H137" s="177">
        <v>4</v>
      </c>
      <c r="I137" s="177"/>
      <c r="J137" s="168" t="s">
        <v>696</v>
      </c>
      <c r="K137" s="177">
        <v>4</v>
      </c>
      <c r="L137" s="178"/>
    </row>
    <row r="138" spans="1:12" x14ac:dyDescent="0.25">
      <c r="A138" s="18">
        <v>44</v>
      </c>
      <c r="B138" s="175" t="s">
        <v>646</v>
      </c>
      <c r="C138" s="175" t="s">
        <v>647</v>
      </c>
      <c r="D138" s="176" t="s">
        <v>0</v>
      </c>
      <c r="E138" s="18">
        <v>0</v>
      </c>
      <c r="F138" s="18">
        <v>0</v>
      </c>
      <c r="G138" s="20">
        <f t="shared" si="1"/>
        <v>0</v>
      </c>
      <c r="H138" s="177">
        <v>3</v>
      </c>
      <c r="I138" s="177"/>
      <c r="J138" s="168" t="s">
        <v>696</v>
      </c>
      <c r="K138" s="177">
        <v>3</v>
      </c>
      <c r="L138" s="178"/>
    </row>
    <row r="139" spans="1:12" x14ac:dyDescent="0.25">
      <c r="A139" s="18">
        <v>45</v>
      </c>
      <c r="B139" s="175" t="s">
        <v>648</v>
      </c>
      <c r="C139" s="175" t="s">
        <v>649</v>
      </c>
      <c r="D139" s="176" t="s">
        <v>0</v>
      </c>
      <c r="E139" s="18">
        <v>0</v>
      </c>
      <c r="F139" s="18">
        <v>0</v>
      </c>
      <c r="G139" s="20">
        <f t="shared" si="1"/>
        <v>0</v>
      </c>
      <c r="H139" s="177">
        <v>40</v>
      </c>
      <c r="I139" s="177"/>
      <c r="J139" s="168" t="s">
        <v>696</v>
      </c>
      <c r="K139" s="177">
        <v>40</v>
      </c>
      <c r="L139" s="178"/>
    </row>
    <row r="140" spans="1:12" ht="33" x14ac:dyDescent="0.25">
      <c r="A140" s="18">
        <v>46</v>
      </c>
      <c r="B140" s="175" t="s">
        <v>743</v>
      </c>
      <c r="C140" s="175" t="s">
        <v>744</v>
      </c>
      <c r="D140" s="176" t="s">
        <v>0</v>
      </c>
      <c r="E140" s="18">
        <v>0</v>
      </c>
      <c r="F140" s="18">
        <v>0</v>
      </c>
      <c r="G140" s="20">
        <f t="shared" si="1"/>
        <v>0</v>
      </c>
      <c r="H140" s="177">
        <v>2</v>
      </c>
      <c r="I140" s="177"/>
      <c r="J140" s="168" t="s">
        <v>696</v>
      </c>
      <c r="K140" s="177"/>
      <c r="L140" s="178"/>
    </row>
    <row r="141" spans="1:12" ht="33" x14ac:dyDescent="0.25">
      <c r="A141" s="18">
        <v>47</v>
      </c>
      <c r="B141" s="175" t="s">
        <v>650</v>
      </c>
      <c r="C141" s="175" t="s">
        <v>651</v>
      </c>
      <c r="D141" s="176" t="s">
        <v>0</v>
      </c>
      <c r="E141" s="18">
        <v>0</v>
      </c>
      <c r="F141" s="18">
        <v>0</v>
      </c>
      <c r="G141" s="20">
        <f t="shared" si="1"/>
        <v>0</v>
      </c>
      <c r="H141" s="177">
        <v>4</v>
      </c>
      <c r="I141" s="177"/>
      <c r="J141" s="168" t="s">
        <v>696</v>
      </c>
      <c r="K141" s="177">
        <v>4</v>
      </c>
      <c r="L141" s="178"/>
    </row>
    <row r="142" spans="1:12" ht="33" x14ac:dyDescent="0.25">
      <c r="A142" s="18">
        <v>48</v>
      </c>
      <c r="B142" s="175" t="s">
        <v>652</v>
      </c>
      <c r="C142" s="175" t="s">
        <v>653</v>
      </c>
      <c r="D142" s="176" t="s">
        <v>428</v>
      </c>
      <c r="E142" s="18">
        <v>0</v>
      </c>
      <c r="F142" s="18">
        <v>0</v>
      </c>
      <c r="G142" s="20">
        <f t="shared" si="1"/>
        <v>0</v>
      </c>
      <c r="H142" s="177">
        <v>6</v>
      </c>
      <c r="I142" s="177"/>
      <c r="J142" s="168" t="s">
        <v>696</v>
      </c>
      <c r="K142" s="177">
        <v>6</v>
      </c>
      <c r="L142" s="178"/>
    </row>
    <row r="143" spans="1:12" ht="66" x14ac:dyDescent="0.25">
      <c r="A143" s="18">
        <v>49</v>
      </c>
      <c r="B143" s="175" t="s">
        <v>654</v>
      </c>
      <c r="C143" s="175" t="s">
        <v>655</v>
      </c>
      <c r="D143" s="176" t="s">
        <v>42</v>
      </c>
      <c r="E143" s="18">
        <v>0</v>
      </c>
      <c r="F143" s="18">
        <v>0</v>
      </c>
      <c r="G143" s="20">
        <f t="shared" si="1"/>
        <v>0</v>
      </c>
      <c r="H143" s="177">
        <v>3</v>
      </c>
      <c r="I143" s="177"/>
      <c r="J143" s="168" t="s">
        <v>696</v>
      </c>
      <c r="K143" s="177">
        <v>3</v>
      </c>
      <c r="L143" s="178"/>
    </row>
    <row r="144" spans="1:12" ht="33" x14ac:dyDescent="0.25">
      <c r="A144" s="18">
        <v>50</v>
      </c>
      <c r="B144" s="175" t="s">
        <v>656</v>
      </c>
      <c r="C144" s="175" t="s">
        <v>657</v>
      </c>
      <c r="D144" s="176" t="s">
        <v>0</v>
      </c>
      <c r="E144" s="18">
        <v>0</v>
      </c>
      <c r="F144" s="18">
        <v>0</v>
      </c>
      <c r="G144" s="20">
        <f t="shared" si="1"/>
        <v>0</v>
      </c>
      <c r="H144" s="177">
        <v>2</v>
      </c>
      <c r="I144" s="177"/>
      <c r="J144" s="168" t="s">
        <v>696</v>
      </c>
      <c r="K144" s="177">
        <v>2</v>
      </c>
      <c r="L144" s="178"/>
    </row>
    <row r="145" spans="1:12" x14ac:dyDescent="0.25">
      <c r="A145" s="18">
        <v>51</v>
      </c>
      <c r="B145" s="175" t="s">
        <v>658</v>
      </c>
      <c r="C145" s="175" t="s">
        <v>659</v>
      </c>
      <c r="D145" s="176" t="s">
        <v>0</v>
      </c>
      <c r="E145" s="18">
        <v>0</v>
      </c>
      <c r="F145" s="18">
        <v>0</v>
      </c>
      <c r="G145" s="20">
        <f t="shared" si="1"/>
        <v>0</v>
      </c>
      <c r="H145" s="177">
        <v>3</v>
      </c>
      <c r="I145" s="177"/>
      <c r="J145" s="168" t="s">
        <v>696</v>
      </c>
      <c r="K145" s="177">
        <v>3</v>
      </c>
      <c r="L145" s="178"/>
    </row>
    <row r="146" spans="1:12" ht="66" x14ac:dyDescent="0.25">
      <c r="A146" s="18">
        <v>52</v>
      </c>
      <c r="B146" s="175" t="s">
        <v>660</v>
      </c>
      <c r="C146" s="175" t="s">
        <v>661</v>
      </c>
      <c r="D146" s="176" t="s">
        <v>0</v>
      </c>
      <c r="E146" s="18">
        <v>0</v>
      </c>
      <c r="F146" s="18">
        <v>0</v>
      </c>
      <c r="G146" s="20">
        <f t="shared" si="1"/>
        <v>0</v>
      </c>
      <c r="H146" s="177">
        <v>6</v>
      </c>
      <c r="I146" s="177"/>
      <c r="J146" s="168" t="s">
        <v>696</v>
      </c>
      <c r="K146" s="177">
        <v>6</v>
      </c>
      <c r="L146" s="178"/>
    </row>
    <row r="147" spans="1:12" ht="49.5" x14ac:dyDescent="0.25">
      <c r="A147" s="18">
        <v>53</v>
      </c>
      <c r="B147" s="175" t="s">
        <v>662</v>
      </c>
      <c r="C147" s="175" t="s">
        <v>663</v>
      </c>
      <c r="D147" s="176" t="s">
        <v>0</v>
      </c>
      <c r="E147" s="18">
        <v>0</v>
      </c>
      <c r="F147" s="18">
        <v>0</v>
      </c>
      <c r="G147" s="20">
        <f t="shared" si="1"/>
        <v>0</v>
      </c>
      <c r="H147" s="177">
        <v>8</v>
      </c>
      <c r="I147" s="177"/>
      <c r="J147" s="168" t="s">
        <v>696</v>
      </c>
      <c r="K147" s="177">
        <v>8</v>
      </c>
      <c r="L147" s="178"/>
    </row>
    <row r="148" spans="1:12" ht="49.5" x14ac:dyDescent="0.25">
      <c r="A148" s="18">
        <v>54</v>
      </c>
      <c r="B148" s="175" t="s">
        <v>664</v>
      </c>
      <c r="C148" s="175" t="s">
        <v>665</v>
      </c>
      <c r="D148" s="176" t="s">
        <v>0</v>
      </c>
      <c r="E148" s="18">
        <v>0</v>
      </c>
      <c r="F148" s="18">
        <v>0</v>
      </c>
      <c r="G148" s="20">
        <f t="shared" si="1"/>
        <v>0</v>
      </c>
      <c r="H148" s="177">
        <v>1</v>
      </c>
      <c r="I148" s="177"/>
      <c r="J148" s="168" t="s">
        <v>696</v>
      </c>
      <c r="K148" s="177">
        <v>1</v>
      </c>
      <c r="L148" s="178"/>
    </row>
    <row r="149" spans="1:12" ht="66" x14ac:dyDescent="0.25">
      <c r="A149" s="18">
        <v>55</v>
      </c>
      <c r="B149" s="175" t="s">
        <v>666</v>
      </c>
      <c r="C149" s="175" t="s">
        <v>667</v>
      </c>
      <c r="D149" s="176" t="s">
        <v>0</v>
      </c>
      <c r="E149" s="18">
        <v>0</v>
      </c>
      <c r="F149" s="18">
        <v>0</v>
      </c>
      <c r="G149" s="20">
        <f t="shared" si="1"/>
        <v>0</v>
      </c>
      <c r="H149" s="177">
        <v>20</v>
      </c>
      <c r="I149" s="177"/>
      <c r="J149" s="168" t="s">
        <v>697</v>
      </c>
      <c r="K149" s="177">
        <v>20</v>
      </c>
      <c r="L149" s="178"/>
    </row>
    <row r="150" spans="1:12" ht="33" x14ac:dyDescent="0.25">
      <c r="A150" s="18">
        <v>56</v>
      </c>
      <c r="B150" s="175" t="s">
        <v>668</v>
      </c>
      <c r="C150" s="175" t="s">
        <v>669</v>
      </c>
      <c r="D150" s="176" t="s">
        <v>2</v>
      </c>
      <c r="E150" s="18">
        <v>0</v>
      </c>
      <c r="F150" s="18">
        <v>0</v>
      </c>
      <c r="G150" s="20">
        <f t="shared" si="1"/>
        <v>0</v>
      </c>
      <c r="H150" s="177">
        <v>25</v>
      </c>
      <c r="I150" s="177"/>
      <c r="J150" s="168" t="s">
        <v>697</v>
      </c>
      <c r="K150" s="177">
        <v>25</v>
      </c>
      <c r="L150" s="178"/>
    </row>
    <row r="151" spans="1:12" ht="49.5" x14ac:dyDescent="0.25">
      <c r="A151" s="18">
        <v>57</v>
      </c>
      <c r="B151" s="175" t="s">
        <v>670</v>
      </c>
      <c r="C151" s="175" t="s">
        <v>671</v>
      </c>
      <c r="D151" s="176" t="s">
        <v>2</v>
      </c>
      <c r="E151" s="18">
        <v>0</v>
      </c>
      <c r="F151" s="18">
        <v>0</v>
      </c>
      <c r="G151" s="20">
        <f t="shared" si="1"/>
        <v>0</v>
      </c>
      <c r="H151" s="177">
        <v>20</v>
      </c>
      <c r="I151" s="177"/>
      <c r="J151" s="168" t="s">
        <v>697</v>
      </c>
      <c r="K151" s="177">
        <v>20</v>
      </c>
      <c r="L151" s="178"/>
    </row>
    <row r="152" spans="1:12" ht="33" x14ac:dyDescent="0.25">
      <c r="A152" s="18">
        <v>58</v>
      </c>
      <c r="B152" s="175" t="s">
        <v>672</v>
      </c>
      <c r="C152" s="175" t="s">
        <v>673</v>
      </c>
      <c r="D152" s="176" t="s">
        <v>2</v>
      </c>
      <c r="E152" s="18">
        <v>0</v>
      </c>
      <c r="F152" s="18">
        <v>0</v>
      </c>
      <c r="G152" s="20">
        <f t="shared" si="1"/>
        <v>0</v>
      </c>
      <c r="H152" s="177">
        <v>40</v>
      </c>
      <c r="I152" s="177"/>
      <c r="J152" s="168" t="s">
        <v>697</v>
      </c>
      <c r="K152" s="177">
        <v>40</v>
      </c>
      <c r="L152" s="178"/>
    </row>
    <row r="153" spans="1:12" ht="49.5" x14ac:dyDescent="0.25">
      <c r="A153" s="18">
        <v>59</v>
      </c>
      <c r="B153" s="175" t="s">
        <v>674</v>
      </c>
      <c r="C153" s="175" t="s">
        <v>675</v>
      </c>
      <c r="D153" s="176" t="s">
        <v>2</v>
      </c>
      <c r="E153" s="18">
        <v>0</v>
      </c>
      <c r="F153" s="18">
        <v>0</v>
      </c>
      <c r="G153" s="20">
        <f t="shared" si="1"/>
        <v>0</v>
      </c>
      <c r="H153" s="177">
        <v>20</v>
      </c>
      <c r="I153" s="177"/>
      <c r="J153" s="168" t="s">
        <v>697</v>
      </c>
      <c r="K153" s="177">
        <v>20</v>
      </c>
      <c r="L153" s="178"/>
    </row>
    <row r="154" spans="1:12" ht="49.5" x14ac:dyDescent="0.25">
      <c r="A154" s="18">
        <v>60</v>
      </c>
      <c r="B154" s="175" t="s">
        <v>676</v>
      </c>
      <c r="C154" s="175" t="s">
        <v>677</v>
      </c>
      <c r="D154" s="176" t="s">
        <v>2</v>
      </c>
      <c r="E154" s="18">
        <v>0</v>
      </c>
      <c r="F154" s="18">
        <v>0</v>
      </c>
      <c r="G154" s="20">
        <f t="shared" si="1"/>
        <v>0</v>
      </c>
      <c r="H154" s="177">
        <v>20</v>
      </c>
      <c r="I154" s="177"/>
      <c r="J154" s="168" t="s">
        <v>697</v>
      </c>
      <c r="K154" s="177">
        <v>20</v>
      </c>
      <c r="L154" s="178"/>
    </row>
    <row r="155" spans="1:12" x14ac:dyDescent="0.25">
      <c r="A155" s="18">
        <v>61</v>
      </c>
      <c r="B155" s="175" t="s">
        <v>678</v>
      </c>
      <c r="C155" s="175" t="s">
        <v>679</v>
      </c>
      <c r="D155" s="176" t="s">
        <v>2</v>
      </c>
      <c r="E155" s="18">
        <v>0</v>
      </c>
      <c r="F155" s="18">
        <v>0</v>
      </c>
      <c r="G155" s="20">
        <f t="shared" si="1"/>
        <v>0</v>
      </c>
      <c r="H155" s="177">
        <v>50</v>
      </c>
      <c r="I155" s="177"/>
      <c r="J155" s="168" t="s">
        <v>697</v>
      </c>
      <c r="K155" s="177">
        <v>50</v>
      </c>
      <c r="L155" s="178"/>
    </row>
    <row r="156" spans="1:12" x14ac:dyDescent="0.25">
      <c r="A156" s="18">
        <v>62</v>
      </c>
      <c r="B156" s="175" t="s">
        <v>680</v>
      </c>
      <c r="C156" s="175" t="s">
        <v>681</v>
      </c>
      <c r="D156" s="176" t="s">
        <v>2</v>
      </c>
      <c r="E156" s="18">
        <v>0</v>
      </c>
      <c r="F156" s="18">
        <v>0</v>
      </c>
      <c r="G156" s="20">
        <f t="shared" si="1"/>
        <v>0</v>
      </c>
      <c r="H156" s="177">
        <v>120</v>
      </c>
      <c r="I156" s="177"/>
      <c r="J156" s="168" t="s">
        <v>697</v>
      </c>
      <c r="K156" s="177">
        <v>1.2</v>
      </c>
      <c r="L156" s="178"/>
    </row>
    <row r="157" spans="1:12" ht="33" x14ac:dyDescent="0.25">
      <c r="A157" s="18">
        <v>63</v>
      </c>
      <c r="B157" s="175" t="s">
        <v>682</v>
      </c>
      <c r="C157" s="175" t="s">
        <v>683</v>
      </c>
      <c r="D157" s="176" t="s">
        <v>2</v>
      </c>
      <c r="E157" s="18">
        <v>0</v>
      </c>
      <c r="F157" s="18">
        <v>0</v>
      </c>
      <c r="G157" s="20">
        <f t="shared" si="1"/>
        <v>0</v>
      </c>
      <c r="H157" s="177">
        <v>20</v>
      </c>
      <c r="I157" s="177"/>
      <c r="J157" s="168" t="s">
        <v>697</v>
      </c>
      <c r="K157" s="177">
        <v>20</v>
      </c>
      <c r="L157" s="178"/>
    </row>
    <row r="158" spans="1:12" ht="33" x14ac:dyDescent="0.25">
      <c r="A158" s="18">
        <v>64</v>
      </c>
      <c r="B158" s="175" t="s">
        <v>684</v>
      </c>
      <c r="C158" s="175" t="s">
        <v>685</v>
      </c>
      <c r="D158" s="176" t="s">
        <v>2</v>
      </c>
      <c r="E158" s="18">
        <v>0</v>
      </c>
      <c r="F158" s="18">
        <v>0</v>
      </c>
      <c r="G158" s="20">
        <f t="shared" si="1"/>
        <v>0</v>
      </c>
      <c r="H158" s="177">
        <v>5</v>
      </c>
      <c r="I158" s="177"/>
      <c r="J158" s="168" t="s">
        <v>697</v>
      </c>
      <c r="K158" s="177">
        <v>5</v>
      </c>
      <c r="L158" s="178"/>
    </row>
    <row r="159" spans="1:12" ht="33" x14ac:dyDescent="0.25">
      <c r="A159" s="18">
        <v>65</v>
      </c>
      <c r="B159" s="174" t="s">
        <v>747</v>
      </c>
      <c r="C159" s="174" t="s">
        <v>748</v>
      </c>
      <c r="D159" s="176" t="s">
        <v>66</v>
      </c>
      <c r="E159" s="18">
        <v>0</v>
      </c>
      <c r="F159" s="18">
        <v>0</v>
      </c>
      <c r="G159" s="20">
        <f>E159-F159</f>
        <v>0</v>
      </c>
      <c r="H159" s="177">
        <v>120</v>
      </c>
      <c r="I159" s="177"/>
      <c r="J159" s="168" t="s">
        <v>745</v>
      </c>
      <c r="K159" s="177"/>
      <c r="L159" s="178"/>
    </row>
    <row r="160" spans="1:12" x14ac:dyDescent="0.25">
      <c r="A160" s="18">
        <v>66</v>
      </c>
      <c r="B160" s="174" t="s">
        <v>552</v>
      </c>
      <c r="C160" s="174" t="s">
        <v>553</v>
      </c>
      <c r="D160" s="176" t="s">
        <v>0</v>
      </c>
      <c r="E160" s="18">
        <v>0</v>
      </c>
      <c r="F160" s="18"/>
      <c r="G160" s="20">
        <f>E160-F160</f>
        <v>0</v>
      </c>
      <c r="H160" s="177">
        <v>30</v>
      </c>
      <c r="I160" s="177"/>
      <c r="J160" s="168" t="s">
        <v>746</v>
      </c>
      <c r="K160" s="177"/>
      <c r="L160" s="178"/>
    </row>
    <row r="161" spans="1:12" x14ac:dyDescent="0.25">
      <c r="A161" s="18">
        <v>67</v>
      </c>
      <c r="B161" s="174" t="s">
        <v>254</v>
      </c>
      <c r="C161" s="174" t="s">
        <v>265</v>
      </c>
      <c r="D161" s="176" t="s">
        <v>0</v>
      </c>
      <c r="E161" s="18">
        <v>0</v>
      </c>
      <c r="F161" s="18">
        <v>20</v>
      </c>
      <c r="G161" s="20">
        <v>0</v>
      </c>
      <c r="H161" s="177">
        <v>20</v>
      </c>
      <c r="I161" s="177"/>
      <c r="J161" s="168" t="s">
        <v>745</v>
      </c>
      <c r="K161" s="177"/>
      <c r="L161" s="178"/>
    </row>
    <row r="162" spans="1:12" ht="33" x14ac:dyDescent="0.25">
      <c r="A162" s="18">
        <v>68</v>
      </c>
      <c r="B162" s="18" t="s">
        <v>721</v>
      </c>
      <c r="C162" s="23" t="s">
        <v>722</v>
      </c>
      <c r="D162" s="18" t="s">
        <v>0</v>
      </c>
      <c r="E162" s="18">
        <v>0</v>
      </c>
      <c r="F162" s="18">
        <v>0</v>
      </c>
      <c r="G162" s="20">
        <f t="shared" si="1"/>
        <v>0</v>
      </c>
      <c r="H162" s="156">
        <v>5</v>
      </c>
      <c r="I162" s="18"/>
      <c r="J162" s="23" t="s">
        <v>727</v>
      </c>
      <c r="K162" s="156">
        <v>5</v>
      </c>
      <c r="L162" s="178" t="s">
        <v>140</v>
      </c>
    </row>
    <row r="163" spans="1:12" ht="49.5" x14ac:dyDescent="0.25">
      <c r="A163" s="18">
        <v>69</v>
      </c>
      <c r="B163" s="159" t="s">
        <v>723</v>
      </c>
      <c r="C163" s="166" t="s">
        <v>724</v>
      </c>
      <c r="D163" s="18" t="s">
        <v>0</v>
      </c>
      <c r="E163" s="18">
        <v>0</v>
      </c>
      <c r="F163" s="18">
        <v>0</v>
      </c>
      <c r="G163" s="20">
        <f t="shared" si="1"/>
        <v>0</v>
      </c>
      <c r="H163" s="156">
        <v>5</v>
      </c>
      <c r="I163" s="18"/>
      <c r="J163" s="23" t="s">
        <v>727</v>
      </c>
      <c r="K163" s="156">
        <v>5</v>
      </c>
      <c r="L163" s="178" t="s">
        <v>140</v>
      </c>
    </row>
    <row r="164" spans="1:12" ht="49.5" x14ac:dyDescent="0.25">
      <c r="A164" s="18">
        <v>70</v>
      </c>
      <c r="B164" s="159" t="s">
        <v>725</v>
      </c>
      <c r="C164" s="166" t="s">
        <v>726</v>
      </c>
      <c r="D164" s="18" t="s">
        <v>0</v>
      </c>
      <c r="E164" s="18">
        <v>0</v>
      </c>
      <c r="F164" s="18">
        <v>0</v>
      </c>
      <c r="G164" s="20">
        <f t="shared" si="1"/>
        <v>0</v>
      </c>
      <c r="H164" s="156">
        <v>4</v>
      </c>
      <c r="I164" s="18"/>
      <c r="J164" s="23" t="s">
        <v>727</v>
      </c>
      <c r="K164" s="156">
        <v>4</v>
      </c>
      <c r="L164" s="178" t="s">
        <v>140</v>
      </c>
    </row>
    <row r="1046519" spans="3:11" s="5" customFormat="1" ht="26.25" customHeight="1" x14ac:dyDescent="0.25">
      <c r="C1046519" s="23"/>
      <c r="H1046519" s="180"/>
      <c r="J1046519" s="49"/>
      <c r="K1046519" s="94"/>
    </row>
  </sheetData>
  <autoFilter ref="A21:X138" xr:uid="{00000000-0009-0000-0000-000008000000}"/>
  <mergeCells count="6">
    <mergeCell ref="B15:J15"/>
    <mergeCell ref="A10:B10"/>
    <mergeCell ref="A11:B11"/>
    <mergeCell ref="A12:B12"/>
    <mergeCell ref="H12:I12"/>
    <mergeCell ref="B14:J14"/>
  </mergeCells>
  <printOptions horizontalCentered="1"/>
  <pageMargins left="0" right="0" top="0.25" bottom="0.25" header="0.3" footer="0.3"/>
  <pageSetup scale="55"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46504"/>
  <sheetViews>
    <sheetView topLeftCell="A10" zoomScale="60" zoomScaleNormal="60" workbookViewId="0">
      <pane ySplit="12" topLeftCell="A144" activePane="bottomLeft" state="frozen"/>
      <selection activeCell="A10" sqref="A10"/>
      <selection pane="bottomLeft" activeCell="A147" sqref="A147:XFD149"/>
    </sheetView>
  </sheetViews>
  <sheetFormatPr defaultColWidth="9.140625" defaultRowHeight="16.5" x14ac:dyDescent="0.25"/>
  <cols>
    <col min="1" max="1" width="7" style="5" customWidth="1"/>
    <col min="2" max="2" width="28.5703125" style="5" customWidth="1"/>
    <col min="3" max="3" width="34" style="49" customWidth="1"/>
    <col min="4" max="4" width="11.7109375" style="5" customWidth="1"/>
    <col min="5" max="5" width="14" style="5" customWidth="1"/>
    <col min="6" max="7" width="11.7109375" style="5" customWidth="1"/>
    <col min="8" max="8" width="12.5703125" style="180" customWidth="1"/>
    <col min="9" max="9" width="9.5703125" style="5" customWidth="1"/>
    <col min="10" max="10" width="46.85546875" style="49" customWidth="1"/>
    <col min="11" max="11" width="12.7109375" style="94" customWidth="1"/>
    <col min="12" max="12" width="26.42578125" style="8" customWidth="1"/>
    <col min="13" max="16384" width="9.140625" style="8"/>
  </cols>
  <sheetData>
    <row r="1" spans="1:12" ht="28.5" hidden="1" customHeight="1" x14ac:dyDescent="0.25">
      <c r="A1" s="5" t="s">
        <v>8</v>
      </c>
      <c r="C1" s="87"/>
      <c r="D1" s="88"/>
      <c r="E1" s="88"/>
      <c r="F1" s="88"/>
      <c r="G1" s="88"/>
      <c r="H1" s="160"/>
      <c r="I1" s="88"/>
      <c r="J1" s="87"/>
      <c r="K1" s="91"/>
      <c r="L1" s="92"/>
    </row>
    <row r="2" spans="1:12" ht="28.5" hidden="1" customHeight="1" x14ac:dyDescent="0.25">
      <c r="A2" s="83" t="s">
        <v>9</v>
      </c>
      <c r="B2" s="83"/>
      <c r="C2" s="87"/>
      <c r="D2" s="88"/>
      <c r="E2" s="88"/>
      <c r="F2" s="88"/>
      <c r="G2" s="88"/>
      <c r="H2" s="160"/>
      <c r="I2" s="88"/>
      <c r="J2" s="87"/>
      <c r="K2" s="91"/>
      <c r="L2" s="92"/>
    </row>
    <row r="3" spans="1:12" ht="19.5" hidden="1" customHeight="1" x14ac:dyDescent="0.25">
      <c r="C3" s="87"/>
      <c r="D3" s="88"/>
      <c r="E3" s="88"/>
      <c r="F3" s="88"/>
      <c r="G3" s="88"/>
      <c r="H3" s="160"/>
      <c r="I3" s="88"/>
      <c r="J3" s="87"/>
      <c r="K3" s="91"/>
      <c r="L3" s="92"/>
    </row>
    <row r="4" spans="1:12" ht="14.25" hidden="1" customHeight="1" x14ac:dyDescent="0.25">
      <c r="C4" s="87"/>
      <c r="D4" s="88"/>
      <c r="E4" s="88"/>
      <c r="F4" s="88"/>
      <c r="G4" s="88"/>
      <c r="H4" s="160"/>
      <c r="I4" s="88"/>
      <c r="J4" s="87"/>
      <c r="K4" s="91"/>
      <c r="L4" s="92"/>
    </row>
    <row r="5" spans="1:12" ht="14.25" hidden="1" customHeight="1" x14ac:dyDescent="0.25">
      <c r="B5" s="5" t="s">
        <v>14</v>
      </c>
      <c r="C5" s="87"/>
      <c r="D5" s="88"/>
      <c r="E5" s="88"/>
      <c r="F5" s="88"/>
      <c r="G5" s="88"/>
      <c r="H5" s="160"/>
      <c r="I5" s="88"/>
      <c r="J5" s="87"/>
      <c r="K5" s="91"/>
      <c r="L5" s="92"/>
    </row>
    <row r="6" spans="1:12" ht="14.25" hidden="1" customHeight="1" x14ac:dyDescent="0.25">
      <c r="B6" s="5" t="s">
        <v>12</v>
      </c>
      <c r="C6" s="87"/>
      <c r="D6" s="88"/>
      <c r="E6" s="88"/>
      <c r="F6" s="88"/>
      <c r="G6" s="88"/>
      <c r="H6" s="160"/>
      <c r="I6" s="88"/>
      <c r="J6" s="87"/>
      <c r="K6" s="91"/>
      <c r="L6" s="92"/>
    </row>
    <row r="7" spans="1:12" ht="14.25" hidden="1" customHeight="1" x14ac:dyDescent="0.25">
      <c r="B7" s="5" t="s">
        <v>15</v>
      </c>
      <c r="C7" s="87"/>
      <c r="D7" s="88"/>
      <c r="E7" s="88"/>
      <c r="F7" s="88"/>
      <c r="G7" s="88"/>
      <c r="H7" s="160"/>
      <c r="I7" s="88"/>
      <c r="J7" s="87"/>
      <c r="K7" s="91"/>
      <c r="L7" s="92"/>
    </row>
    <row r="8" spans="1:12" ht="14.25" hidden="1" customHeight="1" x14ac:dyDescent="0.25">
      <c r="B8" s="5" t="s">
        <v>13</v>
      </c>
      <c r="C8" s="87"/>
      <c r="D8" s="88"/>
      <c r="E8" s="88"/>
      <c r="F8" s="88"/>
      <c r="G8" s="88"/>
      <c r="H8" s="160"/>
      <c r="I8" s="88"/>
      <c r="J8" s="87"/>
      <c r="K8" s="91"/>
      <c r="L8" s="92"/>
    </row>
    <row r="9" spans="1:12" ht="14.25" hidden="1" customHeight="1" x14ac:dyDescent="0.25">
      <c r="C9" s="87"/>
      <c r="D9" s="88"/>
      <c r="E9" s="88"/>
      <c r="F9" s="88"/>
      <c r="G9" s="88"/>
      <c r="H9" s="160"/>
      <c r="I9" s="88"/>
      <c r="J9" s="87"/>
      <c r="K9" s="91"/>
      <c r="L9" s="92"/>
    </row>
    <row r="10" spans="1:12" ht="45" customHeight="1" x14ac:dyDescent="0.25">
      <c r="A10" s="487" t="s">
        <v>109</v>
      </c>
      <c r="B10" s="487"/>
      <c r="C10" s="87"/>
      <c r="D10" s="88"/>
      <c r="E10" s="88"/>
      <c r="F10" s="88"/>
      <c r="G10" s="88"/>
      <c r="H10" s="160"/>
      <c r="I10" s="88"/>
      <c r="J10" s="93" t="s">
        <v>371</v>
      </c>
      <c r="L10" s="92"/>
    </row>
    <row r="11" spans="1:12" ht="18.75" x14ac:dyDescent="0.25">
      <c r="A11" s="488" t="s">
        <v>9</v>
      </c>
      <c r="B11" s="488"/>
      <c r="C11" s="95"/>
      <c r="D11" s="96"/>
      <c r="E11" s="96"/>
      <c r="F11" s="96"/>
      <c r="G11" s="96"/>
      <c r="H11" s="161"/>
      <c r="I11" s="96"/>
      <c r="J11" s="95"/>
      <c r="K11" s="99"/>
      <c r="L11" s="95"/>
    </row>
    <row r="12" spans="1:12" x14ac:dyDescent="0.25">
      <c r="A12" s="486" t="s">
        <v>738</v>
      </c>
      <c r="B12" s="486"/>
      <c r="C12" s="6"/>
      <c r="H12" s="489"/>
      <c r="I12" s="489"/>
      <c r="J12" s="101"/>
    </row>
    <row r="13" spans="1:12" x14ac:dyDescent="0.25">
      <c r="B13" s="8"/>
      <c r="C13" s="6"/>
      <c r="H13" s="101"/>
      <c r="J13" s="6"/>
    </row>
    <row r="14" spans="1:12" s="104" customFormat="1" ht="25.5" x14ac:dyDescent="0.25">
      <c r="A14" s="103"/>
      <c r="B14" s="490" t="s">
        <v>368</v>
      </c>
      <c r="C14" s="490"/>
      <c r="D14" s="490"/>
      <c r="E14" s="490"/>
      <c r="F14" s="490"/>
      <c r="G14" s="490"/>
      <c r="H14" s="490"/>
      <c r="I14" s="490"/>
      <c r="J14" s="490"/>
      <c r="K14" s="91"/>
    </row>
    <row r="15" spans="1:12" x14ac:dyDescent="0.25">
      <c r="B15" s="486" t="s">
        <v>609</v>
      </c>
      <c r="C15" s="486"/>
      <c r="D15" s="486"/>
      <c r="E15" s="486"/>
      <c r="F15" s="486"/>
      <c r="G15" s="486"/>
      <c r="H15" s="486"/>
      <c r="I15" s="486"/>
      <c r="J15" s="486"/>
      <c r="K15" s="105"/>
    </row>
    <row r="16" spans="1:12" x14ac:dyDescent="0.25">
      <c r="B16" s="8"/>
      <c r="C16" s="6"/>
      <c r="H16" s="101"/>
      <c r="J16" s="6"/>
      <c r="K16" s="105"/>
    </row>
    <row r="17" spans="1:12" x14ac:dyDescent="0.25">
      <c r="B17" s="8" t="s">
        <v>220</v>
      </c>
      <c r="C17" s="6"/>
      <c r="H17" s="101"/>
      <c r="J17" s="6" t="s">
        <v>512</v>
      </c>
      <c r="K17" s="105"/>
    </row>
    <row r="18" spans="1:12" x14ac:dyDescent="0.25">
      <c r="B18" s="8" t="s">
        <v>610</v>
      </c>
      <c r="C18" s="6"/>
      <c r="H18" s="101"/>
      <c r="J18" s="6" t="s">
        <v>513</v>
      </c>
      <c r="K18" s="105"/>
    </row>
    <row r="19" spans="1:12" x14ac:dyDescent="0.25">
      <c r="B19" s="8"/>
      <c r="C19" s="6"/>
      <c r="H19" s="101"/>
      <c r="J19" s="6" t="s">
        <v>514</v>
      </c>
      <c r="K19" s="105"/>
    </row>
    <row r="20" spans="1:12" x14ac:dyDescent="0.25">
      <c r="A20" s="106"/>
      <c r="B20" s="107"/>
      <c r="C20" s="108"/>
      <c r="D20" s="106"/>
      <c r="E20" s="106"/>
      <c r="F20" s="106"/>
      <c r="G20" s="106"/>
      <c r="H20" s="170"/>
      <c r="I20" s="106"/>
      <c r="J20" s="108"/>
      <c r="K20" s="111"/>
      <c r="L20" s="107"/>
    </row>
    <row r="21" spans="1:12" s="6" customFormat="1" ht="75" customHeight="1" x14ac:dyDescent="0.25">
      <c r="A21" s="112" t="s">
        <v>5</v>
      </c>
      <c r="B21" s="112" t="s">
        <v>10</v>
      </c>
      <c r="C21" s="112" t="s">
        <v>11</v>
      </c>
      <c r="D21" s="112" t="s">
        <v>6</v>
      </c>
      <c r="E21" s="112" t="s">
        <v>373</v>
      </c>
      <c r="F21" s="112" t="s">
        <v>404</v>
      </c>
      <c r="G21" s="112" t="s">
        <v>405</v>
      </c>
      <c r="H21" s="171" t="s">
        <v>406</v>
      </c>
      <c r="I21" s="115" t="s">
        <v>407</v>
      </c>
      <c r="J21" s="112" t="s">
        <v>408</v>
      </c>
      <c r="K21" s="116" t="s">
        <v>35</v>
      </c>
      <c r="L21" s="117" t="s">
        <v>108</v>
      </c>
    </row>
    <row r="22" spans="1:12" s="9" customFormat="1" x14ac:dyDescent="0.25">
      <c r="A22" s="61" t="s">
        <v>18</v>
      </c>
      <c r="B22" s="45"/>
      <c r="C22" s="45"/>
      <c r="D22" s="46"/>
      <c r="E22" s="46"/>
      <c r="F22" s="46"/>
      <c r="G22" s="46"/>
      <c r="H22" s="172"/>
      <c r="I22" s="46"/>
      <c r="J22" s="47"/>
      <c r="K22" s="120"/>
      <c r="L22" s="48"/>
    </row>
    <row r="23" spans="1:12" s="6" customFormat="1" ht="33" x14ac:dyDescent="0.25">
      <c r="A23" s="18">
        <v>1</v>
      </c>
      <c r="B23" s="19" t="s">
        <v>153</v>
      </c>
      <c r="C23" s="19" t="s">
        <v>54</v>
      </c>
      <c r="D23" s="20" t="s">
        <v>2</v>
      </c>
      <c r="E23" s="20">
        <v>2210</v>
      </c>
      <c r="F23" s="20">
        <v>0</v>
      </c>
      <c r="G23" s="20">
        <f>E23-F23</f>
        <v>2210</v>
      </c>
      <c r="H23" s="162">
        <v>30</v>
      </c>
      <c r="I23" s="18"/>
      <c r="J23" s="22" t="s">
        <v>55</v>
      </c>
      <c r="K23" s="123" t="s">
        <v>110</v>
      </c>
      <c r="L23" s="19" t="s">
        <v>76</v>
      </c>
    </row>
    <row r="24" spans="1:12" s="6" customFormat="1" ht="33" x14ac:dyDescent="0.25">
      <c r="A24" s="18">
        <v>2</v>
      </c>
      <c r="B24" s="19" t="s">
        <v>153</v>
      </c>
      <c r="C24" s="19" t="s">
        <v>54</v>
      </c>
      <c r="D24" s="18" t="s">
        <v>2</v>
      </c>
      <c r="E24" s="18">
        <v>2210</v>
      </c>
      <c r="F24" s="18">
        <v>0</v>
      </c>
      <c r="G24" s="20">
        <f t="shared" ref="G24:G87" si="0">E24-F24</f>
        <v>2210</v>
      </c>
      <c r="H24" s="162">
        <v>208</v>
      </c>
      <c r="I24" s="18"/>
      <c r="J24" s="23" t="s">
        <v>624</v>
      </c>
      <c r="K24" s="123">
        <v>0</v>
      </c>
      <c r="L24" s="19" t="s">
        <v>88</v>
      </c>
    </row>
    <row r="25" spans="1:12" s="6" customFormat="1" x14ac:dyDescent="0.25">
      <c r="A25" s="18">
        <v>3</v>
      </c>
      <c r="B25" s="19" t="s">
        <v>153</v>
      </c>
      <c r="C25" s="19" t="s">
        <v>54</v>
      </c>
      <c r="D25" s="18" t="s">
        <v>2</v>
      </c>
      <c r="E25" s="18">
        <v>2210</v>
      </c>
      <c r="F25" s="18">
        <v>0</v>
      </c>
      <c r="G25" s="20">
        <f t="shared" si="0"/>
        <v>2210</v>
      </c>
      <c r="H25" s="162">
        <v>208</v>
      </c>
      <c r="I25" s="18"/>
      <c r="J25" s="23" t="s">
        <v>161</v>
      </c>
      <c r="K25" s="123">
        <v>0</v>
      </c>
      <c r="L25" s="19" t="s">
        <v>140</v>
      </c>
    </row>
    <row r="26" spans="1:12" s="6" customFormat="1" ht="33" x14ac:dyDescent="0.25">
      <c r="A26" s="18">
        <v>4</v>
      </c>
      <c r="B26" s="23" t="s">
        <v>141</v>
      </c>
      <c r="C26" s="23" t="s">
        <v>142</v>
      </c>
      <c r="D26" s="18" t="s">
        <v>2</v>
      </c>
      <c r="E26" s="18">
        <v>5436</v>
      </c>
      <c r="F26" s="18">
        <f>1248*3+20+20</f>
        <v>3784</v>
      </c>
      <c r="G26" s="20">
        <f t="shared" si="0"/>
        <v>1652</v>
      </c>
      <c r="H26" s="155">
        <v>832</v>
      </c>
      <c r="I26" s="18"/>
      <c r="J26" s="23" t="s">
        <v>143</v>
      </c>
      <c r="K26" s="124">
        <v>4382</v>
      </c>
      <c r="L26" s="19" t="s">
        <v>140</v>
      </c>
    </row>
    <row r="27" spans="1:12" s="6" customFormat="1" x14ac:dyDescent="0.25">
      <c r="A27" s="18">
        <v>5</v>
      </c>
      <c r="B27" s="23" t="s">
        <v>141</v>
      </c>
      <c r="C27" s="23" t="s">
        <v>142</v>
      </c>
      <c r="D27" s="18" t="s">
        <v>2</v>
      </c>
      <c r="E27" s="18">
        <v>5436</v>
      </c>
      <c r="F27" s="18">
        <f>1248*3+20+20</f>
        <v>3784</v>
      </c>
      <c r="G27" s="20">
        <f t="shared" si="0"/>
        <v>1652</v>
      </c>
      <c r="H27" s="163">
        <f>4*208</f>
        <v>832</v>
      </c>
      <c r="I27" s="155"/>
      <c r="J27" s="23" t="s">
        <v>730</v>
      </c>
      <c r="K27" s="124">
        <v>4382</v>
      </c>
      <c r="L27" s="19" t="s">
        <v>731</v>
      </c>
    </row>
    <row r="28" spans="1:12" s="6" customFormat="1" x14ac:dyDescent="0.25">
      <c r="A28" s="18">
        <v>6</v>
      </c>
      <c r="B28" s="23" t="s">
        <v>158</v>
      </c>
      <c r="C28" s="23" t="s">
        <v>159</v>
      </c>
      <c r="D28" s="18" t="s">
        <v>2</v>
      </c>
      <c r="E28" s="18">
        <v>715</v>
      </c>
      <c r="F28" s="18">
        <v>0</v>
      </c>
      <c r="G28" s="20">
        <f t="shared" si="0"/>
        <v>715</v>
      </c>
      <c r="H28" s="155">
        <v>650</v>
      </c>
      <c r="I28" s="18"/>
      <c r="J28" s="23" t="s">
        <v>160</v>
      </c>
      <c r="K28" s="124">
        <v>559</v>
      </c>
      <c r="L28" s="19" t="s">
        <v>140</v>
      </c>
    </row>
    <row r="29" spans="1:12" s="6" customFormat="1" ht="49.5" x14ac:dyDescent="0.25">
      <c r="A29" s="18">
        <v>7</v>
      </c>
      <c r="B29" s="23" t="s">
        <v>162</v>
      </c>
      <c r="C29" s="23" t="s">
        <v>163</v>
      </c>
      <c r="D29" s="20" t="s">
        <v>66</v>
      </c>
      <c r="E29" s="20">
        <v>720</v>
      </c>
      <c r="F29" s="20">
        <v>1813</v>
      </c>
      <c r="G29" s="20">
        <f t="shared" si="0"/>
        <v>-1093</v>
      </c>
      <c r="H29" s="155">
        <v>460</v>
      </c>
      <c r="I29" s="18"/>
      <c r="J29" s="23" t="s">
        <v>183</v>
      </c>
      <c r="K29" s="124" t="s">
        <v>110</v>
      </c>
      <c r="L29" s="19" t="s">
        <v>140</v>
      </c>
    </row>
    <row r="30" spans="1:12" s="6" customFormat="1" ht="33" x14ac:dyDescent="0.25">
      <c r="A30" s="18">
        <v>8</v>
      </c>
      <c r="B30" s="23" t="s">
        <v>162</v>
      </c>
      <c r="C30" s="23" t="s">
        <v>163</v>
      </c>
      <c r="D30" s="20" t="s">
        <v>66</v>
      </c>
      <c r="E30" s="20">
        <v>720</v>
      </c>
      <c r="F30" s="20">
        <v>1813</v>
      </c>
      <c r="G30" s="20">
        <f t="shared" si="0"/>
        <v>-1093</v>
      </c>
      <c r="H30" s="155">
        <v>690</v>
      </c>
      <c r="I30" s="18"/>
      <c r="J30" s="23" t="s">
        <v>403</v>
      </c>
      <c r="K30" s="124" t="s">
        <v>110</v>
      </c>
      <c r="L30" s="19" t="s">
        <v>140</v>
      </c>
    </row>
    <row r="31" spans="1:12" s="6" customFormat="1" ht="41.25" customHeight="1" x14ac:dyDescent="0.25">
      <c r="A31" s="18">
        <v>9</v>
      </c>
      <c r="B31" s="23" t="s">
        <v>515</v>
      </c>
      <c r="C31" s="23" t="s">
        <v>516</v>
      </c>
      <c r="D31" s="18" t="s">
        <v>2</v>
      </c>
      <c r="E31" s="18">
        <v>660</v>
      </c>
      <c r="F31" s="18">
        <v>0</v>
      </c>
      <c r="G31" s="20">
        <f t="shared" si="0"/>
        <v>660</v>
      </c>
      <c r="H31" s="165">
        <v>660</v>
      </c>
      <c r="I31" s="18"/>
      <c r="J31" s="23" t="s">
        <v>517</v>
      </c>
      <c r="K31" s="123"/>
      <c r="L31" s="23" t="s">
        <v>88</v>
      </c>
    </row>
    <row r="32" spans="1:12" s="6" customFormat="1" ht="41.25" customHeight="1" x14ac:dyDescent="0.25">
      <c r="A32" s="18">
        <v>10</v>
      </c>
      <c r="B32" s="23" t="s">
        <v>515</v>
      </c>
      <c r="C32" s="23" t="s">
        <v>516</v>
      </c>
      <c r="D32" s="18" t="s">
        <v>2</v>
      </c>
      <c r="E32" s="18">
        <v>660</v>
      </c>
      <c r="F32" s="18">
        <v>0</v>
      </c>
      <c r="G32" s="20">
        <f t="shared" si="0"/>
        <v>660</v>
      </c>
      <c r="H32" s="165">
        <v>209</v>
      </c>
      <c r="I32" s="18"/>
      <c r="J32" s="159" t="s">
        <v>728</v>
      </c>
      <c r="K32" s="123"/>
      <c r="L32" s="23" t="s">
        <v>729</v>
      </c>
    </row>
    <row r="33" spans="1:12" s="6" customFormat="1" ht="66" x14ac:dyDescent="0.25">
      <c r="A33" s="18">
        <v>11</v>
      </c>
      <c r="B33" s="23" t="s">
        <v>444</v>
      </c>
      <c r="C33" s="23" t="s">
        <v>633</v>
      </c>
      <c r="D33" s="18" t="s">
        <v>2</v>
      </c>
      <c r="E33" s="18">
        <v>927</v>
      </c>
      <c r="F33" s="18">
        <f>30+650</f>
        <v>680</v>
      </c>
      <c r="G33" s="20">
        <f t="shared" si="0"/>
        <v>247</v>
      </c>
      <c r="H33" s="155">
        <v>1000</v>
      </c>
      <c r="I33" s="18"/>
      <c r="J33" s="22" t="s">
        <v>446</v>
      </c>
      <c r="K33" s="123">
        <v>1100</v>
      </c>
      <c r="L33" s="23" t="s">
        <v>140</v>
      </c>
    </row>
    <row r="34" spans="1:12" s="6" customFormat="1" ht="33" x14ac:dyDescent="0.25">
      <c r="A34" s="18">
        <v>12</v>
      </c>
      <c r="B34" s="23" t="s">
        <v>24</v>
      </c>
      <c r="C34" s="23" t="s">
        <v>7</v>
      </c>
      <c r="D34" s="18" t="s">
        <v>2</v>
      </c>
      <c r="E34" s="18">
        <v>418</v>
      </c>
      <c r="F34" s="18">
        <v>30</v>
      </c>
      <c r="G34" s="20">
        <f t="shared" si="0"/>
        <v>388</v>
      </c>
      <c r="H34" s="155">
        <v>40</v>
      </c>
      <c r="I34" s="18"/>
      <c r="J34" s="22" t="s">
        <v>622</v>
      </c>
      <c r="K34" s="124">
        <v>190</v>
      </c>
      <c r="L34" s="19" t="s">
        <v>88</v>
      </c>
    </row>
    <row r="35" spans="1:12" s="6" customFormat="1" x14ac:dyDescent="0.25">
      <c r="A35" s="18">
        <v>13</v>
      </c>
      <c r="B35" s="23" t="s">
        <v>77</v>
      </c>
      <c r="C35" s="23" t="s">
        <v>78</v>
      </c>
      <c r="D35" s="20" t="s">
        <v>2</v>
      </c>
      <c r="E35" s="20">
        <v>1512</v>
      </c>
      <c r="F35" s="20">
        <v>832</v>
      </c>
      <c r="G35" s="20">
        <f t="shared" si="0"/>
        <v>680</v>
      </c>
      <c r="H35" s="155">
        <v>208</v>
      </c>
      <c r="I35" s="18"/>
      <c r="J35" s="23" t="s">
        <v>288</v>
      </c>
      <c r="K35" s="124">
        <v>1076</v>
      </c>
      <c r="L35" s="19" t="s">
        <v>88</v>
      </c>
    </row>
    <row r="36" spans="1:12" s="6" customFormat="1" ht="33" x14ac:dyDescent="0.25">
      <c r="A36" s="18">
        <v>14</v>
      </c>
      <c r="B36" s="23" t="s">
        <v>3</v>
      </c>
      <c r="C36" s="23" t="s">
        <v>4</v>
      </c>
      <c r="D36" s="18" t="s">
        <v>2</v>
      </c>
      <c r="E36" s="18">
        <v>1725</v>
      </c>
      <c r="F36" s="18">
        <f>100*2+400+40+100</f>
        <v>740</v>
      </c>
      <c r="G36" s="20">
        <f t="shared" si="0"/>
        <v>985</v>
      </c>
      <c r="H36" s="155">
        <v>658</v>
      </c>
      <c r="I36" s="18"/>
      <c r="J36" s="23" t="s">
        <v>287</v>
      </c>
      <c r="K36" s="124">
        <v>2703</v>
      </c>
      <c r="L36" s="19" t="s">
        <v>88</v>
      </c>
    </row>
    <row r="37" spans="1:12" s="6" customFormat="1" x14ac:dyDescent="0.25">
      <c r="A37" s="18">
        <v>15</v>
      </c>
      <c r="B37" s="23" t="s">
        <v>16</v>
      </c>
      <c r="C37" s="23" t="s">
        <v>164</v>
      </c>
      <c r="D37" s="18" t="s">
        <v>2</v>
      </c>
      <c r="E37" s="18">
        <v>550</v>
      </c>
      <c r="F37" s="18">
        <v>0</v>
      </c>
      <c r="G37" s="20">
        <f t="shared" si="0"/>
        <v>550</v>
      </c>
      <c r="H37" s="155">
        <v>50</v>
      </c>
      <c r="I37" s="18"/>
      <c r="J37" s="22" t="s">
        <v>165</v>
      </c>
      <c r="K37" s="124">
        <v>0</v>
      </c>
      <c r="L37" s="19" t="s">
        <v>140</v>
      </c>
    </row>
    <row r="38" spans="1:12" s="6" customFormat="1" ht="49.5" x14ac:dyDescent="0.25">
      <c r="A38" s="18">
        <v>16</v>
      </c>
      <c r="B38" s="23" t="s">
        <v>85</v>
      </c>
      <c r="C38" s="23" t="s">
        <v>86</v>
      </c>
      <c r="D38" s="18" t="s">
        <v>2</v>
      </c>
      <c r="E38" s="18">
        <v>4081</v>
      </c>
      <c r="F38" s="18">
        <f>860+200+600</f>
        <v>1660</v>
      </c>
      <c r="G38" s="20">
        <f t="shared" si="0"/>
        <v>2421</v>
      </c>
      <c r="H38" s="156">
        <v>3800</v>
      </c>
      <c r="I38" s="18"/>
      <c r="J38" s="23" t="s">
        <v>219</v>
      </c>
      <c r="K38" s="124">
        <v>6843</v>
      </c>
      <c r="L38" s="19" t="s">
        <v>88</v>
      </c>
    </row>
    <row r="39" spans="1:12" s="6" customFormat="1" ht="33" x14ac:dyDescent="0.25">
      <c r="A39" s="18">
        <v>17</v>
      </c>
      <c r="B39" s="23" t="s">
        <v>83</v>
      </c>
      <c r="C39" s="23" t="s">
        <v>84</v>
      </c>
      <c r="D39" s="18" t="s">
        <v>2</v>
      </c>
      <c r="E39" s="18">
        <v>2178</v>
      </c>
      <c r="F39" s="18">
        <f>80+400</f>
        <v>480</v>
      </c>
      <c r="G39" s="20">
        <f t="shared" si="0"/>
        <v>1698</v>
      </c>
      <c r="H39" s="155">
        <v>1400</v>
      </c>
      <c r="I39" s="18"/>
      <c r="J39" s="23" t="s">
        <v>286</v>
      </c>
      <c r="K39" s="124">
        <v>0</v>
      </c>
      <c r="L39" s="23" t="s">
        <v>732</v>
      </c>
    </row>
    <row r="40" spans="1:12" s="6" customFormat="1" ht="33" x14ac:dyDescent="0.25">
      <c r="A40" s="18">
        <v>18</v>
      </c>
      <c r="B40" s="79" t="s">
        <v>634</v>
      </c>
      <c r="C40" s="79" t="s">
        <v>635</v>
      </c>
      <c r="D40" s="20" t="s">
        <v>636</v>
      </c>
      <c r="E40" s="18"/>
      <c r="F40" s="18"/>
      <c r="G40" s="20">
        <f t="shared" si="0"/>
        <v>0</v>
      </c>
      <c r="H40" s="155">
        <v>50</v>
      </c>
      <c r="I40" s="18"/>
      <c r="J40" s="22" t="s">
        <v>637</v>
      </c>
      <c r="K40" s="124"/>
      <c r="L40" s="19"/>
    </row>
    <row r="41" spans="1:12" s="6" customFormat="1" ht="49.5" x14ac:dyDescent="0.25">
      <c r="A41" s="18">
        <v>19</v>
      </c>
      <c r="B41" s="23" t="s">
        <v>83</v>
      </c>
      <c r="C41" s="23" t="s">
        <v>84</v>
      </c>
      <c r="D41" s="18" t="s">
        <v>2</v>
      </c>
      <c r="E41" s="18">
        <v>2178</v>
      </c>
      <c r="F41" s="18">
        <v>1200</v>
      </c>
      <c r="G41" s="20">
        <f t="shared" si="0"/>
        <v>978</v>
      </c>
      <c r="H41" s="155">
        <v>400</v>
      </c>
      <c r="I41" s="18"/>
      <c r="J41" s="23" t="s">
        <v>402</v>
      </c>
      <c r="K41" s="124">
        <v>0</v>
      </c>
      <c r="L41" s="19"/>
    </row>
    <row r="42" spans="1:12" s="6" customFormat="1" ht="33" x14ac:dyDescent="0.25">
      <c r="A42" s="18">
        <v>20</v>
      </c>
      <c r="B42" s="23" t="s">
        <v>83</v>
      </c>
      <c r="C42" s="23" t="s">
        <v>84</v>
      </c>
      <c r="D42" s="18" t="s">
        <v>2</v>
      </c>
      <c r="E42" s="18">
        <v>2178</v>
      </c>
      <c r="F42" s="18">
        <v>1200</v>
      </c>
      <c r="G42" s="20">
        <f t="shared" si="0"/>
        <v>978</v>
      </c>
      <c r="H42" s="155">
        <v>400</v>
      </c>
      <c r="I42" s="18"/>
      <c r="J42" s="23" t="s">
        <v>734</v>
      </c>
      <c r="K42" s="129">
        <v>0</v>
      </c>
      <c r="L42" s="74" t="s">
        <v>733</v>
      </c>
    </row>
    <row r="43" spans="1:12" s="6" customFormat="1" ht="33" x14ac:dyDescent="0.25">
      <c r="A43" s="18">
        <v>21</v>
      </c>
      <c r="B43" s="23" t="s">
        <v>415</v>
      </c>
      <c r="C43" s="23" t="s">
        <v>175</v>
      </c>
      <c r="D43" s="18" t="s">
        <v>66</v>
      </c>
      <c r="E43" s="18">
        <v>9530</v>
      </c>
      <c r="F43" s="18">
        <f>170*3+1020</f>
        <v>1530</v>
      </c>
      <c r="G43" s="20">
        <f t="shared" si="0"/>
        <v>8000</v>
      </c>
      <c r="H43" s="165">
        <v>2890</v>
      </c>
      <c r="I43" s="18"/>
      <c r="J43" s="23" t="s">
        <v>400</v>
      </c>
      <c r="K43" s="129">
        <v>2550</v>
      </c>
      <c r="L43" s="75" t="s">
        <v>176</v>
      </c>
    </row>
    <row r="44" spans="1:12" s="6" customFormat="1" ht="33" x14ac:dyDescent="0.25">
      <c r="A44" s="18">
        <v>22</v>
      </c>
      <c r="B44" s="23" t="s">
        <v>203</v>
      </c>
      <c r="C44" s="23" t="s">
        <v>204</v>
      </c>
      <c r="D44" s="18" t="s">
        <v>2</v>
      </c>
      <c r="E44" s="18">
        <v>1256</v>
      </c>
      <c r="F44" s="18">
        <v>416</v>
      </c>
      <c r="G44" s="20">
        <f t="shared" si="0"/>
        <v>840</v>
      </c>
      <c r="H44" s="165">
        <v>852</v>
      </c>
      <c r="I44" s="18"/>
      <c r="J44" s="23" t="s">
        <v>510</v>
      </c>
      <c r="K44" s="123">
        <v>1210</v>
      </c>
      <c r="L44" s="23" t="s">
        <v>88</v>
      </c>
    </row>
    <row r="45" spans="1:12" s="6" customFormat="1" ht="49.5" x14ac:dyDescent="0.25">
      <c r="A45" s="18">
        <v>23</v>
      </c>
      <c r="B45" s="23" t="s">
        <v>79</v>
      </c>
      <c r="C45" s="23" t="s">
        <v>80</v>
      </c>
      <c r="D45" s="18" t="s">
        <v>2</v>
      </c>
      <c r="E45" s="18">
        <v>2400</v>
      </c>
      <c r="F45" s="18">
        <f>20+209</f>
        <v>229</v>
      </c>
      <c r="G45" s="20">
        <f t="shared" si="0"/>
        <v>2171</v>
      </c>
      <c r="H45" s="155">
        <v>209</v>
      </c>
      <c r="I45" s="18"/>
      <c r="J45" s="23" t="s">
        <v>511</v>
      </c>
      <c r="K45" s="124">
        <v>500</v>
      </c>
      <c r="L45" s="19" t="s">
        <v>88</v>
      </c>
    </row>
    <row r="46" spans="1:12" s="6" customFormat="1" ht="33" x14ac:dyDescent="0.25">
      <c r="A46" s="18">
        <v>24</v>
      </c>
      <c r="B46" s="23" t="s">
        <v>56</v>
      </c>
      <c r="C46" s="23" t="s">
        <v>57</v>
      </c>
      <c r="D46" s="18" t="s">
        <v>2</v>
      </c>
      <c r="E46" s="18">
        <v>2318</v>
      </c>
      <c r="F46" s="18">
        <v>2116</v>
      </c>
      <c r="G46" s="20">
        <f t="shared" si="0"/>
        <v>202</v>
      </c>
      <c r="H46" s="155">
        <v>1703</v>
      </c>
      <c r="I46" s="18"/>
      <c r="J46" s="23" t="s">
        <v>735</v>
      </c>
      <c r="K46" s="124"/>
      <c r="L46" s="19" t="s">
        <v>88</v>
      </c>
    </row>
    <row r="47" spans="1:12" s="6" customFormat="1" x14ac:dyDescent="0.25">
      <c r="A47" s="18">
        <v>25</v>
      </c>
      <c r="B47" s="23" t="s">
        <v>447</v>
      </c>
      <c r="C47" s="23" t="s">
        <v>701</v>
      </c>
      <c r="D47" s="18" t="s">
        <v>2</v>
      </c>
      <c r="E47" s="18">
        <v>257.89999999999998</v>
      </c>
      <c r="F47" s="18">
        <v>65</v>
      </c>
      <c r="G47" s="20">
        <f t="shared" si="0"/>
        <v>192.89999999999998</v>
      </c>
      <c r="H47" s="155">
        <v>500</v>
      </c>
      <c r="I47" s="18"/>
      <c r="J47" s="23" t="s">
        <v>702</v>
      </c>
      <c r="K47" s="124"/>
      <c r="L47" s="19" t="s">
        <v>140</v>
      </c>
    </row>
    <row r="48" spans="1:12" s="6" customFormat="1" x14ac:dyDescent="0.25">
      <c r="A48" s="18">
        <v>26</v>
      </c>
      <c r="B48" s="23" t="s">
        <v>25</v>
      </c>
      <c r="C48" s="23" t="s">
        <v>703</v>
      </c>
      <c r="D48" s="18" t="s">
        <v>2</v>
      </c>
      <c r="E48" s="18">
        <v>92</v>
      </c>
      <c r="F48" s="18">
        <v>32</v>
      </c>
      <c r="G48" s="20">
        <f t="shared" si="0"/>
        <v>60</v>
      </c>
      <c r="H48" s="155">
        <v>80</v>
      </c>
      <c r="I48" s="18"/>
      <c r="J48" s="23" t="s">
        <v>704</v>
      </c>
      <c r="K48" s="124"/>
      <c r="L48" s="19" t="s">
        <v>88</v>
      </c>
    </row>
    <row r="49" spans="1:12" s="6" customFormat="1" ht="33" x14ac:dyDescent="0.25">
      <c r="A49" s="196">
        <v>27</v>
      </c>
      <c r="B49" s="197" t="s">
        <v>705</v>
      </c>
      <c r="C49" s="197" t="s">
        <v>706</v>
      </c>
      <c r="D49" s="196" t="s">
        <v>2</v>
      </c>
      <c r="E49" s="196">
        <v>0</v>
      </c>
      <c r="F49" s="196">
        <v>0</v>
      </c>
      <c r="G49" s="198">
        <f t="shared" si="0"/>
        <v>0</v>
      </c>
      <c r="H49" s="208">
        <v>100</v>
      </c>
      <c r="I49" s="196"/>
      <c r="J49" s="197" t="s">
        <v>707</v>
      </c>
      <c r="K49" s="204"/>
      <c r="L49" s="205" t="s">
        <v>88</v>
      </c>
    </row>
    <row r="50" spans="1:12" s="6" customFormat="1" ht="33" x14ac:dyDescent="0.25">
      <c r="A50" s="18">
        <v>28</v>
      </c>
      <c r="B50" s="23" t="s">
        <v>46</v>
      </c>
      <c r="C50" s="23" t="s">
        <v>47</v>
      </c>
      <c r="D50" s="18" t="s">
        <v>2</v>
      </c>
      <c r="E50" s="18">
        <v>662</v>
      </c>
      <c r="F50" s="18">
        <v>0</v>
      </c>
      <c r="G50" s="20">
        <f t="shared" si="0"/>
        <v>662</v>
      </c>
      <c r="H50" s="162">
        <v>600</v>
      </c>
      <c r="I50" s="18"/>
      <c r="J50" s="22" t="s">
        <v>247</v>
      </c>
      <c r="K50" s="123" t="s">
        <v>110</v>
      </c>
      <c r="L50" s="19" t="s">
        <v>48</v>
      </c>
    </row>
    <row r="51" spans="1:12" s="6" customFormat="1" ht="49.5" x14ac:dyDescent="0.25">
      <c r="A51" s="18">
        <v>29</v>
      </c>
      <c r="B51" s="19" t="s">
        <v>52</v>
      </c>
      <c r="C51" s="23" t="s">
        <v>53</v>
      </c>
      <c r="D51" s="20" t="s">
        <v>2</v>
      </c>
      <c r="E51" s="20">
        <v>2720</v>
      </c>
      <c r="F51" s="20">
        <v>1200</v>
      </c>
      <c r="G51" s="20">
        <f t="shared" si="0"/>
        <v>1520</v>
      </c>
      <c r="H51" s="162">
        <v>200</v>
      </c>
      <c r="I51" s="18"/>
      <c r="J51" s="23" t="s">
        <v>152</v>
      </c>
      <c r="K51" s="123" t="s">
        <v>110</v>
      </c>
      <c r="L51" s="19" t="s">
        <v>76</v>
      </c>
    </row>
    <row r="52" spans="1:12" s="6" customFormat="1" ht="115.5" x14ac:dyDescent="0.25">
      <c r="A52" s="18">
        <v>30</v>
      </c>
      <c r="B52" s="23" t="s">
        <v>81</v>
      </c>
      <c r="C52" s="23" t="s">
        <v>82</v>
      </c>
      <c r="D52" s="18" t="s">
        <v>66</v>
      </c>
      <c r="E52" s="18">
        <v>22078</v>
      </c>
      <c r="F52" s="18">
        <v>16455</v>
      </c>
      <c r="G52" s="20">
        <f>E52-F52</f>
        <v>5623</v>
      </c>
      <c r="H52" s="156">
        <v>3000</v>
      </c>
      <c r="I52" s="18"/>
      <c r="J52" s="23" t="s">
        <v>87</v>
      </c>
      <c r="K52" s="124">
        <v>9385</v>
      </c>
      <c r="L52" s="19" t="s">
        <v>88</v>
      </c>
    </row>
    <row r="53" spans="1:12" s="6" customFormat="1" x14ac:dyDescent="0.25">
      <c r="A53" s="18">
        <v>31</v>
      </c>
      <c r="B53" s="23" t="s">
        <v>495</v>
      </c>
      <c r="C53" s="23" t="s">
        <v>496</v>
      </c>
      <c r="D53" s="18" t="s">
        <v>2</v>
      </c>
      <c r="E53" s="18">
        <v>482.6</v>
      </c>
      <c r="F53" s="18">
        <v>329</v>
      </c>
      <c r="G53" s="20">
        <f t="shared" si="0"/>
        <v>153.60000000000002</v>
      </c>
      <c r="H53" s="156">
        <v>208</v>
      </c>
      <c r="I53" s="18"/>
      <c r="J53" s="23" t="s">
        <v>509</v>
      </c>
      <c r="K53" s="124">
        <v>713</v>
      </c>
      <c r="L53" s="19" t="s">
        <v>88</v>
      </c>
    </row>
    <row r="54" spans="1:12" s="9" customFormat="1" x14ac:dyDescent="0.25">
      <c r="A54" s="48" t="s">
        <v>19</v>
      </c>
      <c r="B54" s="48"/>
      <c r="C54" s="48"/>
      <c r="D54" s="117"/>
      <c r="E54" s="117"/>
      <c r="F54" s="117"/>
      <c r="G54" s="20">
        <f t="shared" si="0"/>
        <v>0</v>
      </c>
      <c r="H54" s="173"/>
      <c r="I54" s="117"/>
      <c r="J54" s="48"/>
      <c r="K54" s="120"/>
      <c r="L54" s="48"/>
    </row>
    <row r="55" spans="1:12" s="6" customFormat="1" ht="33" x14ac:dyDescent="0.25">
      <c r="A55" s="18">
        <v>1</v>
      </c>
      <c r="B55" s="23" t="s">
        <v>111</v>
      </c>
      <c r="C55" s="23" t="s">
        <v>58</v>
      </c>
      <c r="D55" s="18" t="s">
        <v>0</v>
      </c>
      <c r="E55" s="18">
        <v>92</v>
      </c>
      <c r="F55" s="18">
        <v>39</v>
      </c>
      <c r="G55" s="20">
        <f t="shared" si="0"/>
        <v>53</v>
      </c>
      <c r="H55" s="164">
        <v>10</v>
      </c>
      <c r="I55" s="18"/>
      <c r="J55" s="23" t="s">
        <v>698</v>
      </c>
      <c r="K55" s="123">
        <v>8</v>
      </c>
      <c r="L55" s="19" t="s">
        <v>178</v>
      </c>
    </row>
    <row r="56" spans="1:12" s="6" customFormat="1" ht="82.5" x14ac:dyDescent="0.25">
      <c r="A56" s="18">
        <v>2</v>
      </c>
      <c r="B56" s="23" t="s">
        <v>450</v>
      </c>
      <c r="C56" s="23" t="s">
        <v>451</v>
      </c>
      <c r="D56" s="18" t="s">
        <v>0</v>
      </c>
      <c r="E56" s="18">
        <v>0</v>
      </c>
      <c r="F56" s="18">
        <v>0</v>
      </c>
      <c r="G56" s="20">
        <f t="shared" si="0"/>
        <v>0</v>
      </c>
      <c r="H56" s="164">
        <v>2</v>
      </c>
      <c r="I56" s="18"/>
      <c r="J56" s="79" t="s">
        <v>452</v>
      </c>
      <c r="K56" s="123"/>
      <c r="L56" s="19" t="s">
        <v>140</v>
      </c>
    </row>
    <row r="57" spans="1:12" s="6" customFormat="1" ht="99" x14ac:dyDescent="0.25">
      <c r="A57" s="18">
        <v>3</v>
      </c>
      <c r="B57" s="23" t="s">
        <v>453</v>
      </c>
      <c r="C57" s="23" t="s">
        <v>454</v>
      </c>
      <c r="D57" s="18" t="s">
        <v>0</v>
      </c>
      <c r="E57" s="18">
        <v>0</v>
      </c>
      <c r="F57" s="18">
        <v>0</v>
      </c>
      <c r="G57" s="20">
        <f t="shared" si="0"/>
        <v>0</v>
      </c>
      <c r="H57" s="164">
        <v>2</v>
      </c>
      <c r="I57" s="18"/>
      <c r="J57" s="79" t="s">
        <v>455</v>
      </c>
      <c r="K57" s="123"/>
      <c r="L57" s="19" t="s">
        <v>140</v>
      </c>
    </row>
    <row r="58" spans="1:12" s="6" customFormat="1" ht="82.5" x14ac:dyDescent="0.25">
      <c r="A58" s="18">
        <v>4</v>
      </c>
      <c r="B58" s="23" t="s">
        <v>456</v>
      </c>
      <c r="C58" s="23" t="s">
        <v>457</v>
      </c>
      <c r="D58" s="18" t="s">
        <v>0</v>
      </c>
      <c r="E58" s="18">
        <v>0</v>
      </c>
      <c r="F58" s="18">
        <v>0</v>
      </c>
      <c r="G58" s="20">
        <f t="shared" si="0"/>
        <v>0</v>
      </c>
      <c r="H58" s="164">
        <v>2</v>
      </c>
      <c r="I58" s="18"/>
      <c r="J58" s="79" t="s">
        <v>458</v>
      </c>
      <c r="K58" s="123"/>
      <c r="L58" s="19" t="s">
        <v>140</v>
      </c>
    </row>
    <row r="59" spans="1:12" s="6" customFormat="1" ht="66" x14ac:dyDescent="0.25">
      <c r="A59" s="18">
        <v>5</v>
      </c>
      <c r="B59" s="23" t="s">
        <v>113</v>
      </c>
      <c r="C59" s="23" t="s">
        <v>61</v>
      </c>
      <c r="D59" s="18" t="s">
        <v>0</v>
      </c>
      <c r="E59" s="18">
        <v>28</v>
      </c>
      <c r="F59" s="18">
        <v>10</v>
      </c>
      <c r="G59" s="20">
        <f t="shared" si="0"/>
        <v>18</v>
      </c>
      <c r="H59" s="164">
        <v>5</v>
      </c>
      <c r="I59" s="18"/>
      <c r="J59" s="23" t="s">
        <v>612</v>
      </c>
      <c r="K59" s="124" t="s">
        <v>110</v>
      </c>
      <c r="L59" s="19" t="s">
        <v>76</v>
      </c>
    </row>
    <row r="60" spans="1:12" s="6" customFormat="1" ht="33" x14ac:dyDescent="0.25">
      <c r="A60" s="18">
        <v>6</v>
      </c>
      <c r="B60" s="23" t="s">
        <v>113</v>
      </c>
      <c r="C60" s="23" t="s">
        <v>170</v>
      </c>
      <c r="D60" s="18" t="s">
        <v>172</v>
      </c>
      <c r="E60" s="18">
        <v>28</v>
      </c>
      <c r="F60" s="18">
        <v>10</v>
      </c>
      <c r="G60" s="20">
        <f t="shared" si="0"/>
        <v>18</v>
      </c>
      <c r="H60" s="164">
        <v>1</v>
      </c>
      <c r="I60" s="18"/>
      <c r="J60" s="23" t="s">
        <v>173</v>
      </c>
      <c r="K60" s="124" t="s">
        <v>110</v>
      </c>
      <c r="L60" s="19" t="s">
        <v>76</v>
      </c>
    </row>
    <row r="61" spans="1:12" s="6" customFormat="1" ht="66" x14ac:dyDescent="0.25">
      <c r="A61" s="18">
        <v>7</v>
      </c>
      <c r="B61" s="23" t="s">
        <v>112</v>
      </c>
      <c r="C61" s="23" t="s">
        <v>60</v>
      </c>
      <c r="D61" s="18" t="s">
        <v>172</v>
      </c>
      <c r="E61" s="18">
        <v>20</v>
      </c>
      <c r="F61" s="18">
        <v>6</v>
      </c>
      <c r="G61" s="20">
        <f t="shared" si="0"/>
        <v>14</v>
      </c>
      <c r="H61" s="164">
        <v>6</v>
      </c>
      <c r="I61" s="18"/>
      <c r="J61" s="23" t="s">
        <v>611</v>
      </c>
      <c r="K61" s="124">
        <v>10</v>
      </c>
      <c r="L61" s="19"/>
    </row>
    <row r="62" spans="1:12" s="6" customFormat="1" ht="33" x14ac:dyDescent="0.25">
      <c r="A62" s="18">
        <v>8</v>
      </c>
      <c r="B62" s="23" t="s">
        <v>114</v>
      </c>
      <c r="C62" s="23" t="s">
        <v>171</v>
      </c>
      <c r="D62" s="18" t="s">
        <v>0</v>
      </c>
      <c r="E62" s="18">
        <v>20</v>
      </c>
      <c r="F62" s="18">
        <v>11</v>
      </c>
      <c r="G62" s="20">
        <f t="shared" si="0"/>
        <v>9</v>
      </c>
      <c r="H62" s="164">
        <v>2</v>
      </c>
      <c r="I62" s="18"/>
      <c r="J62" s="23" t="s">
        <v>177</v>
      </c>
      <c r="K62" s="124">
        <v>3</v>
      </c>
      <c r="L62" s="19" t="s">
        <v>76</v>
      </c>
    </row>
    <row r="63" spans="1:12" s="6" customFormat="1" ht="66" x14ac:dyDescent="0.25">
      <c r="A63" s="18">
        <v>9</v>
      </c>
      <c r="B63" s="23" t="s">
        <v>114</v>
      </c>
      <c r="C63" s="23" t="s">
        <v>62</v>
      </c>
      <c r="D63" s="18" t="s">
        <v>0</v>
      </c>
      <c r="E63" s="18">
        <v>20</v>
      </c>
      <c r="F63" s="18">
        <v>11</v>
      </c>
      <c r="G63" s="20">
        <f t="shared" si="0"/>
        <v>9</v>
      </c>
      <c r="H63" s="164">
        <v>2</v>
      </c>
      <c r="I63" s="18"/>
      <c r="J63" s="23" t="s">
        <v>613</v>
      </c>
      <c r="K63" s="123">
        <v>4</v>
      </c>
      <c r="L63" s="19" t="s">
        <v>76</v>
      </c>
    </row>
    <row r="64" spans="1:12" s="6" customFormat="1" ht="115.5" x14ac:dyDescent="0.25">
      <c r="A64" s="18">
        <v>10</v>
      </c>
      <c r="B64" s="23" t="s">
        <v>116</v>
      </c>
      <c r="C64" s="23" t="s">
        <v>64</v>
      </c>
      <c r="D64" s="18" t="s">
        <v>0</v>
      </c>
      <c r="E64" s="18">
        <v>80</v>
      </c>
      <c r="F64" s="18">
        <v>46</v>
      </c>
      <c r="G64" s="20">
        <f t="shared" si="0"/>
        <v>34</v>
      </c>
      <c r="H64" s="164">
        <v>10</v>
      </c>
      <c r="I64" s="18"/>
      <c r="J64" s="23" t="s">
        <v>614</v>
      </c>
      <c r="K64" s="123">
        <v>2</v>
      </c>
      <c r="L64" s="19" t="s">
        <v>76</v>
      </c>
    </row>
    <row r="65" spans="1:12" s="6" customFormat="1" ht="82.5" x14ac:dyDescent="0.25">
      <c r="A65" s="18">
        <v>11</v>
      </c>
      <c r="B65" s="23" t="s">
        <v>295</v>
      </c>
      <c r="C65" s="23" t="s">
        <v>296</v>
      </c>
      <c r="D65" s="18" t="s">
        <v>0</v>
      </c>
      <c r="E65" s="18">
        <v>18</v>
      </c>
      <c r="F65" s="18">
        <v>0</v>
      </c>
      <c r="G65" s="20">
        <f t="shared" si="0"/>
        <v>18</v>
      </c>
      <c r="H65" s="156">
        <v>6</v>
      </c>
      <c r="I65" s="26"/>
      <c r="J65" s="23" t="s">
        <v>297</v>
      </c>
      <c r="K65" s="124">
        <v>0</v>
      </c>
      <c r="L65" s="19" t="s">
        <v>88</v>
      </c>
    </row>
    <row r="66" spans="1:12" s="6" customFormat="1" ht="49.5" x14ac:dyDescent="0.25">
      <c r="A66" s="18">
        <v>12</v>
      </c>
      <c r="B66" s="19" t="s">
        <v>89</v>
      </c>
      <c r="C66" s="23" t="s">
        <v>90</v>
      </c>
      <c r="D66" s="18" t="s">
        <v>0</v>
      </c>
      <c r="E66" s="18">
        <v>80</v>
      </c>
      <c r="F66" s="18">
        <v>0</v>
      </c>
      <c r="G66" s="20">
        <f t="shared" si="0"/>
        <v>80</v>
      </c>
      <c r="H66" s="156">
        <v>6</v>
      </c>
      <c r="I66" s="26"/>
      <c r="J66" s="23" t="s">
        <v>97</v>
      </c>
      <c r="K66" s="124">
        <v>0</v>
      </c>
      <c r="L66" s="19" t="s">
        <v>88</v>
      </c>
    </row>
    <row r="67" spans="1:12" s="6" customFormat="1" ht="115.5" x14ac:dyDescent="0.25">
      <c r="A67" s="196">
        <v>13</v>
      </c>
      <c r="B67" s="198" t="s">
        <v>626</v>
      </c>
      <c r="C67" s="197" t="s">
        <v>627</v>
      </c>
      <c r="D67" s="196" t="s">
        <v>0</v>
      </c>
      <c r="E67" s="196">
        <v>8</v>
      </c>
      <c r="F67" s="196">
        <v>0</v>
      </c>
      <c r="G67" s="198">
        <f t="shared" si="0"/>
        <v>8</v>
      </c>
      <c r="H67" s="199">
        <v>2</v>
      </c>
      <c r="I67" s="203"/>
      <c r="J67" s="197" t="s">
        <v>628</v>
      </c>
      <c r="K67" s="204"/>
      <c r="L67" s="205" t="s">
        <v>88</v>
      </c>
    </row>
    <row r="68" spans="1:12" s="6" customFormat="1" ht="33" x14ac:dyDescent="0.25">
      <c r="A68" s="196">
        <v>14</v>
      </c>
      <c r="B68" s="197" t="s">
        <v>93</v>
      </c>
      <c r="C68" s="197" t="s">
        <v>94</v>
      </c>
      <c r="D68" s="196" t="s">
        <v>0</v>
      </c>
      <c r="E68" s="196">
        <v>48</v>
      </c>
      <c r="F68" s="196">
        <v>2</v>
      </c>
      <c r="G68" s="198">
        <f t="shared" si="0"/>
        <v>46</v>
      </c>
      <c r="H68" s="199">
        <v>6</v>
      </c>
      <c r="I68" s="203"/>
      <c r="J68" s="197" t="s">
        <v>99</v>
      </c>
      <c r="K68" s="204">
        <v>0</v>
      </c>
      <c r="L68" s="205" t="s">
        <v>88</v>
      </c>
    </row>
    <row r="69" spans="1:12" s="6" customFormat="1" ht="33" x14ac:dyDescent="0.25">
      <c r="A69" s="196">
        <v>15</v>
      </c>
      <c r="B69" s="198" t="s">
        <v>95</v>
      </c>
      <c r="C69" s="197" t="s">
        <v>96</v>
      </c>
      <c r="D69" s="196" t="s">
        <v>0</v>
      </c>
      <c r="E69" s="196">
        <v>96</v>
      </c>
      <c r="F69" s="196">
        <v>0</v>
      </c>
      <c r="G69" s="198">
        <f t="shared" si="0"/>
        <v>96</v>
      </c>
      <c r="H69" s="206">
        <v>6</v>
      </c>
      <c r="I69" s="203"/>
      <c r="J69" s="207" t="s">
        <v>100</v>
      </c>
      <c r="K69" s="204"/>
      <c r="L69" s="197" t="s">
        <v>88</v>
      </c>
    </row>
    <row r="70" spans="1:12" s="6" customFormat="1" ht="165" x14ac:dyDescent="0.25">
      <c r="A70" s="196">
        <v>16</v>
      </c>
      <c r="B70" s="198" t="s">
        <v>338</v>
      </c>
      <c r="C70" s="197" t="s">
        <v>629</v>
      </c>
      <c r="D70" s="196" t="s">
        <v>0</v>
      </c>
      <c r="E70" s="196">
        <v>60</v>
      </c>
      <c r="F70" s="196">
        <v>0</v>
      </c>
      <c r="G70" s="198">
        <f t="shared" si="0"/>
        <v>60</v>
      </c>
      <c r="H70" s="206">
        <f>30*8</f>
        <v>240</v>
      </c>
      <c r="I70" s="203"/>
      <c r="J70" s="207" t="s">
        <v>632</v>
      </c>
      <c r="K70" s="204"/>
      <c r="L70" s="197" t="s">
        <v>88</v>
      </c>
    </row>
    <row r="71" spans="1:12" s="6" customFormat="1" ht="49.5" x14ac:dyDescent="0.25">
      <c r="A71" s="196">
        <v>17</v>
      </c>
      <c r="B71" s="196" t="s">
        <v>630</v>
      </c>
      <c r="C71" s="207" t="s">
        <v>631</v>
      </c>
      <c r="D71" s="196" t="s">
        <v>0</v>
      </c>
      <c r="E71" s="196">
        <v>96</v>
      </c>
      <c r="F71" s="196">
        <v>12</v>
      </c>
      <c r="G71" s="198">
        <f t="shared" si="0"/>
        <v>84</v>
      </c>
      <c r="H71" s="206">
        <v>12</v>
      </c>
      <c r="I71" s="203"/>
      <c r="J71" s="207" t="s">
        <v>101</v>
      </c>
      <c r="K71" s="204"/>
      <c r="L71" s="197" t="s">
        <v>88</v>
      </c>
    </row>
    <row r="72" spans="1:12" s="6" customFormat="1" ht="82.5" x14ac:dyDescent="0.25">
      <c r="A72" s="196">
        <v>18</v>
      </c>
      <c r="B72" s="197" t="s">
        <v>28</v>
      </c>
      <c r="C72" s="197" t="s">
        <v>39</v>
      </c>
      <c r="D72" s="196" t="s">
        <v>0</v>
      </c>
      <c r="E72" s="196">
        <v>0</v>
      </c>
      <c r="F72" s="196">
        <v>0</v>
      </c>
      <c r="G72" s="198">
        <f t="shared" si="0"/>
        <v>0</v>
      </c>
      <c r="H72" s="208">
        <v>5</v>
      </c>
      <c r="I72" s="203"/>
      <c r="J72" s="197" t="s">
        <v>623</v>
      </c>
      <c r="K72" s="204">
        <v>29</v>
      </c>
      <c r="L72" s="205" t="s">
        <v>104</v>
      </c>
    </row>
    <row r="73" spans="1:12" s="6" customFormat="1" ht="82.5" x14ac:dyDescent="0.25">
      <c r="A73" s="196">
        <v>19</v>
      </c>
      <c r="B73" s="197" t="s">
        <v>638</v>
      </c>
      <c r="C73" s="197" t="s">
        <v>639</v>
      </c>
      <c r="D73" s="196" t="s">
        <v>59</v>
      </c>
      <c r="E73" s="196">
        <v>0</v>
      </c>
      <c r="F73" s="196">
        <v>0</v>
      </c>
      <c r="G73" s="198">
        <f t="shared" si="0"/>
        <v>0</v>
      </c>
      <c r="H73" s="208">
        <v>10</v>
      </c>
      <c r="I73" s="203"/>
      <c r="J73" s="207" t="s">
        <v>640</v>
      </c>
      <c r="K73" s="204"/>
      <c r="L73" s="205"/>
    </row>
    <row r="74" spans="1:12" s="6" customFormat="1" ht="82.5" x14ac:dyDescent="0.25">
      <c r="A74" s="196">
        <v>20</v>
      </c>
      <c r="B74" s="197" t="s">
        <v>29</v>
      </c>
      <c r="C74" s="197" t="s">
        <v>37</v>
      </c>
      <c r="D74" s="196" t="s">
        <v>17</v>
      </c>
      <c r="E74" s="196">
        <v>6</v>
      </c>
      <c r="F74" s="196">
        <v>0</v>
      </c>
      <c r="G74" s="198">
        <f t="shared" si="0"/>
        <v>6</v>
      </c>
      <c r="H74" s="199">
        <v>4</v>
      </c>
      <c r="I74" s="203"/>
      <c r="J74" s="197" t="s">
        <v>22</v>
      </c>
      <c r="K74" s="204" t="s">
        <v>121</v>
      </c>
      <c r="L74" s="205" t="s">
        <v>104</v>
      </c>
    </row>
    <row r="75" spans="1:12" s="6" customFormat="1" ht="82.5" x14ac:dyDescent="0.25">
      <c r="A75" s="196">
        <v>21</v>
      </c>
      <c r="B75" s="197" t="s">
        <v>30</v>
      </c>
      <c r="C75" s="197" t="s">
        <v>26</v>
      </c>
      <c r="D75" s="196" t="s">
        <v>17</v>
      </c>
      <c r="E75" s="196">
        <v>0</v>
      </c>
      <c r="F75" s="196">
        <v>0</v>
      </c>
      <c r="G75" s="198">
        <f t="shared" si="0"/>
        <v>0</v>
      </c>
      <c r="H75" s="199">
        <v>2</v>
      </c>
      <c r="I75" s="203"/>
      <c r="J75" s="197" t="s">
        <v>32</v>
      </c>
      <c r="K75" s="209">
        <v>0</v>
      </c>
      <c r="L75" s="205" t="s">
        <v>104</v>
      </c>
    </row>
    <row r="76" spans="1:12" s="6" customFormat="1" ht="99" x14ac:dyDescent="0.25">
      <c r="A76" s="196">
        <v>22</v>
      </c>
      <c r="B76" s="197" t="s">
        <v>23</v>
      </c>
      <c r="C76" s="197" t="s">
        <v>27</v>
      </c>
      <c r="D76" s="196" t="s">
        <v>0</v>
      </c>
      <c r="E76" s="196">
        <v>8</v>
      </c>
      <c r="F76" s="196">
        <v>0</v>
      </c>
      <c r="G76" s="198">
        <f t="shared" si="0"/>
        <v>8</v>
      </c>
      <c r="H76" s="199">
        <v>2</v>
      </c>
      <c r="I76" s="203"/>
      <c r="J76" s="197" t="s">
        <v>33</v>
      </c>
      <c r="K76" s="209">
        <v>0</v>
      </c>
      <c r="L76" s="205" t="s">
        <v>104</v>
      </c>
    </row>
    <row r="77" spans="1:12" s="6" customFormat="1" ht="214.5" x14ac:dyDescent="0.25">
      <c r="A77" s="196">
        <v>23</v>
      </c>
      <c r="B77" s="197" t="s">
        <v>641</v>
      </c>
      <c r="C77" s="197" t="s">
        <v>642</v>
      </c>
      <c r="D77" s="196" t="s">
        <v>59</v>
      </c>
      <c r="E77" s="196">
        <v>0</v>
      </c>
      <c r="F77" s="196">
        <v>0</v>
      </c>
      <c r="G77" s="198">
        <f t="shared" si="0"/>
        <v>0</v>
      </c>
      <c r="H77" s="210">
        <v>2</v>
      </c>
      <c r="I77" s="203"/>
      <c r="J77" s="207" t="s">
        <v>643</v>
      </c>
      <c r="K77" s="209"/>
      <c r="L77" s="205"/>
    </row>
    <row r="78" spans="1:12" s="6" customFormat="1" ht="33" x14ac:dyDescent="0.25">
      <c r="A78" s="196">
        <v>24</v>
      </c>
      <c r="B78" s="197" t="s">
        <v>459</v>
      </c>
      <c r="C78" s="197" t="s">
        <v>460</v>
      </c>
      <c r="D78" s="196" t="s">
        <v>59</v>
      </c>
      <c r="E78" s="196">
        <v>3</v>
      </c>
      <c r="F78" s="196">
        <v>0</v>
      </c>
      <c r="G78" s="198">
        <f t="shared" si="0"/>
        <v>3</v>
      </c>
      <c r="H78" s="210">
        <v>2</v>
      </c>
      <c r="I78" s="203"/>
      <c r="J78" s="207" t="s">
        <v>461</v>
      </c>
      <c r="K78" s="209"/>
      <c r="L78" s="205"/>
    </row>
    <row r="79" spans="1:12" s="6" customFormat="1" ht="99" x14ac:dyDescent="0.25">
      <c r="A79" s="196">
        <v>25</v>
      </c>
      <c r="B79" s="207" t="s">
        <v>190</v>
      </c>
      <c r="C79" s="197" t="s">
        <v>191</v>
      </c>
      <c r="D79" s="196" t="s">
        <v>59</v>
      </c>
      <c r="E79" s="196">
        <v>62</v>
      </c>
      <c r="F79" s="196">
        <v>31</v>
      </c>
      <c r="G79" s="198">
        <f t="shared" si="0"/>
        <v>31</v>
      </c>
      <c r="H79" s="207">
        <v>31</v>
      </c>
      <c r="I79" s="203"/>
      <c r="J79" s="207" t="s">
        <v>193</v>
      </c>
      <c r="K79" s="209"/>
      <c r="L79" s="205"/>
    </row>
    <row r="80" spans="1:12" s="6" customFormat="1" ht="99" x14ac:dyDescent="0.25">
      <c r="A80" s="196">
        <v>26</v>
      </c>
      <c r="B80" s="197" t="s">
        <v>122</v>
      </c>
      <c r="C80" s="197" t="s">
        <v>123</v>
      </c>
      <c r="D80" s="196" t="s">
        <v>0</v>
      </c>
      <c r="E80" s="196">
        <v>624</v>
      </c>
      <c r="F80" s="196">
        <v>60</v>
      </c>
      <c r="G80" s="198">
        <f t="shared" si="0"/>
        <v>564</v>
      </c>
      <c r="H80" s="199">
        <v>0</v>
      </c>
      <c r="I80" s="203"/>
      <c r="J80" s="197" t="s">
        <v>34</v>
      </c>
      <c r="K80" s="204" t="s">
        <v>124</v>
      </c>
      <c r="L80" s="205" t="s">
        <v>104</v>
      </c>
    </row>
    <row r="81" spans="1:12" s="6" customFormat="1" ht="66" x14ac:dyDescent="0.25">
      <c r="A81" s="196">
        <v>27</v>
      </c>
      <c r="B81" s="197" t="s">
        <v>615</v>
      </c>
      <c r="C81" s="197" t="s">
        <v>616</v>
      </c>
      <c r="D81" s="196" t="s">
        <v>0</v>
      </c>
      <c r="E81" s="196">
        <v>624</v>
      </c>
      <c r="F81" s="196">
        <v>0</v>
      </c>
      <c r="G81" s="198">
        <f t="shared" si="0"/>
        <v>624</v>
      </c>
      <c r="H81" s="199">
        <v>54</v>
      </c>
      <c r="I81" s="203"/>
      <c r="J81" s="207" t="s">
        <v>617</v>
      </c>
      <c r="K81" s="204">
        <v>1815</v>
      </c>
      <c r="L81" s="205" t="s">
        <v>104</v>
      </c>
    </row>
    <row r="82" spans="1:12" s="6" customFormat="1" ht="99" x14ac:dyDescent="0.25">
      <c r="A82" s="196">
        <v>28</v>
      </c>
      <c r="B82" s="197" t="s">
        <v>31</v>
      </c>
      <c r="C82" s="197" t="s">
        <v>38</v>
      </c>
      <c r="D82" s="196" t="s">
        <v>0</v>
      </c>
      <c r="E82" s="196">
        <v>148</v>
      </c>
      <c r="F82" s="196">
        <f>100+26</f>
        <v>126</v>
      </c>
      <c r="G82" s="198">
        <f t="shared" si="0"/>
        <v>22</v>
      </c>
      <c r="H82" s="211">
        <v>58</v>
      </c>
      <c r="I82" s="203"/>
      <c r="J82" s="197" t="s">
        <v>300</v>
      </c>
      <c r="K82" s="204" t="s">
        <v>110</v>
      </c>
      <c r="L82" s="205" t="s">
        <v>76</v>
      </c>
    </row>
    <row r="83" spans="1:12" s="6" customFormat="1" ht="66" x14ac:dyDescent="0.25">
      <c r="A83" s="196">
        <v>29</v>
      </c>
      <c r="B83" s="197" t="s">
        <v>618</v>
      </c>
      <c r="C83" s="197" t="s">
        <v>619</v>
      </c>
      <c r="D83" s="196" t="s">
        <v>0</v>
      </c>
      <c r="E83" s="196">
        <v>148</v>
      </c>
      <c r="F83" s="196">
        <v>0</v>
      </c>
      <c r="G83" s="198">
        <f t="shared" si="0"/>
        <v>148</v>
      </c>
      <c r="H83" s="211">
        <v>16</v>
      </c>
      <c r="I83" s="203"/>
      <c r="J83" s="197" t="s">
        <v>620</v>
      </c>
      <c r="K83" s="204">
        <v>325</v>
      </c>
      <c r="L83" s="205" t="s">
        <v>76</v>
      </c>
    </row>
    <row r="84" spans="1:12" s="6" customFormat="1" ht="33" x14ac:dyDescent="0.25">
      <c r="A84" s="196">
        <v>30</v>
      </c>
      <c r="B84" s="197" t="s">
        <v>711</v>
      </c>
      <c r="C84" s="197" t="s">
        <v>712</v>
      </c>
      <c r="D84" s="198" t="s">
        <v>0</v>
      </c>
      <c r="E84" s="198">
        <v>10</v>
      </c>
      <c r="F84" s="198">
        <v>2</v>
      </c>
      <c r="G84" s="198">
        <f t="shared" si="0"/>
        <v>8</v>
      </c>
      <c r="H84" s="212">
        <v>10</v>
      </c>
      <c r="I84" s="198"/>
      <c r="J84" s="197" t="s">
        <v>713</v>
      </c>
      <c r="K84" s="209"/>
      <c r="L84" s="197" t="s">
        <v>206</v>
      </c>
    </row>
    <row r="85" spans="1:12" s="6" customFormat="1" ht="33" x14ac:dyDescent="0.25">
      <c r="A85" s="196">
        <v>31</v>
      </c>
      <c r="B85" s="197" t="s">
        <v>716</v>
      </c>
      <c r="C85" s="197" t="s">
        <v>717</v>
      </c>
      <c r="D85" s="198" t="s">
        <v>0</v>
      </c>
      <c r="E85" s="198">
        <v>10</v>
      </c>
      <c r="F85" s="198">
        <v>2</v>
      </c>
      <c r="G85" s="198">
        <f t="shared" si="0"/>
        <v>8</v>
      </c>
      <c r="H85" s="212">
        <v>10</v>
      </c>
      <c r="I85" s="198"/>
      <c r="J85" s="197" t="s">
        <v>718</v>
      </c>
      <c r="K85" s="209"/>
      <c r="L85" s="205" t="s">
        <v>88</v>
      </c>
    </row>
    <row r="86" spans="1:12" s="6" customFormat="1" ht="33" x14ac:dyDescent="0.25">
      <c r="A86" s="196">
        <v>32</v>
      </c>
      <c r="B86" s="197" t="s">
        <v>708</v>
      </c>
      <c r="C86" s="197" t="s">
        <v>709</v>
      </c>
      <c r="D86" s="198" t="s">
        <v>0</v>
      </c>
      <c r="E86" s="198">
        <v>10</v>
      </c>
      <c r="F86" s="198">
        <v>0</v>
      </c>
      <c r="G86" s="198">
        <f t="shared" si="0"/>
        <v>10</v>
      </c>
      <c r="H86" s="212">
        <v>4</v>
      </c>
      <c r="I86" s="198"/>
      <c r="J86" s="197" t="s">
        <v>710</v>
      </c>
      <c r="K86" s="209"/>
      <c r="L86" s="205" t="s">
        <v>140</v>
      </c>
    </row>
    <row r="87" spans="1:12" s="6" customFormat="1" ht="33" x14ac:dyDescent="0.25">
      <c r="A87" s="196">
        <v>33</v>
      </c>
      <c r="B87" s="197" t="s">
        <v>715</v>
      </c>
      <c r="C87" s="197" t="s">
        <v>714</v>
      </c>
      <c r="D87" s="198" t="s">
        <v>0</v>
      </c>
      <c r="E87" s="198">
        <v>10</v>
      </c>
      <c r="F87" s="198">
        <v>0</v>
      </c>
      <c r="G87" s="198">
        <f t="shared" si="0"/>
        <v>10</v>
      </c>
      <c r="H87" s="212">
        <v>4</v>
      </c>
      <c r="I87" s="198"/>
      <c r="J87" s="197" t="s">
        <v>710</v>
      </c>
      <c r="K87" s="209"/>
      <c r="L87" s="205" t="s">
        <v>140</v>
      </c>
    </row>
    <row r="88" spans="1:12" s="6" customFormat="1" ht="33" x14ac:dyDescent="0.25">
      <c r="A88" s="196">
        <v>34</v>
      </c>
      <c r="B88" s="197" t="s">
        <v>719</v>
      </c>
      <c r="C88" s="197" t="s">
        <v>720</v>
      </c>
      <c r="D88" s="198" t="s">
        <v>0</v>
      </c>
      <c r="E88" s="198">
        <v>10</v>
      </c>
      <c r="F88" s="198">
        <v>0</v>
      </c>
      <c r="G88" s="198">
        <f t="shared" ref="G88:G149" si="1">E88-F88</f>
        <v>10</v>
      </c>
      <c r="H88" s="212">
        <v>10</v>
      </c>
      <c r="I88" s="198"/>
      <c r="J88" s="197" t="s">
        <v>710</v>
      </c>
      <c r="K88" s="209"/>
      <c r="L88" s="205" t="s">
        <v>140</v>
      </c>
    </row>
    <row r="89" spans="1:12" s="6" customFormat="1" ht="66" x14ac:dyDescent="0.25">
      <c r="A89" s="196">
        <v>35</v>
      </c>
      <c r="B89" s="197" t="s">
        <v>112</v>
      </c>
      <c r="C89" s="197" t="s">
        <v>60</v>
      </c>
      <c r="D89" s="198" t="s">
        <v>0</v>
      </c>
      <c r="E89" s="198">
        <v>20</v>
      </c>
      <c r="F89" s="198">
        <v>6</v>
      </c>
      <c r="G89" s="198">
        <f t="shared" si="1"/>
        <v>14</v>
      </c>
      <c r="H89" s="212">
        <v>6</v>
      </c>
      <c r="I89" s="198"/>
      <c r="J89" s="197" t="s">
        <v>611</v>
      </c>
      <c r="K89" s="209">
        <v>4</v>
      </c>
      <c r="L89" s="205" t="s">
        <v>76</v>
      </c>
    </row>
    <row r="90" spans="1:12" s="6" customFormat="1" ht="99" x14ac:dyDescent="0.25">
      <c r="A90" s="196">
        <v>36</v>
      </c>
      <c r="B90" s="197" t="s">
        <v>361</v>
      </c>
      <c r="C90" s="197" t="s">
        <v>362</v>
      </c>
      <c r="D90" s="198" t="s">
        <v>0</v>
      </c>
      <c r="E90" s="198">
        <v>12</v>
      </c>
      <c r="F90" s="198">
        <v>4</v>
      </c>
      <c r="G90" s="198">
        <f t="shared" si="1"/>
        <v>8</v>
      </c>
      <c r="H90" s="212">
        <v>6</v>
      </c>
      <c r="I90" s="198"/>
      <c r="J90" s="197" t="s">
        <v>625</v>
      </c>
      <c r="K90" s="209"/>
      <c r="L90" s="205" t="s">
        <v>88</v>
      </c>
    </row>
    <row r="91" spans="1:12" s="6" customFormat="1" ht="82.5" x14ac:dyDescent="0.25">
      <c r="A91" s="196">
        <v>37</v>
      </c>
      <c r="B91" s="197" t="s">
        <v>363</v>
      </c>
      <c r="C91" s="197" t="s">
        <v>364</v>
      </c>
      <c r="D91" s="198" t="s">
        <v>0</v>
      </c>
      <c r="E91" s="198">
        <v>32</v>
      </c>
      <c r="F91" s="198">
        <v>0</v>
      </c>
      <c r="G91" s="198">
        <f t="shared" si="1"/>
        <v>32</v>
      </c>
      <c r="H91" s="212">
        <v>0</v>
      </c>
      <c r="I91" s="198"/>
      <c r="J91" s="197" t="s">
        <v>625</v>
      </c>
      <c r="K91" s="209"/>
      <c r="L91" s="205" t="s">
        <v>88</v>
      </c>
    </row>
    <row r="92" spans="1:12" s="6" customFormat="1" ht="99" x14ac:dyDescent="0.25">
      <c r="A92" s="196">
        <v>38</v>
      </c>
      <c r="B92" s="213" t="s">
        <v>314</v>
      </c>
      <c r="C92" s="213" t="s">
        <v>315</v>
      </c>
      <c r="D92" s="198" t="s">
        <v>0</v>
      </c>
      <c r="E92" s="198">
        <v>20</v>
      </c>
      <c r="F92" s="198">
        <v>0</v>
      </c>
      <c r="G92" s="198">
        <f t="shared" si="1"/>
        <v>20</v>
      </c>
      <c r="H92" s="212">
        <v>10</v>
      </c>
      <c r="I92" s="198"/>
      <c r="J92" s="201" t="s">
        <v>736</v>
      </c>
      <c r="K92" s="209"/>
      <c r="L92" s="205" t="s">
        <v>737</v>
      </c>
    </row>
    <row r="93" spans="1:12" s="9" customFormat="1" x14ac:dyDescent="0.25">
      <c r="A93" s="48" t="s">
        <v>20</v>
      </c>
      <c r="B93" s="48"/>
      <c r="C93" s="48"/>
      <c r="D93" s="117"/>
      <c r="E93" s="117"/>
      <c r="F93" s="117"/>
      <c r="G93" s="20">
        <f t="shared" si="1"/>
        <v>0</v>
      </c>
      <c r="H93" s="173"/>
      <c r="I93" s="117"/>
      <c r="J93" s="48"/>
      <c r="K93" s="120"/>
      <c r="L93" s="48"/>
    </row>
    <row r="94" spans="1:12" s="6" customFormat="1" ht="66" x14ac:dyDescent="0.25">
      <c r="A94" s="18">
        <v>1</v>
      </c>
      <c r="B94" s="19" t="s">
        <v>49</v>
      </c>
      <c r="C94" s="23" t="s">
        <v>50</v>
      </c>
      <c r="D94" s="18" t="s">
        <v>51</v>
      </c>
      <c r="E94" s="18">
        <v>40</v>
      </c>
      <c r="F94" s="18">
        <v>22</v>
      </c>
      <c r="G94" s="20">
        <f t="shared" si="1"/>
        <v>18</v>
      </c>
      <c r="H94" s="155">
        <v>70</v>
      </c>
      <c r="I94" s="18"/>
      <c r="J94" s="23" t="s">
        <v>181</v>
      </c>
      <c r="K94" s="124">
        <v>0</v>
      </c>
      <c r="L94" s="23" t="s">
        <v>621</v>
      </c>
    </row>
    <row r="95" spans="1:12" s="6" customFormat="1" ht="49.5" x14ac:dyDescent="0.25">
      <c r="A95" s="18">
        <v>2</v>
      </c>
      <c r="B95" s="19" t="s">
        <v>166</v>
      </c>
      <c r="C95" s="23" t="s">
        <v>167</v>
      </c>
      <c r="D95" s="18" t="s">
        <v>51</v>
      </c>
      <c r="E95" s="18">
        <v>260</v>
      </c>
      <c r="F95" s="18">
        <v>0</v>
      </c>
      <c r="G95" s="20">
        <f t="shared" si="1"/>
        <v>260</v>
      </c>
      <c r="H95" s="155">
        <v>100</v>
      </c>
      <c r="I95" s="18"/>
      <c r="J95" s="23" t="s">
        <v>168</v>
      </c>
      <c r="K95" s="124">
        <v>4</v>
      </c>
      <c r="L95" s="19" t="s">
        <v>140</v>
      </c>
    </row>
    <row r="96" spans="1:12" s="6" customFormat="1" x14ac:dyDescent="0.25">
      <c r="A96" s="18">
        <v>3</v>
      </c>
      <c r="B96" s="19" t="s">
        <v>563</v>
      </c>
      <c r="C96" s="23" t="s">
        <v>699</v>
      </c>
      <c r="D96" s="18" t="s">
        <v>2</v>
      </c>
      <c r="E96" s="18">
        <v>0</v>
      </c>
      <c r="F96" s="18">
        <v>700</v>
      </c>
      <c r="G96" s="20">
        <f t="shared" si="1"/>
        <v>-700</v>
      </c>
      <c r="H96" s="155">
        <v>750</v>
      </c>
      <c r="I96" s="18"/>
      <c r="J96" s="23" t="s">
        <v>700</v>
      </c>
      <c r="K96" s="124"/>
      <c r="L96" s="19"/>
    </row>
    <row r="97" spans="1:12" s="6" customFormat="1" ht="33" x14ac:dyDescent="0.25">
      <c r="A97" s="18">
        <v>4</v>
      </c>
      <c r="B97" s="19" t="s">
        <v>40</v>
      </c>
      <c r="C97" s="19" t="s">
        <v>1</v>
      </c>
      <c r="D97" s="18" t="s">
        <v>2</v>
      </c>
      <c r="E97" s="18">
        <v>76275.609756097605</v>
      </c>
      <c r="F97" s="18">
        <v>14000</v>
      </c>
      <c r="G97" s="20">
        <f t="shared" si="1"/>
        <v>62275.609756097605</v>
      </c>
      <c r="H97" s="162">
        <v>200</v>
      </c>
      <c r="I97" s="18"/>
      <c r="J97" s="22" t="s">
        <v>215</v>
      </c>
      <c r="K97" s="123">
        <v>900</v>
      </c>
      <c r="L97" s="19" t="s">
        <v>48</v>
      </c>
    </row>
    <row r="98" spans="1:12" s="6" customFormat="1" ht="66" x14ac:dyDescent="0.25">
      <c r="A98" s="18">
        <v>5</v>
      </c>
      <c r="B98" s="19" t="s">
        <v>133</v>
      </c>
      <c r="C98" s="23" t="s">
        <v>118</v>
      </c>
      <c r="D98" s="18" t="s">
        <v>74</v>
      </c>
      <c r="E98" s="18">
        <v>0</v>
      </c>
      <c r="F98" s="18">
        <v>0</v>
      </c>
      <c r="G98" s="20">
        <f t="shared" si="1"/>
        <v>0</v>
      </c>
      <c r="H98" s="162">
        <v>100</v>
      </c>
      <c r="I98" s="18"/>
      <c r="J98" s="23" t="s">
        <v>75</v>
      </c>
      <c r="K98" s="124" t="s">
        <v>110</v>
      </c>
      <c r="L98" s="19" t="s">
        <v>76</v>
      </c>
    </row>
    <row r="99" spans="1:12" s="6" customFormat="1" x14ac:dyDescent="0.25">
      <c r="A99" s="18">
        <v>6</v>
      </c>
      <c r="B99" s="19" t="s">
        <v>174</v>
      </c>
      <c r="C99" s="19" t="s">
        <v>102</v>
      </c>
      <c r="D99" s="18" t="s">
        <v>66</v>
      </c>
      <c r="E99" s="18">
        <v>815691.33257280034</v>
      </c>
      <c r="F99" s="18">
        <f>324900+11400*3+5700+11400*3</f>
        <v>399000</v>
      </c>
      <c r="G99" s="20">
        <f t="shared" si="1"/>
        <v>416691.33257280034</v>
      </c>
      <c r="H99" s="162">
        <v>150000</v>
      </c>
      <c r="I99" s="18"/>
      <c r="J99" s="23" t="s">
        <v>103</v>
      </c>
      <c r="K99" s="123">
        <v>239581</v>
      </c>
      <c r="L99" s="19" t="s">
        <v>88</v>
      </c>
    </row>
    <row r="100" spans="1:12" s="6" customFormat="1" ht="49.5" x14ac:dyDescent="0.25">
      <c r="A100" s="18">
        <v>7</v>
      </c>
      <c r="B100" s="19" t="s">
        <v>577</v>
      </c>
      <c r="C100" s="79" t="s">
        <v>578</v>
      </c>
      <c r="D100" s="18" t="s">
        <v>0</v>
      </c>
      <c r="E100" s="163">
        <v>4</v>
      </c>
      <c r="F100" s="18">
        <v>0</v>
      </c>
      <c r="G100" s="20">
        <f t="shared" si="1"/>
        <v>4</v>
      </c>
      <c r="H100" s="155">
        <f>E100</f>
        <v>4</v>
      </c>
      <c r="I100" s="20"/>
      <c r="J100" s="166" t="s">
        <v>579</v>
      </c>
      <c r="K100" s="124"/>
      <c r="L100" s="22"/>
    </row>
    <row r="101" spans="1:12" s="6" customFormat="1" ht="49.5" x14ac:dyDescent="0.25">
      <c r="A101" s="18">
        <v>8</v>
      </c>
      <c r="B101" s="19" t="s">
        <v>606</v>
      </c>
      <c r="C101" s="23" t="s">
        <v>607</v>
      </c>
      <c r="D101" s="18" t="s">
        <v>0</v>
      </c>
      <c r="E101" s="18">
        <v>82</v>
      </c>
      <c r="F101" s="18">
        <v>0</v>
      </c>
      <c r="G101" s="20">
        <f t="shared" si="1"/>
        <v>82</v>
      </c>
      <c r="H101" s="155">
        <f t="shared" ref="H101:H114" si="2">E101</f>
        <v>82</v>
      </c>
      <c r="I101" s="20"/>
      <c r="J101" s="166" t="s">
        <v>608</v>
      </c>
      <c r="K101" s="124"/>
      <c r="L101" s="22"/>
    </row>
    <row r="102" spans="1:12" s="6" customFormat="1" ht="33" x14ac:dyDescent="0.25">
      <c r="A102" s="18">
        <v>9</v>
      </c>
      <c r="B102" s="167" t="s">
        <v>580</v>
      </c>
      <c r="C102" s="79" t="s">
        <v>593</v>
      </c>
      <c r="D102" s="18" t="s">
        <v>386</v>
      </c>
      <c r="E102" s="159">
        <v>2</v>
      </c>
      <c r="F102" s="18">
        <v>0</v>
      </c>
      <c r="G102" s="20">
        <f t="shared" si="1"/>
        <v>2</v>
      </c>
      <c r="H102" s="155">
        <f t="shared" si="2"/>
        <v>2</v>
      </c>
      <c r="I102" s="20"/>
      <c r="J102" s="166" t="s">
        <v>739</v>
      </c>
      <c r="K102" s="124"/>
      <c r="L102" s="22"/>
    </row>
    <row r="103" spans="1:12" s="6" customFormat="1" ht="66" x14ac:dyDescent="0.25">
      <c r="A103" s="18">
        <v>10</v>
      </c>
      <c r="B103" s="167" t="s">
        <v>581</v>
      </c>
      <c r="C103" s="79" t="s">
        <v>594</v>
      </c>
      <c r="D103" s="18" t="s">
        <v>411</v>
      </c>
      <c r="E103" s="159">
        <v>30</v>
      </c>
      <c r="F103" s="18">
        <v>0</v>
      </c>
      <c r="G103" s="20">
        <f t="shared" si="1"/>
        <v>30</v>
      </c>
      <c r="H103" s="155">
        <f t="shared" si="2"/>
        <v>30</v>
      </c>
      <c r="I103" s="20"/>
      <c r="J103" s="166" t="s">
        <v>739</v>
      </c>
      <c r="K103" s="124"/>
      <c r="L103" s="22"/>
    </row>
    <row r="104" spans="1:12" s="6" customFormat="1" ht="115.5" x14ac:dyDescent="0.25">
      <c r="A104" s="18">
        <v>11</v>
      </c>
      <c r="B104" s="167" t="s">
        <v>582</v>
      </c>
      <c r="C104" s="79" t="s">
        <v>595</v>
      </c>
      <c r="D104" s="18" t="s">
        <v>411</v>
      </c>
      <c r="E104" s="159">
        <v>200</v>
      </c>
      <c r="F104" s="18">
        <v>0</v>
      </c>
      <c r="G104" s="20">
        <f t="shared" si="1"/>
        <v>200</v>
      </c>
      <c r="H104" s="155">
        <f t="shared" si="2"/>
        <v>200</v>
      </c>
      <c r="I104" s="20"/>
      <c r="J104" s="166" t="s">
        <v>739</v>
      </c>
      <c r="K104" s="124"/>
      <c r="L104" s="22"/>
    </row>
    <row r="105" spans="1:12" s="6" customFormat="1" ht="82.5" x14ac:dyDescent="0.25">
      <c r="A105" s="18">
        <v>12</v>
      </c>
      <c r="B105" s="167" t="s">
        <v>583</v>
      </c>
      <c r="C105" s="79" t="s">
        <v>596</v>
      </c>
      <c r="D105" s="18" t="s">
        <v>411</v>
      </c>
      <c r="E105" s="159">
        <v>200</v>
      </c>
      <c r="F105" s="18">
        <v>0</v>
      </c>
      <c r="G105" s="20">
        <f t="shared" si="1"/>
        <v>200</v>
      </c>
      <c r="H105" s="155">
        <f t="shared" si="2"/>
        <v>200</v>
      </c>
      <c r="I105" s="20"/>
      <c r="J105" s="166" t="s">
        <v>740</v>
      </c>
      <c r="K105" s="124"/>
      <c r="L105" s="22"/>
    </row>
    <row r="106" spans="1:12" s="6" customFormat="1" ht="66" x14ac:dyDescent="0.25">
      <c r="A106" s="18">
        <v>13</v>
      </c>
      <c r="B106" s="167" t="s">
        <v>584</v>
      </c>
      <c r="C106" s="79" t="s">
        <v>597</v>
      </c>
      <c r="D106" s="18" t="s">
        <v>0</v>
      </c>
      <c r="E106" s="159">
        <v>40</v>
      </c>
      <c r="F106" s="18">
        <v>0</v>
      </c>
      <c r="G106" s="20">
        <f t="shared" si="1"/>
        <v>40</v>
      </c>
      <c r="H106" s="155">
        <f t="shared" si="2"/>
        <v>40</v>
      </c>
      <c r="I106" s="20"/>
      <c r="J106" s="166" t="s">
        <v>740</v>
      </c>
      <c r="K106" s="124"/>
      <c r="L106" s="22"/>
    </row>
    <row r="107" spans="1:12" s="6" customFormat="1" ht="82.5" x14ac:dyDescent="0.25">
      <c r="A107" s="18">
        <v>14</v>
      </c>
      <c r="B107" s="167" t="s">
        <v>585</v>
      </c>
      <c r="C107" s="79" t="s">
        <v>598</v>
      </c>
      <c r="D107" s="18" t="s">
        <v>0</v>
      </c>
      <c r="E107" s="159">
        <v>5</v>
      </c>
      <c r="F107" s="18">
        <v>0</v>
      </c>
      <c r="G107" s="20">
        <f t="shared" si="1"/>
        <v>5</v>
      </c>
      <c r="H107" s="155">
        <v>10</v>
      </c>
      <c r="I107" s="20"/>
      <c r="J107" s="166" t="s">
        <v>740</v>
      </c>
      <c r="K107" s="124"/>
      <c r="L107" s="22"/>
    </row>
    <row r="108" spans="1:12" s="6" customFormat="1" ht="49.5" x14ac:dyDescent="0.25">
      <c r="A108" s="18">
        <v>15</v>
      </c>
      <c r="B108" s="167" t="s">
        <v>586</v>
      </c>
      <c r="C108" s="79" t="s">
        <v>599</v>
      </c>
      <c r="D108" s="18" t="s">
        <v>0</v>
      </c>
      <c r="E108" s="159">
        <v>4</v>
      </c>
      <c r="F108" s="18">
        <v>0</v>
      </c>
      <c r="G108" s="20">
        <f t="shared" si="1"/>
        <v>4</v>
      </c>
      <c r="H108" s="155">
        <f t="shared" si="2"/>
        <v>4</v>
      </c>
      <c r="I108" s="20"/>
      <c r="J108" s="166" t="s">
        <v>739</v>
      </c>
      <c r="K108" s="124"/>
      <c r="L108" s="22"/>
    </row>
    <row r="109" spans="1:12" s="6" customFormat="1" ht="66" x14ac:dyDescent="0.25">
      <c r="A109" s="18">
        <v>16</v>
      </c>
      <c r="B109" s="167" t="s">
        <v>587</v>
      </c>
      <c r="C109" s="79" t="s">
        <v>600</v>
      </c>
      <c r="D109" s="18" t="s">
        <v>0</v>
      </c>
      <c r="E109" s="159">
        <v>4</v>
      </c>
      <c r="F109" s="18">
        <v>0</v>
      </c>
      <c r="G109" s="20">
        <f t="shared" si="1"/>
        <v>4</v>
      </c>
      <c r="H109" s="155">
        <f t="shared" si="2"/>
        <v>4</v>
      </c>
      <c r="I109" s="20"/>
      <c r="J109" s="166" t="s">
        <v>740</v>
      </c>
      <c r="K109" s="124"/>
      <c r="L109" s="22"/>
    </row>
    <row r="110" spans="1:12" s="6" customFormat="1" ht="82.5" x14ac:dyDescent="0.25">
      <c r="A110" s="18">
        <v>17</v>
      </c>
      <c r="B110" s="167" t="s">
        <v>588</v>
      </c>
      <c r="C110" s="79" t="s">
        <v>601</v>
      </c>
      <c r="D110" s="18" t="s">
        <v>0</v>
      </c>
      <c r="E110" s="159">
        <v>5</v>
      </c>
      <c r="F110" s="18">
        <v>0</v>
      </c>
      <c r="G110" s="20">
        <f t="shared" si="1"/>
        <v>5</v>
      </c>
      <c r="H110" s="155">
        <f t="shared" si="2"/>
        <v>5</v>
      </c>
      <c r="I110" s="20"/>
      <c r="J110" s="166" t="s">
        <v>740</v>
      </c>
      <c r="K110" s="124"/>
      <c r="L110" s="22"/>
    </row>
    <row r="111" spans="1:12" s="6" customFormat="1" ht="82.5" x14ac:dyDescent="0.25">
      <c r="A111" s="18">
        <v>18</v>
      </c>
      <c r="B111" s="167" t="s">
        <v>589</v>
      </c>
      <c r="C111" s="79" t="s">
        <v>602</v>
      </c>
      <c r="D111" s="18" t="s">
        <v>0</v>
      </c>
      <c r="E111" s="159">
        <v>1</v>
      </c>
      <c r="F111" s="18">
        <v>0</v>
      </c>
      <c r="G111" s="20">
        <f t="shared" si="1"/>
        <v>1</v>
      </c>
      <c r="H111" s="155">
        <f t="shared" si="2"/>
        <v>1</v>
      </c>
      <c r="I111" s="20"/>
      <c r="J111" s="166" t="s">
        <v>740</v>
      </c>
      <c r="K111" s="124"/>
      <c r="L111" s="22"/>
    </row>
    <row r="112" spans="1:12" s="6" customFormat="1" ht="82.5" x14ac:dyDescent="0.25">
      <c r="A112" s="18">
        <v>19</v>
      </c>
      <c r="B112" s="167" t="s">
        <v>590</v>
      </c>
      <c r="C112" s="79" t="s">
        <v>603</v>
      </c>
      <c r="D112" s="18" t="s">
        <v>0</v>
      </c>
      <c r="E112" s="159">
        <v>1</v>
      </c>
      <c r="F112" s="18">
        <v>0</v>
      </c>
      <c r="G112" s="20">
        <f t="shared" si="1"/>
        <v>1</v>
      </c>
      <c r="H112" s="155">
        <f t="shared" si="2"/>
        <v>1</v>
      </c>
      <c r="I112" s="20"/>
      <c r="J112" s="166" t="s">
        <v>740</v>
      </c>
      <c r="K112" s="124"/>
      <c r="L112" s="22"/>
    </row>
    <row r="113" spans="1:12" s="6" customFormat="1" ht="82.5" x14ac:dyDescent="0.25">
      <c r="A113" s="18">
        <v>20</v>
      </c>
      <c r="B113" s="167" t="s">
        <v>591</v>
      </c>
      <c r="C113" s="79" t="s">
        <v>604</v>
      </c>
      <c r="D113" s="18" t="s">
        <v>0</v>
      </c>
      <c r="E113" s="159">
        <v>1</v>
      </c>
      <c r="F113" s="18">
        <v>0</v>
      </c>
      <c r="G113" s="20">
        <f t="shared" si="1"/>
        <v>1</v>
      </c>
      <c r="H113" s="155">
        <f t="shared" si="2"/>
        <v>1</v>
      </c>
      <c r="I113" s="20"/>
      <c r="J113" s="166" t="s">
        <v>740</v>
      </c>
      <c r="K113" s="124"/>
      <c r="L113" s="22"/>
    </row>
    <row r="114" spans="1:12" s="6" customFormat="1" ht="115.5" x14ac:dyDescent="0.25">
      <c r="A114" s="18">
        <v>21</v>
      </c>
      <c r="B114" s="167" t="s">
        <v>592</v>
      </c>
      <c r="C114" s="79" t="s">
        <v>605</v>
      </c>
      <c r="D114" s="18" t="s">
        <v>0</v>
      </c>
      <c r="E114" s="159">
        <v>1</v>
      </c>
      <c r="F114" s="18">
        <v>0</v>
      </c>
      <c r="G114" s="20">
        <f t="shared" si="1"/>
        <v>1</v>
      </c>
      <c r="H114" s="155">
        <f t="shared" si="2"/>
        <v>1</v>
      </c>
      <c r="I114" s="20"/>
      <c r="J114" s="166" t="s">
        <v>740</v>
      </c>
      <c r="K114" s="124"/>
      <c r="L114" s="22"/>
    </row>
    <row r="115" spans="1:12" s="6" customFormat="1" x14ac:dyDescent="0.25">
      <c r="A115" s="18">
        <v>22</v>
      </c>
      <c r="B115" s="19" t="s">
        <v>398</v>
      </c>
      <c r="C115" s="19" t="s">
        <v>397</v>
      </c>
      <c r="D115" s="18" t="s">
        <v>0</v>
      </c>
      <c r="E115" s="20">
        <v>0</v>
      </c>
      <c r="F115" s="20">
        <v>974</v>
      </c>
      <c r="G115" s="20">
        <v>0</v>
      </c>
      <c r="H115" s="165">
        <v>1000</v>
      </c>
      <c r="I115" s="20"/>
      <c r="J115" s="166" t="s">
        <v>749</v>
      </c>
      <c r="K115" s="124"/>
      <c r="L115" s="22"/>
    </row>
    <row r="116" spans="1:12" ht="33" x14ac:dyDescent="0.25">
      <c r="A116" s="18">
        <v>23</v>
      </c>
      <c r="B116" s="175" t="s">
        <v>644</v>
      </c>
      <c r="C116" s="175" t="s">
        <v>645</v>
      </c>
      <c r="D116" s="176" t="s">
        <v>0</v>
      </c>
      <c r="E116" s="18">
        <v>0</v>
      </c>
      <c r="F116" s="18">
        <v>0</v>
      </c>
      <c r="G116" s="20">
        <f t="shared" si="1"/>
        <v>0</v>
      </c>
      <c r="H116" s="177">
        <v>4</v>
      </c>
      <c r="I116" s="177"/>
      <c r="J116" s="168" t="s">
        <v>696</v>
      </c>
      <c r="K116" s="177">
        <v>4</v>
      </c>
      <c r="L116" s="178"/>
    </row>
    <row r="117" spans="1:12" x14ac:dyDescent="0.25">
      <c r="A117" s="18">
        <v>24</v>
      </c>
      <c r="B117" s="175" t="s">
        <v>646</v>
      </c>
      <c r="C117" s="175" t="s">
        <v>647</v>
      </c>
      <c r="D117" s="176" t="s">
        <v>0</v>
      </c>
      <c r="E117" s="18">
        <v>0</v>
      </c>
      <c r="F117" s="18">
        <v>0</v>
      </c>
      <c r="G117" s="20">
        <f t="shared" si="1"/>
        <v>0</v>
      </c>
      <c r="H117" s="177">
        <v>3</v>
      </c>
      <c r="I117" s="177"/>
      <c r="J117" s="168" t="s">
        <v>696</v>
      </c>
      <c r="K117" s="177">
        <v>3</v>
      </c>
      <c r="L117" s="178"/>
    </row>
    <row r="118" spans="1:12" x14ac:dyDescent="0.25">
      <c r="A118" s="18">
        <v>25</v>
      </c>
      <c r="B118" s="175" t="s">
        <v>648</v>
      </c>
      <c r="C118" s="175" t="s">
        <v>649</v>
      </c>
      <c r="D118" s="176" t="s">
        <v>0</v>
      </c>
      <c r="E118" s="18">
        <v>0</v>
      </c>
      <c r="F118" s="18">
        <v>0</v>
      </c>
      <c r="G118" s="20">
        <f t="shared" si="1"/>
        <v>0</v>
      </c>
      <c r="H118" s="177">
        <v>40</v>
      </c>
      <c r="I118" s="177"/>
      <c r="J118" s="168" t="s">
        <v>696</v>
      </c>
      <c r="K118" s="177">
        <v>40</v>
      </c>
      <c r="L118" s="178"/>
    </row>
    <row r="119" spans="1:12" ht="33" x14ac:dyDescent="0.25">
      <c r="A119" s="18">
        <v>26</v>
      </c>
      <c r="B119" s="175" t="s">
        <v>743</v>
      </c>
      <c r="C119" s="175" t="s">
        <v>744</v>
      </c>
      <c r="D119" s="176" t="s">
        <v>0</v>
      </c>
      <c r="E119" s="18">
        <v>0</v>
      </c>
      <c r="F119" s="18">
        <v>0</v>
      </c>
      <c r="G119" s="20">
        <f t="shared" si="1"/>
        <v>0</v>
      </c>
      <c r="H119" s="177">
        <v>2</v>
      </c>
      <c r="I119" s="177"/>
      <c r="J119" s="168" t="s">
        <v>696</v>
      </c>
      <c r="K119" s="177"/>
      <c r="L119" s="178"/>
    </row>
    <row r="120" spans="1:12" ht="33" x14ac:dyDescent="0.25">
      <c r="A120" s="18">
        <v>27</v>
      </c>
      <c r="B120" s="175" t="s">
        <v>650</v>
      </c>
      <c r="C120" s="175" t="s">
        <v>651</v>
      </c>
      <c r="D120" s="176" t="s">
        <v>0</v>
      </c>
      <c r="E120" s="18">
        <v>0</v>
      </c>
      <c r="F120" s="18">
        <v>0</v>
      </c>
      <c r="G120" s="20">
        <f t="shared" si="1"/>
        <v>0</v>
      </c>
      <c r="H120" s="177">
        <v>4</v>
      </c>
      <c r="I120" s="177"/>
      <c r="J120" s="168" t="s">
        <v>696</v>
      </c>
      <c r="K120" s="177">
        <v>4</v>
      </c>
      <c r="L120" s="178"/>
    </row>
    <row r="121" spans="1:12" ht="33" x14ac:dyDescent="0.25">
      <c r="A121" s="18">
        <v>28</v>
      </c>
      <c r="B121" s="175" t="s">
        <v>652</v>
      </c>
      <c r="C121" s="175" t="s">
        <v>653</v>
      </c>
      <c r="D121" s="176" t="s">
        <v>428</v>
      </c>
      <c r="E121" s="18">
        <v>0</v>
      </c>
      <c r="F121" s="18">
        <v>0</v>
      </c>
      <c r="G121" s="20">
        <f t="shared" si="1"/>
        <v>0</v>
      </c>
      <c r="H121" s="177">
        <v>6</v>
      </c>
      <c r="I121" s="177"/>
      <c r="J121" s="168" t="s">
        <v>696</v>
      </c>
      <c r="K121" s="177">
        <v>6</v>
      </c>
      <c r="L121" s="178"/>
    </row>
    <row r="122" spans="1:12" ht="66" x14ac:dyDescent="0.25">
      <c r="A122" s="18">
        <v>29</v>
      </c>
      <c r="B122" s="175" t="s">
        <v>654</v>
      </c>
      <c r="C122" s="175" t="s">
        <v>655</v>
      </c>
      <c r="D122" s="176" t="s">
        <v>42</v>
      </c>
      <c r="E122" s="18">
        <v>0</v>
      </c>
      <c r="F122" s="18">
        <v>0</v>
      </c>
      <c r="G122" s="20">
        <f t="shared" si="1"/>
        <v>0</v>
      </c>
      <c r="H122" s="177">
        <v>3</v>
      </c>
      <c r="I122" s="177"/>
      <c r="J122" s="168" t="s">
        <v>696</v>
      </c>
      <c r="K122" s="177">
        <v>3</v>
      </c>
      <c r="L122" s="178"/>
    </row>
    <row r="123" spans="1:12" ht="33" x14ac:dyDescent="0.25">
      <c r="A123" s="18">
        <v>30</v>
      </c>
      <c r="B123" s="175" t="s">
        <v>656</v>
      </c>
      <c r="C123" s="175" t="s">
        <v>657</v>
      </c>
      <c r="D123" s="176" t="s">
        <v>0</v>
      </c>
      <c r="E123" s="18">
        <v>0</v>
      </c>
      <c r="F123" s="18">
        <v>0</v>
      </c>
      <c r="G123" s="20">
        <f t="shared" si="1"/>
        <v>0</v>
      </c>
      <c r="H123" s="177">
        <v>2</v>
      </c>
      <c r="I123" s="177"/>
      <c r="J123" s="168" t="s">
        <v>696</v>
      </c>
      <c r="K123" s="177">
        <v>2</v>
      </c>
      <c r="L123" s="178"/>
    </row>
    <row r="124" spans="1:12" x14ac:dyDescent="0.25">
      <c r="A124" s="18">
        <v>31</v>
      </c>
      <c r="B124" s="175" t="s">
        <v>658</v>
      </c>
      <c r="C124" s="175" t="s">
        <v>659</v>
      </c>
      <c r="D124" s="176" t="s">
        <v>0</v>
      </c>
      <c r="E124" s="18">
        <v>0</v>
      </c>
      <c r="F124" s="18">
        <v>0</v>
      </c>
      <c r="G124" s="20">
        <f t="shared" si="1"/>
        <v>0</v>
      </c>
      <c r="H124" s="177">
        <v>3</v>
      </c>
      <c r="I124" s="177"/>
      <c r="J124" s="168" t="s">
        <v>696</v>
      </c>
      <c r="K124" s="177">
        <v>3</v>
      </c>
      <c r="L124" s="178"/>
    </row>
    <row r="125" spans="1:12" ht="66" x14ac:dyDescent="0.25">
      <c r="A125" s="18">
        <v>32</v>
      </c>
      <c r="B125" s="175" t="s">
        <v>660</v>
      </c>
      <c r="C125" s="175" t="s">
        <v>661</v>
      </c>
      <c r="D125" s="176" t="s">
        <v>0</v>
      </c>
      <c r="E125" s="18">
        <v>0</v>
      </c>
      <c r="F125" s="18">
        <v>0</v>
      </c>
      <c r="G125" s="20">
        <f t="shared" si="1"/>
        <v>0</v>
      </c>
      <c r="H125" s="177">
        <v>6</v>
      </c>
      <c r="I125" s="177"/>
      <c r="J125" s="168" t="s">
        <v>696</v>
      </c>
      <c r="K125" s="177">
        <v>6</v>
      </c>
      <c r="L125" s="178"/>
    </row>
    <row r="126" spans="1:12" ht="49.5" x14ac:dyDescent="0.25">
      <c r="A126" s="18">
        <v>33</v>
      </c>
      <c r="B126" s="175" t="s">
        <v>662</v>
      </c>
      <c r="C126" s="175" t="s">
        <v>663</v>
      </c>
      <c r="D126" s="176" t="s">
        <v>0</v>
      </c>
      <c r="E126" s="18">
        <v>0</v>
      </c>
      <c r="F126" s="18">
        <v>0</v>
      </c>
      <c r="G126" s="20">
        <f t="shared" si="1"/>
        <v>0</v>
      </c>
      <c r="H126" s="177">
        <v>8</v>
      </c>
      <c r="I126" s="177"/>
      <c r="J126" s="168" t="s">
        <v>696</v>
      </c>
      <c r="K126" s="177">
        <v>8</v>
      </c>
      <c r="L126" s="178"/>
    </row>
    <row r="127" spans="1:12" ht="49.5" x14ac:dyDescent="0.25">
      <c r="A127" s="18">
        <v>34</v>
      </c>
      <c r="B127" s="175" t="s">
        <v>664</v>
      </c>
      <c r="C127" s="175" t="s">
        <v>665</v>
      </c>
      <c r="D127" s="176" t="s">
        <v>0</v>
      </c>
      <c r="E127" s="18">
        <v>0</v>
      </c>
      <c r="F127" s="18">
        <v>0</v>
      </c>
      <c r="G127" s="20">
        <f t="shared" si="1"/>
        <v>0</v>
      </c>
      <c r="H127" s="177">
        <v>1</v>
      </c>
      <c r="I127" s="177"/>
      <c r="J127" s="168" t="s">
        <v>696</v>
      </c>
      <c r="K127" s="177">
        <v>1</v>
      </c>
      <c r="L127" s="178"/>
    </row>
    <row r="128" spans="1:12" ht="66" x14ac:dyDescent="0.25">
      <c r="A128" s="18">
        <v>35</v>
      </c>
      <c r="B128" s="175" t="s">
        <v>666</v>
      </c>
      <c r="C128" s="175" t="s">
        <v>667</v>
      </c>
      <c r="D128" s="176" t="s">
        <v>0</v>
      </c>
      <c r="E128" s="18">
        <v>0</v>
      </c>
      <c r="F128" s="18">
        <v>0</v>
      </c>
      <c r="G128" s="20">
        <f t="shared" si="1"/>
        <v>0</v>
      </c>
      <c r="H128" s="177">
        <v>20</v>
      </c>
      <c r="I128" s="177"/>
      <c r="J128" s="168" t="s">
        <v>697</v>
      </c>
      <c r="K128" s="177">
        <v>20</v>
      </c>
      <c r="L128" s="178"/>
    </row>
    <row r="129" spans="1:12" ht="33" x14ac:dyDescent="0.25">
      <c r="A129" s="18">
        <v>36</v>
      </c>
      <c r="B129" s="175" t="s">
        <v>668</v>
      </c>
      <c r="C129" s="175" t="s">
        <v>669</v>
      </c>
      <c r="D129" s="176" t="s">
        <v>2</v>
      </c>
      <c r="E129" s="18">
        <v>0</v>
      </c>
      <c r="F129" s="18">
        <v>0</v>
      </c>
      <c r="G129" s="20">
        <f t="shared" si="1"/>
        <v>0</v>
      </c>
      <c r="H129" s="177">
        <v>25</v>
      </c>
      <c r="I129" s="177"/>
      <c r="J129" s="168" t="s">
        <v>697</v>
      </c>
      <c r="K129" s="177">
        <v>25</v>
      </c>
      <c r="L129" s="178"/>
    </row>
    <row r="130" spans="1:12" ht="49.5" x14ac:dyDescent="0.25">
      <c r="A130" s="18">
        <v>37</v>
      </c>
      <c r="B130" s="175" t="s">
        <v>670</v>
      </c>
      <c r="C130" s="175" t="s">
        <v>671</v>
      </c>
      <c r="D130" s="176" t="s">
        <v>2</v>
      </c>
      <c r="E130" s="18">
        <v>0</v>
      </c>
      <c r="F130" s="18">
        <v>0</v>
      </c>
      <c r="G130" s="20">
        <f t="shared" si="1"/>
        <v>0</v>
      </c>
      <c r="H130" s="177">
        <v>20</v>
      </c>
      <c r="I130" s="177"/>
      <c r="J130" s="168" t="s">
        <v>697</v>
      </c>
      <c r="K130" s="177">
        <v>20</v>
      </c>
      <c r="L130" s="178"/>
    </row>
    <row r="131" spans="1:12" ht="33" x14ac:dyDescent="0.25">
      <c r="A131" s="18">
        <v>38</v>
      </c>
      <c r="B131" s="175" t="s">
        <v>672</v>
      </c>
      <c r="C131" s="175" t="s">
        <v>673</v>
      </c>
      <c r="D131" s="176" t="s">
        <v>2</v>
      </c>
      <c r="E131" s="18">
        <v>0</v>
      </c>
      <c r="F131" s="18">
        <v>0</v>
      </c>
      <c r="G131" s="20">
        <f t="shared" si="1"/>
        <v>0</v>
      </c>
      <c r="H131" s="177">
        <v>40</v>
      </c>
      <c r="I131" s="177"/>
      <c r="J131" s="168" t="s">
        <v>697</v>
      </c>
      <c r="K131" s="177">
        <v>40</v>
      </c>
      <c r="L131" s="178"/>
    </row>
    <row r="132" spans="1:12" ht="49.5" x14ac:dyDescent="0.25">
      <c r="A132" s="18">
        <v>39</v>
      </c>
      <c r="B132" s="175" t="s">
        <v>674</v>
      </c>
      <c r="C132" s="175" t="s">
        <v>675</v>
      </c>
      <c r="D132" s="176" t="s">
        <v>2</v>
      </c>
      <c r="E132" s="18">
        <v>0</v>
      </c>
      <c r="F132" s="18">
        <v>0</v>
      </c>
      <c r="G132" s="20">
        <f t="shared" si="1"/>
        <v>0</v>
      </c>
      <c r="H132" s="177">
        <v>20</v>
      </c>
      <c r="I132" s="177"/>
      <c r="J132" s="168" t="s">
        <v>697</v>
      </c>
      <c r="K132" s="177">
        <v>20</v>
      </c>
      <c r="L132" s="178"/>
    </row>
    <row r="133" spans="1:12" ht="49.5" x14ac:dyDescent="0.25">
      <c r="A133" s="18">
        <v>40</v>
      </c>
      <c r="B133" s="175" t="s">
        <v>676</v>
      </c>
      <c r="C133" s="175" t="s">
        <v>677</v>
      </c>
      <c r="D133" s="176" t="s">
        <v>2</v>
      </c>
      <c r="E133" s="18">
        <v>0</v>
      </c>
      <c r="F133" s="18">
        <v>0</v>
      </c>
      <c r="G133" s="20">
        <f t="shared" si="1"/>
        <v>0</v>
      </c>
      <c r="H133" s="177">
        <v>20</v>
      </c>
      <c r="I133" s="177"/>
      <c r="J133" s="168" t="s">
        <v>697</v>
      </c>
      <c r="K133" s="177">
        <v>20</v>
      </c>
      <c r="L133" s="178"/>
    </row>
    <row r="134" spans="1:12" x14ac:dyDescent="0.25">
      <c r="A134" s="18">
        <v>41</v>
      </c>
      <c r="B134" s="175" t="s">
        <v>678</v>
      </c>
      <c r="C134" s="175" t="s">
        <v>679</v>
      </c>
      <c r="D134" s="176" t="s">
        <v>2</v>
      </c>
      <c r="E134" s="18">
        <v>0</v>
      </c>
      <c r="F134" s="18">
        <v>0</v>
      </c>
      <c r="G134" s="20">
        <f t="shared" si="1"/>
        <v>0</v>
      </c>
      <c r="H134" s="177">
        <v>50</v>
      </c>
      <c r="I134" s="177"/>
      <c r="J134" s="168" t="s">
        <v>697</v>
      </c>
      <c r="K134" s="177">
        <v>50</v>
      </c>
      <c r="L134" s="178"/>
    </row>
    <row r="135" spans="1:12" x14ac:dyDescent="0.25">
      <c r="A135" s="18">
        <v>42</v>
      </c>
      <c r="B135" s="175" t="s">
        <v>680</v>
      </c>
      <c r="C135" s="175" t="s">
        <v>681</v>
      </c>
      <c r="D135" s="176" t="s">
        <v>2</v>
      </c>
      <c r="E135" s="18">
        <v>0</v>
      </c>
      <c r="F135" s="18">
        <v>0</v>
      </c>
      <c r="G135" s="20">
        <f t="shared" si="1"/>
        <v>0</v>
      </c>
      <c r="H135" s="177">
        <v>1.2</v>
      </c>
      <c r="I135" s="177"/>
      <c r="J135" s="168" t="s">
        <v>697</v>
      </c>
      <c r="K135" s="177">
        <v>1.2</v>
      </c>
      <c r="L135" s="178"/>
    </row>
    <row r="136" spans="1:12" ht="33" x14ac:dyDescent="0.25">
      <c r="A136" s="18">
        <v>43</v>
      </c>
      <c r="B136" s="175" t="s">
        <v>682</v>
      </c>
      <c r="C136" s="175" t="s">
        <v>683</v>
      </c>
      <c r="D136" s="176" t="s">
        <v>2</v>
      </c>
      <c r="E136" s="18">
        <v>0</v>
      </c>
      <c r="F136" s="18">
        <v>0</v>
      </c>
      <c r="G136" s="20">
        <f t="shared" si="1"/>
        <v>0</v>
      </c>
      <c r="H136" s="177">
        <v>20</v>
      </c>
      <c r="I136" s="177"/>
      <c r="J136" s="168" t="s">
        <v>697</v>
      </c>
      <c r="K136" s="177">
        <v>20</v>
      </c>
      <c r="L136" s="178"/>
    </row>
    <row r="137" spans="1:12" ht="33" x14ac:dyDescent="0.25">
      <c r="A137" s="18">
        <v>44</v>
      </c>
      <c r="B137" s="175" t="s">
        <v>684</v>
      </c>
      <c r="C137" s="175" t="s">
        <v>685</v>
      </c>
      <c r="D137" s="176" t="s">
        <v>2</v>
      </c>
      <c r="E137" s="18">
        <v>0</v>
      </c>
      <c r="F137" s="18">
        <v>0</v>
      </c>
      <c r="G137" s="20">
        <f t="shared" si="1"/>
        <v>0</v>
      </c>
      <c r="H137" s="177">
        <v>5</v>
      </c>
      <c r="I137" s="177"/>
      <c r="J137" s="168" t="s">
        <v>697</v>
      </c>
      <c r="K137" s="177">
        <v>5</v>
      </c>
      <c r="L137" s="178"/>
    </row>
    <row r="138" spans="1:12" ht="33" x14ac:dyDescent="0.25">
      <c r="A138" s="18">
        <v>45</v>
      </c>
      <c r="B138" s="174" t="s">
        <v>747</v>
      </c>
      <c r="C138" s="174" t="s">
        <v>748</v>
      </c>
      <c r="D138" s="176" t="s">
        <v>66</v>
      </c>
      <c r="E138" s="18">
        <v>0</v>
      </c>
      <c r="F138" s="18">
        <v>0</v>
      </c>
      <c r="G138" s="20">
        <f>E138-F138</f>
        <v>0</v>
      </c>
      <c r="H138" s="177">
        <v>120</v>
      </c>
      <c r="I138" s="177"/>
      <c r="J138" s="168" t="s">
        <v>745</v>
      </c>
      <c r="K138" s="177"/>
      <c r="L138" s="178"/>
    </row>
    <row r="139" spans="1:12" x14ac:dyDescent="0.25">
      <c r="A139" s="18">
        <v>46</v>
      </c>
      <c r="B139" s="174" t="s">
        <v>552</v>
      </c>
      <c r="C139" s="174" t="s">
        <v>553</v>
      </c>
      <c r="D139" s="176" t="s">
        <v>0</v>
      </c>
      <c r="E139" s="18">
        <v>0</v>
      </c>
      <c r="F139" s="18"/>
      <c r="G139" s="20">
        <f>E139-F139</f>
        <v>0</v>
      </c>
      <c r="H139" s="177">
        <v>30</v>
      </c>
      <c r="I139" s="177"/>
      <c r="J139" s="168" t="s">
        <v>746</v>
      </c>
      <c r="K139" s="177"/>
      <c r="L139" s="178"/>
    </row>
    <row r="140" spans="1:12" x14ac:dyDescent="0.25">
      <c r="A140" s="18">
        <v>47</v>
      </c>
      <c r="B140" s="174" t="s">
        <v>254</v>
      </c>
      <c r="C140" s="174" t="s">
        <v>265</v>
      </c>
      <c r="D140" s="176" t="s">
        <v>0</v>
      </c>
      <c r="E140" s="18">
        <v>0</v>
      </c>
      <c r="F140" s="18">
        <v>20</v>
      </c>
      <c r="G140" s="20">
        <v>0</v>
      </c>
      <c r="H140" s="177">
        <v>20</v>
      </c>
      <c r="I140" s="177"/>
      <c r="J140" s="168" t="s">
        <v>745</v>
      </c>
      <c r="K140" s="177"/>
      <c r="L140" s="178"/>
    </row>
    <row r="141" spans="1:12" ht="33" x14ac:dyDescent="0.25">
      <c r="A141" s="18">
        <v>48</v>
      </c>
      <c r="B141" s="175" t="s">
        <v>741</v>
      </c>
      <c r="C141" s="175" t="s">
        <v>742</v>
      </c>
      <c r="D141" s="176" t="s">
        <v>428</v>
      </c>
      <c r="E141" s="18">
        <v>0</v>
      </c>
      <c r="F141" s="18">
        <v>0</v>
      </c>
      <c r="G141" s="20">
        <f t="shared" si="1"/>
        <v>0</v>
      </c>
      <c r="H141" s="177">
        <v>1</v>
      </c>
      <c r="I141" s="177"/>
      <c r="J141" s="23" t="s">
        <v>727</v>
      </c>
      <c r="K141" s="177"/>
      <c r="L141" s="178"/>
    </row>
    <row r="142" spans="1:12" ht="49.5" x14ac:dyDescent="0.25">
      <c r="A142" s="18">
        <v>49</v>
      </c>
      <c r="B142" s="169" t="s">
        <v>686</v>
      </c>
      <c r="C142" s="169" t="s">
        <v>687</v>
      </c>
      <c r="D142" s="18" t="s">
        <v>0</v>
      </c>
      <c r="E142" s="18">
        <v>0</v>
      </c>
      <c r="F142" s="18">
        <v>0</v>
      </c>
      <c r="G142" s="20">
        <f t="shared" si="1"/>
        <v>0</v>
      </c>
      <c r="H142" s="179">
        <v>1</v>
      </c>
      <c r="I142" s="179"/>
      <c r="J142" s="159" t="s">
        <v>491</v>
      </c>
      <c r="K142" s="179">
        <v>1</v>
      </c>
      <c r="L142" s="178"/>
    </row>
    <row r="143" spans="1:12" ht="66" x14ac:dyDescent="0.25">
      <c r="A143" s="18">
        <v>50</v>
      </c>
      <c r="B143" s="169" t="s">
        <v>688</v>
      </c>
      <c r="C143" s="169" t="s">
        <v>689</v>
      </c>
      <c r="D143" s="18" t="s">
        <v>0</v>
      </c>
      <c r="E143" s="18">
        <v>0</v>
      </c>
      <c r="F143" s="18">
        <v>0</v>
      </c>
      <c r="G143" s="20">
        <f t="shared" si="1"/>
        <v>0</v>
      </c>
      <c r="H143" s="179">
        <v>1</v>
      </c>
      <c r="I143" s="179"/>
      <c r="J143" s="159" t="s">
        <v>491</v>
      </c>
      <c r="K143" s="179">
        <v>1</v>
      </c>
      <c r="L143" s="178"/>
    </row>
    <row r="144" spans="1:12" ht="49.5" x14ac:dyDescent="0.25">
      <c r="A144" s="18">
        <v>51</v>
      </c>
      <c r="B144" s="169" t="s">
        <v>690</v>
      </c>
      <c r="C144" s="169" t="s">
        <v>691</v>
      </c>
      <c r="D144" s="18" t="s">
        <v>0</v>
      </c>
      <c r="E144" s="18">
        <v>0</v>
      </c>
      <c r="F144" s="18">
        <v>0</v>
      </c>
      <c r="G144" s="20">
        <f t="shared" si="1"/>
        <v>0</v>
      </c>
      <c r="H144" s="179">
        <v>1</v>
      </c>
      <c r="I144" s="179"/>
      <c r="J144" s="159" t="s">
        <v>491</v>
      </c>
      <c r="K144" s="179">
        <v>1</v>
      </c>
      <c r="L144" s="178"/>
    </row>
    <row r="145" spans="1:12" ht="49.5" x14ac:dyDescent="0.25">
      <c r="A145" s="18">
        <v>52</v>
      </c>
      <c r="B145" s="169" t="s">
        <v>692</v>
      </c>
      <c r="C145" s="169" t="s">
        <v>693</v>
      </c>
      <c r="D145" s="18" t="s">
        <v>0</v>
      </c>
      <c r="E145" s="18">
        <v>0</v>
      </c>
      <c r="F145" s="18">
        <v>0</v>
      </c>
      <c r="G145" s="20">
        <f t="shared" si="1"/>
        <v>0</v>
      </c>
      <c r="H145" s="179">
        <v>1</v>
      </c>
      <c r="I145" s="179"/>
      <c r="J145" s="159" t="s">
        <v>491</v>
      </c>
      <c r="K145" s="179">
        <v>1</v>
      </c>
      <c r="L145" s="178"/>
    </row>
    <row r="146" spans="1:12" ht="49.5" x14ac:dyDescent="0.25">
      <c r="A146" s="18">
        <v>53</v>
      </c>
      <c r="B146" s="169" t="s">
        <v>694</v>
      </c>
      <c r="C146" s="169" t="s">
        <v>695</v>
      </c>
      <c r="D146" s="18" t="s">
        <v>0</v>
      </c>
      <c r="E146" s="18">
        <v>0</v>
      </c>
      <c r="F146" s="18">
        <v>0</v>
      </c>
      <c r="G146" s="20">
        <f t="shared" si="1"/>
        <v>0</v>
      </c>
      <c r="H146" s="179">
        <v>1</v>
      </c>
      <c r="I146" s="179"/>
      <c r="J146" s="159" t="s">
        <v>491</v>
      </c>
      <c r="K146" s="179">
        <v>1</v>
      </c>
      <c r="L146" s="178"/>
    </row>
    <row r="147" spans="1:12" ht="34.5" customHeight="1" x14ac:dyDescent="0.25">
      <c r="A147" s="196">
        <v>54</v>
      </c>
      <c r="B147" s="196" t="s">
        <v>721</v>
      </c>
      <c r="C147" s="197" t="s">
        <v>722</v>
      </c>
      <c r="D147" s="196" t="s">
        <v>0</v>
      </c>
      <c r="E147" s="196">
        <v>0</v>
      </c>
      <c r="F147" s="196">
        <v>0</v>
      </c>
      <c r="G147" s="198">
        <f t="shared" si="1"/>
        <v>0</v>
      </c>
      <c r="H147" s="199">
        <v>5</v>
      </c>
      <c r="I147" s="196"/>
      <c r="J147" s="197" t="s">
        <v>727</v>
      </c>
      <c r="K147" s="199">
        <v>5</v>
      </c>
      <c r="L147" s="200" t="s">
        <v>140</v>
      </c>
    </row>
    <row r="148" spans="1:12" ht="49.5" x14ac:dyDescent="0.25">
      <c r="A148" s="196">
        <v>55</v>
      </c>
      <c r="B148" s="201" t="s">
        <v>723</v>
      </c>
      <c r="C148" s="202" t="s">
        <v>724</v>
      </c>
      <c r="D148" s="196" t="s">
        <v>0</v>
      </c>
      <c r="E148" s="196">
        <v>0</v>
      </c>
      <c r="F148" s="196">
        <v>0</v>
      </c>
      <c r="G148" s="198">
        <f t="shared" si="1"/>
        <v>0</v>
      </c>
      <c r="H148" s="199">
        <v>5</v>
      </c>
      <c r="I148" s="196"/>
      <c r="J148" s="197" t="s">
        <v>727</v>
      </c>
      <c r="K148" s="199">
        <v>5</v>
      </c>
      <c r="L148" s="200" t="s">
        <v>140</v>
      </c>
    </row>
    <row r="149" spans="1:12" ht="49.5" x14ac:dyDescent="0.25">
      <c r="A149" s="196">
        <v>56</v>
      </c>
      <c r="B149" s="201" t="s">
        <v>725</v>
      </c>
      <c r="C149" s="202" t="s">
        <v>726</v>
      </c>
      <c r="D149" s="196" t="s">
        <v>0</v>
      </c>
      <c r="E149" s="196">
        <v>0</v>
      </c>
      <c r="F149" s="196">
        <v>0</v>
      </c>
      <c r="G149" s="198">
        <f t="shared" si="1"/>
        <v>0</v>
      </c>
      <c r="H149" s="199">
        <v>4</v>
      </c>
      <c r="I149" s="196"/>
      <c r="J149" s="197" t="s">
        <v>727</v>
      </c>
      <c r="K149" s="199">
        <v>4</v>
      </c>
      <c r="L149" s="200" t="s">
        <v>140</v>
      </c>
    </row>
    <row r="1046504" spans="3:11" s="5" customFormat="1" ht="26.25" customHeight="1" x14ac:dyDescent="0.25">
      <c r="C1046504" s="23"/>
      <c r="H1046504" s="180"/>
      <c r="J1046504" s="49"/>
      <c r="K1046504" s="94"/>
    </row>
  </sheetData>
  <autoFilter ref="A21:X117" xr:uid="{00000000-0009-0000-0000-000009000000}"/>
  <mergeCells count="6">
    <mergeCell ref="B15:J15"/>
    <mergeCell ref="A10:B10"/>
    <mergeCell ref="A11:B11"/>
    <mergeCell ref="A12:B12"/>
    <mergeCell ref="H12:I12"/>
    <mergeCell ref="B14:J14"/>
  </mergeCells>
  <printOptions horizontalCentered="1"/>
  <pageMargins left="0" right="0" top="0.25" bottom="0.25" header="0.3" footer="0.3"/>
  <pageSetup scale="55"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1046611"/>
  <sheetViews>
    <sheetView topLeftCell="A10" zoomScale="70" zoomScaleNormal="70" workbookViewId="0">
      <pane ySplit="12" topLeftCell="A109" activePane="bottomLeft" state="frozen"/>
      <selection activeCell="A10" sqref="A10"/>
      <selection pane="bottomLeft" activeCell="C112" sqref="C112"/>
    </sheetView>
  </sheetViews>
  <sheetFormatPr defaultColWidth="9.140625" defaultRowHeight="16.5" x14ac:dyDescent="0.25"/>
  <cols>
    <col min="1" max="1" width="7" style="5" customWidth="1"/>
    <col min="2" max="2" width="28.5703125" style="5" customWidth="1"/>
    <col min="3" max="3" width="34" style="49" customWidth="1"/>
    <col min="4" max="4" width="11.7109375" style="5" customWidth="1"/>
    <col min="5" max="5" width="14" style="5" customWidth="1"/>
    <col min="6" max="6" width="11.7109375" style="5" customWidth="1"/>
    <col min="7" max="7" width="11.7109375" style="100" customWidth="1"/>
    <col min="8" max="8" width="12.5703125" style="152" customWidth="1"/>
    <col min="9" max="9" width="9.5703125" style="5" customWidth="1"/>
    <col min="10" max="10" width="46.85546875" style="49" customWidth="1"/>
    <col min="11" max="11" width="12.7109375" style="94" customWidth="1"/>
    <col min="12" max="12" width="26.42578125" style="8" customWidth="1"/>
    <col min="13" max="16384" width="9.140625" style="8"/>
  </cols>
  <sheetData>
    <row r="1" spans="1:12" ht="28.5" hidden="1" customHeight="1" x14ac:dyDescent="0.25">
      <c r="A1" s="5" t="s">
        <v>8</v>
      </c>
      <c r="C1" s="87"/>
      <c r="D1" s="88"/>
      <c r="E1" s="88"/>
      <c r="F1" s="88"/>
      <c r="G1" s="89"/>
      <c r="H1" s="90"/>
      <c r="I1" s="88"/>
      <c r="J1" s="87"/>
      <c r="K1" s="91"/>
      <c r="L1" s="92"/>
    </row>
    <row r="2" spans="1:12" ht="28.5" hidden="1" customHeight="1" x14ac:dyDescent="0.25">
      <c r="A2" s="83" t="s">
        <v>9</v>
      </c>
      <c r="B2" s="83"/>
      <c r="C2" s="87"/>
      <c r="D2" s="88"/>
      <c r="E2" s="88"/>
      <c r="F2" s="88"/>
      <c r="G2" s="89"/>
      <c r="H2" s="90"/>
      <c r="I2" s="88"/>
      <c r="J2" s="87"/>
      <c r="K2" s="91"/>
      <c r="L2" s="92"/>
    </row>
    <row r="3" spans="1:12" ht="19.5" hidden="1" customHeight="1" x14ac:dyDescent="0.25">
      <c r="C3" s="87"/>
      <c r="D3" s="88"/>
      <c r="E3" s="88"/>
      <c r="F3" s="88"/>
      <c r="G3" s="89"/>
      <c r="H3" s="90"/>
      <c r="I3" s="88"/>
      <c r="J3" s="87"/>
      <c r="K3" s="91"/>
      <c r="L3" s="92"/>
    </row>
    <row r="4" spans="1:12" ht="14.25" hidden="1" customHeight="1" x14ac:dyDescent="0.25">
      <c r="C4" s="87"/>
      <c r="D4" s="88"/>
      <c r="E4" s="88"/>
      <c r="F4" s="88"/>
      <c r="G4" s="89"/>
      <c r="H4" s="90"/>
      <c r="I4" s="88"/>
      <c r="J4" s="87"/>
      <c r="K4" s="91"/>
      <c r="L4" s="92"/>
    </row>
    <row r="5" spans="1:12" ht="14.25" hidden="1" customHeight="1" x14ac:dyDescent="0.25">
      <c r="B5" s="5" t="s">
        <v>14</v>
      </c>
      <c r="C5" s="87"/>
      <c r="D5" s="88"/>
      <c r="E5" s="88"/>
      <c r="F5" s="88"/>
      <c r="G5" s="89"/>
      <c r="H5" s="90"/>
      <c r="I5" s="88"/>
      <c r="J5" s="87"/>
      <c r="K5" s="91"/>
      <c r="L5" s="92"/>
    </row>
    <row r="6" spans="1:12" ht="14.25" hidden="1" customHeight="1" x14ac:dyDescent="0.25">
      <c r="B6" s="5" t="s">
        <v>12</v>
      </c>
      <c r="C6" s="87"/>
      <c r="D6" s="88"/>
      <c r="E6" s="88"/>
      <c r="F6" s="88"/>
      <c r="G6" s="89"/>
      <c r="H6" s="90"/>
      <c r="I6" s="88"/>
      <c r="J6" s="87"/>
      <c r="K6" s="91"/>
      <c r="L6" s="92"/>
    </row>
    <row r="7" spans="1:12" ht="14.25" hidden="1" customHeight="1" x14ac:dyDescent="0.25">
      <c r="B7" s="5" t="s">
        <v>15</v>
      </c>
      <c r="C7" s="87"/>
      <c r="D7" s="88"/>
      <c r="E7" s="88"/>
      <c r="F7" s="88"/>
      <c r="G7" s="89"/>
      <c r="H7" s="90"/>
      <c r="I7" s="88"/>
      <c r="J7" s="87"/>
      <c r="K7" s="91"/>
      <c r="L7" s="92"/>
    </row>
    <row r="8" spans="1:12" ht="14.25" hidden="1" customHeight="1" x14ac:dyDescent="0.25">
      <c r="B8" s="5" t="s">
        <v>13</v>
      </c>
      <c r="C8" s="87"/>
      <c r="D8" s="88"/>
      <c r="E8" s="88"/>
      <c r="F8" s="88"/>
      <c r="G8" s="89"/>
      <c r="H8" s="90"/>
      <c r="I8" s="88"/>
      <c r="J8" s="87"/>
      <c r="K8" s="91"/>
      <c r="L8" s="92"/>
    </row>
    <row r="9" spans="1:12" ht="14.25" hidden="1" customHeight="1" x14ac:dyDescent="0.25">
      <c r="C9" s="87"/>
      <c r="D9" s="88"/>
      <c r="E9" s="88"/>
      <c r="F9" s="88"/>
      <c r="G9" s="89"/>
      <c r="H9" s="90"/>
      <c r="I9" s="88"/>
      <c r="J9" s="87"/>
      <c r="K9" s="91"/>
      <c r="L9" s="92"/>
    </row>
    <row r="10" spans="1:12" ht="45" customHeight="1" x14ac:dyDescent="0.25">
      <c r="A10" s="487" t="s">
        <v>109</v>
      </c>
      <c r="B10" s="487"/>
      <c r="C10" s="87"/>
      <c r="D10" s="88"/>
      <c r="E10" s="88"/>
      <c r="F10" s="88"/>
      <c r="G10" s="89"/>
      <c r="H10" s="90"/>
      <c r="I10" s="88"/>
      <c r="J10" s="93" t="s">
        <v>371</v>
      </c>
      <c r="L10" s="92"/>
    </row>
    <row r="11" spans="1:12" ht="18.75" x14ac:dyDescent="0.25">
      <c r="A11" s="488" t="s">
        <v>9</v>
      </c>
      <c r="B11" s="488"/>
      <c r="C11" s="95"/>
      <c r="D11" s="96"/>
      <c r="E11" s="96"/>
      <c r="F11" s="96"/>
      <c r="G11" s="97"/>
      <c r="H11" s="98"/>
      <c r="I11" s="96"/>
      <c r="J11" s="95"/>
      <c r="K11" s="99"/>
      <c r="L11" s="95"/>
    </row>
    <row r="12" spans="1:12" x14ac:dyDescent="0.25">
      <c r="A12" s="486" t="s">
        <v>505</v>
      </c>
      <c r="B12" s="486"/>
      <c r="C12" s="6"/>
      <c r="H12" s="489"/>
      <c r="I12" s="489"/>
      <c r="J12" s="101"/>
    </row>
    <row r="13" spans="1:12" x14ac:dyDescent="0.25">
      <c r="B13" s="8"/>
      <c r="C13" s="6"/>
      <c r="H13" s="102"/>
      <c r="J13" s="6"/>
    </row>
    <row r="14" spans="1:12" s="104" customFormat="1" ht="25.5" x14ac:dyDescent="0.25">
      <c r="A14" s="103"/>
      <c r="B14" s="490" t="s">
        <v>368</v>
      </c>
      <c r="C14" s="490"/>
      <c r="D14" s="490"/>
      <c r="E14" s="490"/>
      <c r="F14" s="490"/>
      <c r="G14" s="490"/>
      <c r="H14" s="490"/>
      <c r="I14" s="490"/>
      <c r="J14" s="490"/>
      <c r="K14" s="91"/>
    </row>
    <row r="15" spans="1:12" x14ac:dyDescent="0.25">
      <c r="B15" s="486" t="s">
        <v>507</v>
      </c>
      <c r="C15" s="486"/>
      <c r="D15" s="486"/>
      <c r="E15" s="486"/>
      <c r="F15" s="486"/>
      <c r="G15" s="486"/>
      <c r="H15" s="486"/>
      <c r="I15" s="486"/>
      <c r="J15" s="486"/>
      <c r="K15" s="105"/>
    </row>
    <row r="16" spans="1:12" x14ac:dyDescent="0.25">
      <c r="B16" s="8"/>
      <c r="C16" s="6"/>
      <c r="H16" s="102"/>
      <c r="J16" s="6"/>
      <c r="K16" s="105"/>
    </row>
    <row r="17" spans="1:12" x14ac:dyDescent="0.25">
      <c r="B17" s="8" t="s">
        <v>220</v>
      </c>
      <c r="C17" s="6"/>
      <c r="H17" s="102"/>
      <c r="J17" s="6" t="s">
        <v>512</v>
      </c>
      <c r="K17" s="105"/>
    </row>
    <row r="18" spans="1:12" x14ac:dyDescent="0.25">
      <c r="B18" s="8" t="s">
        <v>508</v>
      </c>
      <c r="C18" s="6"/>
      <c r="H18" s="102"/>
      <c r="J18" s="6" t="s">
        <v>513</v>
      </c>
      <c r="K18" s="105"/>
    </row>
    <row r="19" spans="1:12" x14ac:dyDescent="0.25">
      <c r="B19" s="8"/>
      <c r="C19" s="6"/>
      <c r="H19" s="102"/>
      <c r="J19" s="6" t="s">
        <v>514</v>
      </c>
      <c r="K19" s="105"/>
    </row>
    <row r="20" spans="1:12" x14ac:dyDescent="0.25">
      <c r="A20" s="106"/>
      <c r="B20" s="107"/>
      <c r="C20" s="108"/>
      <c r="D20" s="106"/>
      <c r="E20" s="106"/>
      <c r="F20" s="106"/>
      <c r="G20" s="109"/>
      <c r="H20" s="110"/>
      <c r="I20" s="106"/>
      <c r="J20" s="108"/>
      <c r="K20" s="111"/>
      <c r="L20" s="107"/>
    </row>
    <row r="21" spans="1:12" s="6" customFormat="1" ht="75" customHeight="1" x14ac:dyDescent="0.25">
      <c r="A21" s="112" t="s">
        <v>5</v>
      </c>
      <c r="B21" s="112" t="s">
        <v>10</v>
      </c>
      <c r="C21" s="112" t="s">
        <v>11</v>
      </c>
      <c r="D21" s="112" t="s">
        <v>6</v>
      </c>
      <c r="E21" s="112" t="s">
        <v>373</v>
      </c>
      <c r="F21" s="112" t="s">
        <v>404</v>
      </c>
      <c r="G21" s="113" t="s">
        <v>405</v>
      </c>
      <c r="H21" s="114" t="s">
        <v>406</v>
      </c>
      <c r="I21" s="115" t="s">
        <v>407</v>
      </c>
      <c r="J21" s="112" t="s">
        <v>408</v>
      </c>
      <c r="K21" s="116" t="s">
        <v>35</v>
      </c>
      <c r="L21" s="117" t="s">
        <v>108</v>
      </c>
    </row>
    <row r="22" spans="1:12" s="9" customFormat="1" x14ac:dyDescent="0.25">
      <c r="A22" s="61" t="s">
        <v>18</v>
      </c>
      <c r="B22" s="45"/>
      <c r="C22" s="45"/>
      <c r="D22" s="46"/>
      <c r="E22" s="46"/>
      <c r="F22" s="46"/>
      <c r="G22" s="118"/>
      <c r="H22" s="119"/>
      <c r="I22" s="46"/>
      <c r="J22" s="47"/>
      <c r="K22" s="120"/>
      <c r="L22" s="48"/>
    </row>
    <row r="23" spans="1:12" s="6" customFormat="1" ht="33" x14ac:dyDescent="0.25">
      <c r="A23" s="18">
        <v>1</v>
      </c>
      <c r="B23" s="19" t="s">
        <v>153</v>
      </c>
      <c r="C23" s="19" t="s">
        <v>54</v>
      </c>
      <c r="D23" s="20" t="s">
        <v>2</v>
      </c>
      <c r="E23" s="20">
        <v>2210</v>
      </c>
      <c r="F23" s="20">
        <v>0</v>
      </c>
      <c r="G23" s="121">
        <f>E23-F23</f>
        <v>2210</v>
      </c>
      <c r="H23" s="122">
        <v>40</v>
      </c>
      <c r="I23" s="18"/>
      <c r="J23" s="22" t="s">
        <v>55</v>
      </c>
      <c r="K23" s="123" t="s">
        <v>110</v>
      </c>
      <c r="L23" s="19" t="s">
        <v>76</v>
      </c>
    </row>
    <row r="24" spans="1:12" s="6" customFormat="1" x14ac:dyDescent="0.25">
      <c r="A24" s="18">
        <v>2</v>
      </c>
      <c r="B24" s="19" t="s">
        <v>153</v>
      </c>
      <c r="C24" s="19" t="s">
        <v>54</v>
      </c>
      <c r="D24" s="18" t="s">
        <v>2</v>
      </c>
      <c r="E24" s="18">
        <v>2210</v>
      </c>
      <c r="F24" s="18">
        <v>0</v>
      </c>
      <c r="G24" s="121">
        <f t="shared" ref="G24:G97" si="0">E24-F24</f>
        <v>2210</v>
      </c>
      <c r="H24" s="122">
        <v>200</v>
      </c>
      <c r="I24" s="18"/>
      <c r="J24" s="22" t="s">
        <v>161</v>
      </c>
      <c r="K24" s="123">
        <v>0</v>
      </c>
      <c r="L24" s="19" t="s">
        <v>140</v>
      </c>
    </row>
    <row r="25" spans="1:12" s="6" customFormat="1" ht="33" x14ac:dyDescent="0.25">
      <c r="A25" s="18">
        <v>3</v>
      </c>
      <c r="B25" s="23" t="s">
        <v>141</v>
      </c>
      <c r="C25" s="23" t="s">
        <v>142</v>
      </c>
      <c r="D25" s="18" t="s">
        <v>2</v>
      </c>
      <c r="E25" s="18">
        <v>5436</v>
      </c>
      <c r="F25" s="18">
        <f>1248*3+20</f>
        <v>3764</v>
      </c>
      <c r="G25" s="121">
        <f t="shared" si="0"/>
        <v>1672</v>
      </c>
      <c r="H25" s="85">
        <v>832</v>
      </c>
      <c r="I25" s="18"/>
      <c r="J25" s="23" t="s">
        <v>143</v>
      </c>
      <c r="K25" s="124">
        <v>0</v>
      </c>
      <c r="L25" s="19" t="s">
        <v>140</v>
      </c>
    </row>
    <row r="26" spans="1:12" s="6" customFormat="1" x14ac:dyDescent="0.25">
      <c r="A26" s="18">
        <v>4</v>
      </c>
      <c r="B26" s="23" t="s">
        <v>158</v>
      </c>
      <c r="C26" s="23" t="s">
        <v>159</v>
      </c>
      <c r="D26" s="18" t="s">
        <v>2</v>
      </c>
      <c r="E26" s="18">
        <v>715</v>
      </c>
      <c r="F26" s="18">
        <v>0</v>
      </c>
      <c r="G26" s="121">
        <f t="shared" si="0"/>
        <v>715</v>
      </c>
      <c r="H26" s="85">
        <v>80</v>
      </c>
      <c r="I26" s="18"/>
      <c r="J26" s="23" t="s">
        <v>160</v>
      </c>
      <c r="K26" s="124">
        <v>559</v>
      </c>
      <c r="L26" s="19" t="s">
        <v>140</v>
      </c>
    </row>
    <row r="27" spans="1:12" s="6" customFormat="1" ht="49.5" x14ac:dyDescent="0.25">
      <c r="A27" s="18">
        <v>5</v>
      </c>
      <c r="B27" s="23" t="s">
        <v>162</v>
      </c>
      <c r="C27" s="23" t="s">
        <v>163</v>
      </c>
      <c r="D27" s="20" t="s">
        <v>66</v>
      </c>
      <c r="E27" s="20">
        <v>720</v>
      </c>
      <c r="F27" s="20">
        <v>1813</v>
      </c>
      <c r="G27" s="121">
        <v>0</v>
      </c>
      <c r="H27" s="85">
        <v>460</v>
      </c>
      <c r="I27" s="18"/>
      <c r="J27" s="23" t="s">
        <v>183</v>
      </c>
      <c r="K27" s="124" t="s">
        <v>110</v>
      </c>
      <c r="L27" s="19" t="s">
        <v>140</v>
      </c>
    </row>
    <row r="28" spans="1:12" s="6" customFormat="1" ht="33" x14ac:dyDescent="0.25">
      <c r="A28" s="18">
        <v>6</v>
      </c>
      <c r="B28" s="23" t="s">
        <v>162</v>
      </c>
      <c r="C28" s="23" t="s">
        <v>163</v>
      </c>
      <c r="D28" s="20" t="s">
        <v>66</v>
      </c>
      <c r="E28" s="20">
        <v>720</v>
      </c>
      <c r="F28" s="20">
        <v>1813</v>
      </c>
      <c r="G28" s="121">
        <v>0</v>
      </c>
      <c r="H28" s="85">
        <v>690</v>
      </c>
      <c r="I28" s="18"/>
      <c r="J28" s="23" t="s">
        <v>403</v>
      </c>
      <c r="K28" s="124" t="s">
        <v>110</v>
      </c>
      <c r="L28" s="19" t="s">
        <v>140</v>
      </c>
    </row>
    <row r="29" spans="1:12" s="6" customFormat="1" ht="33" x14ac:dyDescent="0.25">
      <c r="A29" s="18">
        <v>7</v>
      </c>
      <c r="B29" s="23" t="s">
        <v>185</v>
      </c>
      <c r="C29" s="23" t="s">
        <v>186</v>
      </c>
      <c r="D29" s="20" t="s">
        <v>2</v>
      </c>
      <c r="E29" s="20">
        <v>660</v>
      </c>
      <c r="F29" s="20">
        <v>0</v>
      </c>
      <c r="G29" s="121">
        <f t="shared" si="0"/>
        <v>660</v>
      </c>
      <c r="H29" s="85">
        <v>1000</v>
      </c>
      <c r="I29" s="18"/>
      <c r="J29" s="23" t="s">
        <v>187</v>
      </c>
      <c r="K29" s="124">
        <v>7076</v>
      </c>
      <c r="L29" s="19" t="s">
        <v>140</v>
      </c>
    </row>
    <row r="30" spans="1:12" s="6" customFormat="1" ht="33" x14ac:dyDescent="0.25">
      <c r="A30" s="18">
        <v>8</v>
      </c>
      <c r="B30" s="23" t="s">
        <v>185</v>
      </c>
      <c r="C30" s="23" t="s">
        <v>186</v>
      </c>
      <c r="D30" s="18" t="s">
        <v>2</v>
      </c>
      <c r="E30" s="18">
        <v>660</v>
      </c>
      <c r="F30" s="18">
        <v>0</v>
      </c>
      <c r="G30" s="121">
        <f t="shared" si="0"/>
        <v>660</v>
      </c>
      <c r="H30" s="125">
        <v>650</v>
      </c>
      <c r="I30" s="18"/>
      <c r="J30" s="23" t="s">
        <v>294</v>
      </c>
      <c r="K30" s="123">
        <v>491</v>
      </c>
      <c r="L30" s="23" t="s">
        <v>88</v>
      </c>
    </row>
    <row r="31" spans="1:12" s="6" customFormat="1" ht="41.25" customHeight="1" x14ac:dyDescent="0.25">
      <c r="A31" s="18">
        <v>9</v>
      </c>
      <c r="B31" s="23" t="s">
        <v>515</v>
      </c>
      <c r="C31" s="126" t="s">
        <v>516</v>
      </c>
      <c r="D31" s="18" t="s">
        <v>2</v>
      </c>
      <c r="E31" s="18">
        <v>660</v>
      </c>
      <c r="F31" s="18">
        <v>0</v>
      </c>
      <c r="G31" s="121">
        <v>660</v>
      </c>
      <c r="H31" s="125">
        <v>209</v>
      </c>
      <c r="I31" s="18"/>
      <c r="J31" s="126" t="s">
        <v>517</v>
      </c>
      <c r="K31" s="123"/>
      <c r="L31" s="23" t="s">
        <v>88</v>
      </c>
    </row>
    <row r="32" spans="1:12" s="6" customFormat="1" ht="66" x14ac:dyDescent="0.25">
      <c r="A32" s="18">
        <v>10</v>
      </c>
      <c r="B32" s="23" t="s">
        <v>444</v>
      </c>
      <c r="C32" s="23" t="s">
        <v>568</v>
      </c>
      <c r="D32" s="18" t="s">
        <v>2</v>
      </c>
      <c r="E32" s="18">
        <v>927</v>
      </c>
      <c r="F32" s="18">
        <f>30+650</f>
        <v>680</v>
      </c>
      <c r="G32" s="121">
        <f t="shared" si="0"/>
        <v>247</v>
      </c>
      <c r="H32" s="125">
        <v>0</v>
      </c>
      <c r="I32" s="18"/>
      <c r="J32" s="22" t="s">
        <v>446</v>
      </c>
      <c r="K32" s="123">
        <v>1100</v>
      </c>
      <c r="L32" s="23" t="s">
        <v>140</v>
      </c>
    </row>
    <row r="33" spans="1:12" s="6" customFormat="1" ht="33" x14ac:dyDescent="0.25">
      <c r="A33" s="18">
        <v>11</v>
      </c>
      <c r="B33" s="23" t="s">
        <v>24</v>
      </c>
      <c r="C33" s="23" t="s">
        <v>7</v>
      </c>
      <c r="D33" s="18" t="s">
        <v>2</v>
      </c>
      <c r="E33" s="18">
        <v>418</v>
      </c>
      <c r="F33" s="18">
        <v>30</v>
      </c>
      <c r="G33" s="121">
        <f>E33-F33</f>
        <v>388</v>
      </c>
      <c r="H33" s="85">
        <v>100</v>
      </c>
      <c r="I33" s="18"/>
      <c r="J33" s="22" t="s">
        <v>105</v>
      </c>
      <c r="K33" s="124">
        <v>190</v>
      </c>
      <c r="L33" s="19" t="s">
        <v>104</v>
      </c>
    </row>
    <row r="34" spans="1:12" s="6" customFormat="1" x14ac:dyDescent="0.25">
      <c r="A34" s="18">
        <v>12</v>
      </c>
      <c r="B34" s="23" t="s">
        <v>77</v>
      </c>
      <c r="C34" s="23" t="s">
        <v>78</v>
      </c>
      <c r="D34" s="20" t="s">
        <v>2</v>
      </c>
      <c r="E34" s="20">
        <v>1512</v>
      </c>
      <c r="F34" s="20">
        <v>0</v>
      </c>
      <c r="G34" s="121">
        <f t="shared" si="0"/>
        <v>1512</v>
      </c>
      <c r="H34" s="85">
        <v>208</v>
      </c>
      <c r="I34" s="18"/>
      <c r="J34" s="23" t="s">
        <v>288</v>
      </c>
      <c r="K34" s="124">
        <v>1076</v>
      </c>
      <c r="L34" s="19" t="s">
        <v>88</v>
      </c>
    </row>
    <row r="35" spans="1:12" s="6" customFormat="1" ht="33" x14ac:dyDescent="0.25">
      <c r="A35" s="18">
        <v>13</v>
      </c>
      <c r="B35" s="23" t="s">
        <v>3</v>
      </c>
      <c r="C35" s="23" t="s">
        <v>4</v>
      </c>
      <c r="D35" s="18" t="s">
        <v>2</v>
      </c>
      <c r="E35" s="18">
        <v>1725</v>
      </c>
      <c r="F35" s="18">
        <f>100*2+400+40+100</f>
        <v>740</v>
      </c>
      <c r="G35" s="121">
        <f t="shared" si="0"/>
        <v>985</v>
      </c>
      <c r="H35" s="85">
        <v>209</v>
      </c>
      <c r="I35" s="18"/>
      <c r="J35" s="23" t="s">
        <v>287</v>
      </c>
      <c r="K35" s="124">
        <v>2703</v>
      </c>
      <c r="L35" s="19" t="s">
        <v>88</v>
      </c>
    </row>
    <row r="36" spans="1:12" s="6" customFormat="1" ht="33" x14ac:dyDescent="0.25">
      <c r="A36" s="18">
        <v>14</v>
      </c>
      <c r="B36" s="23" t="s">
        <v>3</v>
      </c>
      <c r="C36" s="23" t="s">
        <v>4</v>
      </c>
      <c r="D36" s="18" t="s">
        <v>2</v>
      </c>
      <c r="E36" s="18">
        <v>1725</v>
      </c>
      <c r="F36" s="18">
        <f>100*2+400+40+100</f>
        <v>740</v>
      </c>
      <c r="G36" s="121">
        <f t="shared" si="0"/>
        <v>985</v>
      </c>
      <c r="H36" s="85">
        <v>500</v>
      </c>
      <c r="I36" s="18"/>
      <c r="J36" s="23" t="s">
        <v>36</v>
      </c>
      <c r="K36" s="124">
        <v>2703</v>
      </c>
      <c r="L36" s="19" t="s">
        <v>104</v>
      </c>
    </row>
    <row r="37" spans="1:12" s="6" customFormat="1" ht="33" x14ac:dyDescent="0.25">
      <c r="A37" s="18">
        <v>15</v>
      </c>
      <c r="B37" s="23" t="s">
        <v>3</v>
      </c>
      <c r="C37" s="23" t="s">
        <v>4</v>
      </c>
      <c r="D37" s="18" t="s">
        <v>2</v>
      </c>
      <c r="E37" s="18">
        <v>1725</v>
      </c>
      <c r="F37" s="18">
        <f>100*2+400+40+100</f>
        <v>740</v>
      </c>
      <c r="G37" s="121">
        <f t="shared" si="0"/>
        <v>985</v>
      </c>
      <c r="H37" s="85">
        <v>416</v>
      </c>
      <c r="I37" s="18"/>
      <c r="J37" s="23" t="s">
        <v>440</v>
      </c>
      <c r="K37" s="124">
        <v>2703</v>
      </c>
      <c r="L37" s="19" t="s">
        <v>140</v>
      </c>
    </row>
    <row r="38" spans="1:12" s="6" customFormat="1" ht="33" x14ac:dyDescent="0.25">
      <c r="A38" s="18">
        <v>16</v>
      </c>
      <c r="B38" s="23" t="s">
        <v>441</v>
      </c>
      <c r="C38" s="23" t="s">
        <v>442</v>
      </c>
      <c r="D38" s="18" t="s">
        <v>2</v>
      </c>
      <c r="E38" s="18">
        <v>0</v>
      </c>
      <c r="F38" s="18">
        <v>0</v>
      </c>
      <c r="G38" s="121">
        <f t="shared" si="0"/>
        <v>0</v>
      </c>
      <c r="H38" s="85">
        <v>60</v>
      </c>
      <c r="I38" s="18"/>
      <c r="J38" s="23" t="s">
        <v>443</v>
      </c>
      <c r="K38" s="124">
        <v>2218</v>
      </c>
      <c r="L38" s="19" t="s">
        <v>140</v>
      </c>
    </row>
    <row r="39" spans="1:12" s="6" customFormat="1" x14ac:dyDescent="0.25">
      <c r="A39" s="18">
        <v>17</v>
      </c>
      <c r="B39" s="23" t="s">
        <v>16</v>
      </c>
      <c r="C39" s="23" t="s">
        <v>164</v>
      </c>
      <c r="D39" s="18" t="s">
        <v>2</v>
      </c>
      <c r="E39" s="18">
        <v>550</v>
      </c>
      <c r="F39" s="18">
        <v>0</v>
      </c>
      <c r="G39" s="121">
        <f t="shared" si="0"/>
        <v>550</v>
      </c>
      <c r="H39" s="85">
        <v>209</v>
      </c>
      <c r="I39" s="18"/>
      <c r="J39" s="23" t="s">
        <v>165</v>
      </c>
      <c r="K39" s="124">
        <v>0</v>
      </c>
      <c r="L39" s="19" t="s">
        <v>140</v>
      </c>
    </row>
    <row r="40" spans="1:12" s="6" customFormat="1" ht="49.5" x14ac:dyDescent="0.25">
      <c r="A40" s="18">
        <v>18</v>
      </c>
      <c r="B40" s="23" t="s">
        <v>85</v>
      </c>
      <c r="C40" s="23" t="s">
        <v>86</v>
      </c>
      <c r="D40" s="18" t="s">
        <v>2</v>
      </c>
      <c r="E40" s="18">
        <v>4081</v>
      </c>
      <c r="F40" s="18">
        <f>860+200+600</f>
        <v>1660</v>
      </c>
      <c r="G40" s="121">
        <f t="shared" si="0"/>
        <v>2421</v>
      </c>
      <c r="H40" s="86">
        <v>200</v>
      </c>
      <c r="I40" s="18"/>
      <c r="J40" s="23" t="s">
        <v>219</v>
      </c>
      <c r="K40" s="124">
        <v>6843</v>
      </c>
      <c r="L40" s="19" t="s">
        <v>88</v>
      </c>
    </row>
    <row r="41" spans="1:12" s="6" customFormat="1" ht="33" x14ac:dyDescent="0.25">
      <c r="A41" s="18">
        <v>19</v>
      </c>
      <c r="B41" s="23" t="s">
        <v>83</v>
      </c>
      <c r="C41" s="23" t="s">
        <v>84</v>
      </c>
      <c r="D41" s="18" t="s">
        <v>2</v>
      </c>
      <c r="E41" s="18">
        <v>2178</v>
      </c>
      <c r="F41" s="18">
        <f>80+400</f>
        <v>480</v>
      </c>
      <c r="G41" s="121">
        <f t="shared" si="0"/>
        <v>1698</v>
      </c>
      <c r="H41" s="85">
        <v>209</v>
      </c>
      <c r="I41" s="18"/>
      <c r="J41" s="23" t="s">
        <v>286</v>
      </c>
      <c r="K41" s="124">
        <v>0</v>
      </c>
      <c r="L41" s="19" t="s">
        <v>88</v>
      </c>
    </row>
    <row r="42" spans="1:12" s="6" customFormat="1" ht="49.5" x14ac:dyDescent="0.25">
      <c r="A42" s="18">
        <v>20</v>
      </c>
      <c r="B42" s="23" t="s">
        <v>83</v>
      </c>
      <c r="C42" s="23" t="s">
        <v>84</v>
      </c>
      <c r="D42" s="18" t="s">
        <v>2</v>
      </c>
      <c r="E42" s="18">
        <v>2178</v>
      </c>
      <c r="F42" s="18">
        <v>480</v>
      </c>
      <c r="G42" s="121">
        <f t="shared" si="0"/>
        <v>1698</v>
      </c>
      <c r="H42" s="85">
        <v>400</v>
      </c>
      <c r="I42" s="18"/>
      <c r="J42" s="23" t="s">
        <v>402</v>
      </c>
      <c r="K42" s="124">
        <v>0</v>
      </c>
      <c r="L42" s="19"/>
    </row>
    <row r="43" spans="1:12" s="6" customFormat="1" ht="33" x14ac:dyDescent="0.25">
      <c r="A43" s="18">
        <v>21</v>
      </c>
      <c r="B43" s="23" t="s">
        <v>56</v>
      </c>
      <c r="C43" s="23" t="s">
        <v>57</v>
      </c>
      <c r="D43" s="20" t="s">
        <v>2</v>
      </c>
      <c r="E43" s="20">
        <v>2318</v>
      </c>
      <c r="F43" s="20">
        <f>207+20+627+20+279+50+627</f>
        <v>1830</v>
      </c>
      <c r="G43" s="121">
        <f t="shared" si="0"/>
        <v>488</v>
      </c>
      <c r="H43" s="85">
        <v>2000</v>
      </c>
      <c r="I43" s="18"/>
      <c r="J43" s="23" t="s">
        <v>217</v>
      </c>
      <c r="K43" s="124">
        <v>2436</v>
      </c>
      <c r="L43" s="23" t="s">
        <v>88</v>
      </c>
    </row>
    <row r="44" spans="1:12" s="6" customFormat="1" ht="33" x14ac:dyDescent="0.25">
      <c r="A44" s="18">
        <v>22</v>
      </c>
      <c r="B44" s="23" t="s">
        <v>56</v>
      </c>
      <c r="C44" s="23" t="s">
        <v>57</v>
      </c>
      <c r="D44" s="20" t="s">
        <v>2</v>
      </c>
      <c r="E44" s="20">
        <v>2318</v>
      </c>
      <c r="F44" s="20">
        <f>207+20+627+20+279+50+627</f>
        <v>1830</v>
      </c>
      <c r="G44" s="121">
        <f t="shared" si="0"/>
        <v>488</v>
      </c>
      <c r="H44" s="85">
        <v>209</v>
      </c>
      <c r="I44" s="18"/>
      <c r="J44" s="23" t="s">
        <v>439</v>
      </c>
      <c r="K44" s="124">
        <v>2436</v>
      </c>
      <c r="L44" s="23" t="s">
        <v>76</v>
      </c>
    </row>
    <row r="45" spans="1:12" s="6" customFormat="1" ht="49.5" x14ac:dyDescent="0.25">
      <c r="A45" s="18">
        <v>23</v>
      </c>
      <c r="B45" s="23" t="s">
        <v>447</v>
      </c>
      <c r="C45" s="23" t="s">
        <v>448</v>
      </c>
      <c r="D45" s="20" t="s">
        <v>2</v>
      </c>
      <c r="E45" s="20">
        <v>257.89999999999998</v>
      </c>
      <c r="F45" s="20">
        <v>60</v>
      </c>
      <c r="G45" s="121">
        <f t="shared" si="0"/>
        <v>197.89999999999998</v>
      </c>
      <c r="H45" s="85">
        <v>250</v>
      </c>
      <c r="I45" s="18"/>
      <c r="J45" s="23" t="s">
        <v>449</v>
      </c>
      <c r="K45" s="124">
        <v>2436</v>
      </c>
      <c r="L45" s="23" t="s">
        <v>140</v>
      </c>
    </row>
    <row r="46" spans="1:12" s="6" customFormat="1" ht="33" x14ac:dyDescent="0.25">
      <c r="A46" s="18">
        <v>24</v>
      </c>
      <c r="B46" s="23" t="s">
        <v>415</v>
      </c>
      <c r="C46" s="23" t="s">
        <v>175</v>
      </c>
      <c r="D46" s="72" t="s">
        <v>66</v>
      </c>
      <c r="E46" s="72">
        <v>9530</v>
      </c>
      <c r="F46" s="72">
        <f>170*3+1020</f>
        <v>1530</v>
      </c>
      <c r="G46" s="127">
        <f t="shared" si="0"/>
        <v>8000</v>
      </c>
      <c r="H46" s="128">
        <v>2890</v>
      </c>
      <c r="I46" s="72"/>
      <c r="J46" s="71" t="s">
        <v>400</v>
      </c>
      <c r="K46" s="129">
        <v>2550</v>
      </c>
      <c r="L46" s="75" t="s">
        <v>176</v>
      </c>
    </row>
    <row r="47" spans="1:12" s="6" customFormat="1" ht="33" x14ac:dyDescent="0.25">
      <c r="A47" s="18">
        <v>25</v>
      </c>
      <c r="B47" s="23" t="s">
        <v>201</v>
      </c>
      <c r="C47" s="23" t="s">
        <v>202</v>
      </c>
      <c r="D47" s="18" t="s">
        <v>2</v>
      </c>
      <c r="E47" s="18">
        <v>88.2</v>
      </c>
      <c r="F47" s="18">
        <v>0</v>
      </c>
      <c r="G47" s="121">
        <f t="shared" si="0"/>
        <v>88.2</v>
      </c>
      <c r="H47" s="125">
        <v>65</v>
      </c>
      <c r="I47" s="18"/>
      <c r="J47" s="23" t="s">
        <v>289</v>
      </c>
      <c r="K47" s="123">
        <v>65</v>
      </c>
      <c r="L47" s="23" t="s">
        <v>76</v>
      </c>
    </row>
    <row r="48" spans="1:12" s="6" customFormat="1" ht="33" x14ac:dyDescent="0.25">
      <c r="A48" s="18">
        <v>26</v>
      </c>
      <c r="B48" s="23" t="s">
        <v>292</v>
      </c>
      <c r="C48" s="23" t="s">
        <v>293</v>
      </c>
      <c r="D48" s="18" t="s">
        <v>2</v>
      </c>
      <c r="E48" s="18">
        <v>0</v>
      </c>
      <c r="F48" s="18">
        <v>0</v>
      </c>
      <c r="G48" s="121">
        <f t="shared" si="0"/>
        <v>0</v>
      </c>
      <c r="H48" s="125">
        <v>100</v>
      </c>
      <c r="I48" s="18"/>
      <c r="J48" s="23" t="s">
        <v>290</v>
      </c>
      <c r="K48" s="123">
        <v>82</v>
      </c>
      <c r="L48" s="23" t="s">
        <v>76</v>
      </c>
    </row>
    <row r="49" spans="1:12" s="6" customFormat="1" ht="33" x14ac:dyDescent="0.25">
      <c r="A49" s="18">
        <v>27</v>
      </c>
      <c r="B49" s="23" t="s">
        <v>203</v>
      </c>
      <c r="C49" s="23" t="s">
        <v>204</v>
      </c>
      <c r="D49" s="18" t="s">
        <v>2</v>
      </c>
      <c r="E49" s="18">
        <v>1256</v>
      </c>
      <c r="F49" s="18">
        <v>416</v>
      </c>
      <c r="G49" s="121">
        <f t="shared" si="0"/>
        <v>840</v>
      </c>
      <c r="H49" s="125">
        <v>208</v>
      </c>
      <c r="I49" s="18"/>
      <c r="J49" s="23" t="s">
        <v>510</v>
      </c>
      <c r="K49" s="123">
        <v>1210</v>
      </c>
      <c r="L49" s="23" t="s">
        <v>88</v>
      </c>
    </row>
    <row r="50" spans="1:12" s="6" customFormat="1" ht="49.5" x14ac:dyDescent="0.25">
      <c r="A50" s="18">
        <v>28</v>
      </c>
      <c r="B50" s="23" t="s">
        <v>79</v>
      </c>
      <c r="C50" s="23" t="s">
        <v>80</v>
      </c>
      <c r="D50" s="18" t="s">
        <v>2</v>
      </c>
      <c r="E50" s="18">
        <v>2400</v>
      </c>
      <c r="F50" s="18">
        <f>20+209</f>
        <v>229</v>
      </c>
      <c r="G50" s="121">
        <f t="shared" si="0"/>
        <v>2171</v>
      </c>
      <c r="H50" s="85">
        <v>209</v>
      </c>
      <c r="I50" s="18"/>
      <c r="J50" s="23" t="s">
        <v>511</v>
      </c>
      <c r="K50" s="124">
        <v>500</v>
      </c>
      <c r="L50" s="19" t="s">
        <v>88</v>
      </c>
    </row>
    <row r="51" spans="1:12" s="6" customFormat="1" ht="33" x14ac:dyDescent="0.25">
      <c r="A51" s="18">
        <v>29</v>
      </c>
      <c r="B51" s="23" t="s">
        <v>56</v>
      </c>
      <c r="C51" s="23" t="s">
        <v>57</v>
      </c>
      <c r="D51" s="18" t="s">
        <v>2</v>
      </c>
      <c r="E51" s="18">
        <v>2318</v>
      </c>
      <c r="F51" s="18">
        <f>F44</f>
        <v>1830</v>
      </c>
      <c r="G51" s="121">
        <v>1444</v>
      </c>
      <c r="H51" s="85">
        <v>209</v>
      </c>
      <c r="I51" s="18"/>
      <c r="J51" s="23" t="s">
        <v>217</v>
      </c>
      <c r="K51" s="124"/>
      <c r="L51" s="19" t="s">
        <v>88</v>
      </c>
    </row>
    <row r="52" spans="1:12" s="6" customFormat="1" ht="49.5" x14ac:dyDescent="0.25">
      <c r="A52" s="18">
        <v>30</v>
      </c>
      <c r="B52" s="23" t="s">
        <v>25</v>
      </c>
      <c r="C52" s="19" t="s">
        <v>43</v>
      </c>
      <c r="D52" s="18" t="s">
        <v>2</v>
      </c>
      <c r="E52" s="18">
        <v>92</v>
      </c>
      <c r="F52" s="18">
        <v>32</v>
      </c>
      <c r="G52" s="121">
        <f t="shared" si="0"/>
        <v>60</v>
      </c>
      <c r="H52" s="85">
        <v>50</v>
      </c>
      <c r="I52" s="18"/>
      <c r="J52" s="22" t="s">
        <v>45</v>
      </c>
      <c r="K52" s="124">
        <v>229</v>
      </c>
      <c r="L52" s="19" t="s">
        <v>104</v>
      </c>
    </row>
    <row r="53" spans="1:12" s="6" customFormat="1" x14ac:dyDescent="0.25">
      <c r="A53" s="18">
        <v>31</v>
      </c>
      <c r="B53" s="23" t="s">
        <v>25</v>
      </c>
      <c r="C53" s="19" t="s">
        <v>43</v>
      </c>
      <c r="D53" s="18" t="s">
        <v>2</v>
      </c>
      <c r="E53" s="18">
        <v>92</v>
      </c>
      <c r="F53" s="18">
        <v>32</v>
      </c>
      <c r="G53" s="121">
        <f t="shared" si="0"/>
        <v>60</v>
      </c>
      <c r="H53" s="85">
        <v>50</v>
      </c>
      <c r="I53" s="18"/>
      <c r="J53" s="22" t="s">
        <v>184</v>
      </c>
      <c r="K53" s="124">
        <v>229</v>
      </c>
      <c r="L53" s="23" t="s">
        <v>88</v>
      </c>
    </row>
    <row r="54" spans="1:12" s="6" customFormat="1" ht="33" x14ac:dyDescent="0.25">
      <c r="A54" s="18">
        <v>32</v>
      </c>
      <c r="B54" s="23" t="s">
        <v>16</v>
      </c>
      <c r="C54" s="23" t="s">
        <v>44</v>
      </c>
      <c r="D54" s="18" t="s">
        <v>2</v>
      </c>
      <c r="E54" s="18">
        <v>585</v>
      </c>
      <c r="F54" s="18">
        <v>209</v>
      </c>
      <c r="G54" s="121">
        <f t="shared" si="0"/>
        <v>376</v>
      </c>
      <c r="H54" s="85">
        <v>0</v>
      </c>
      <c r="I54" s="18"/>
      <c r="J54" s="22" t="s">
        <v>106</v>
      </c>
      <c r="K54" s="124" t="s">
        <v>127</v>
      </c>
      <c r="L54" s="19" t="s">
        <v>104</v>
      </c>
    </row>
    <row r="55" spans="1:12" s="6" customFormat="1" ht="33" x14ac:dyDescent="0.25">
      <c r="A55" s="18">
        <v>33</v>
      </c>
      <c r="B55" s="23" t="s">
        <v>566</v>
      </c>
      <c r="C55" s="23" t="s">
        <v>567</v>
      </c>
      <c r="D55" s="18" t="s">
        <v>2</v>
      </c>
      <c r="E55" s="18">
        <v>585</v>
      </c>
      <c r="F55" s="18">
        <v>209</v>
      </c>
      <c r="G55" s="121">
        <f t="shared" si="0"/>
        <v>376</v>
      </c>
      <c r="H55" s="85">
        <v>0</v>
      </c>
      <c r="I55" s="18"/>
      <c r="J55" s="22" t="s">
        <v>106</v>
      </c>
      <c r="K55" s="124"/>
      <c r="L55" s="19"/>
    </row>
    <row r="56" spans="1:12" s="6" customFormat="1" ht="33" x14ac:dyDescent="0.25">
      <c r="A56" s="18">
        <v>34</v>
      </c>
      <c r="B56" s="23" t="s">
        <v>46</v>
      </c>
      <c r="C56" s="23" t="s">
        <v>47</v>
      </c>
      <c r="D56" s="18" t="s">
        <v>2</v>
      </c>
      <c r="E56" s="18">
        <v>662</v>
      </c>
      <c r="F56" s="18">
        <v>0</v>
      </c>
      <c r="G56" s="121">
        <f t="shared" si="0"/>
        <v>662</v>
      </c>
      <c r="H56" s="122">
        <v>105</v>
      </c>
      <c r="I56" s="18"/>
      <c r="J56" s="22" t="s">
        <v>247</v>
      </c>
      <c r="K56" s="123" t="s">
        <v>110</v>
      </c>
      <c r="L56" s="19" t="s">
        <v>48</v>
      </c>
    </row>
    <row r="57" spans="1:12" s="6" customFormat="1" ht="49.5" x14ac:dyDescent="0.25">
      <c r="A57" s="18">
        <v>35</v>
      </c>
      <c r="B57" s="19" t="s">
        <v>52</v>
      </c>
      <c r="C57" s="23" t="s">
        <v>53</v>
      </c>
      <c r="D57" s="20" t="s">
        <v>2</v>
      </c>
      <c r="E57" s="20">
        <v>2720</v>
      </c>
      <c r="F57" s="20">
        <v>940</v>
      </c>
      <c r="G57" s="121">
        <f t="shared" si="0"/>
        <v>1780</v>
      </c>
      <c r="H57" s="122">
        <v>60</v>
      </c>
      <c r="I57" s="18"/>
      <c r="J57" s="23" t="s">
        <v>152</v>
      </c>
      <c r="K57" s="123" t="s">
        <v>110</v>
      </c>
      <c r="L57" s="19" t="s">
        <v>76</v>
      </c>
    </row>
    <row r="58" spans="1:12" s="6" customFormat="1" ht="115.5" x14ac:dyDescent="0.25">
      <c r="A58" s="18">
        <v>36</v>
      </c>
      <c r="B58" s="23" t="s">
        <v>81</v>
      </c>
      <c r="C58" s="23" t="s">
        <v>82</v>
      </c>
      <c r="D58" s="18" t="s">
        <v>66</v>
      </c>
      <c r="E58" s="18">
        <v>22078</v>
      </c>
      <c r="F58" s="18">
        <f>11975+180*7+180*6</f>
        <v>14315</v>
      </c>
      <c r="G58" s="121">
        <f t="shared" si="0"/>
        <v>7763</v>
      </c>
      <c r="H58" s="86">
        <v>3000</v>
      </c>
      <c r="I58" s="18"/>
      <c r="J58" s="23" t="s">
        <v>87</v>
      </c>
      <c r="K58" s="124">
        <v>9385</v>
      </c>
      <c r="L58" s="19" t="s">
        <v>88</v>
      </c>
    </row>
    <row r="59" spans="1:12" s="6" customFormat="1" x14ac:dyDescent="0.25">
      <c r="A59" s="18">
        <v>37</v>
      </c>
      <c r="B59" s="23" t="s">
        <v>495</v>
      </c>
      <c r="C59" s="23" t="s">
        <v>496</v>
      </c>
      <c r="D59" s="18" t="s">
        <v>2</v>
      </c>
      <c r="E59" s="18">
        <v>482.6</v>
      </c>
      <c r="F59" s="18">
        <v>100</v>
      </c>
      <c r="G59" s="121">
        <f t="shared" si="0"/>
        <v>382.6</v>
      </c>
      <c r="H59" s="86">
        <v>208</v>
      </c>
      <c r="I59" s="18"/>
      <c r="J59" s="23" t="s">
        <v>509</v>
      </c>
      <c r="K59" s="124">
        <v>713</v>
      </c>
      <c r="L59" s="19" t="s">
        <v>88</v>
      </c>
    </row>
    <row r="60" spans="1:12" s="9" customFormat="1" x14ac:dyDescent="0.25">
      <c r="A60" s="153" t="s">
        <v>19</v>
      </c>
      <c r="B60" s="45"/>
      <c r="C60" s="45"/>
      <c r="D60" s="46"/>
      <c r="E60" s="46"/>
      <c r="F60" s="46"/>
      <c r="G60" s="121"/>
      <c r="H60" s="119"/>
      <c r="I60" s="46"/>
      <c r="J60" s="47"/>
      <c r="K60" s="120"/>
      <c r="L60" s="48"/>
    </row>
    <row r="61" spans="1:12" s="6" customFormat="1" ht="33" x14ac:dyDescent="0.25">
      <c r="A61" s="18">
        <v>1</v>
      </c>
      <c r="B61" s="23" t="s">
        <v>111</v>
      </c>
      <c r="C61" s="23" t="s">
        <v>58</v>
      </c>
      <c r="D61" s="18" t="s">
        <v>0</v>
      </c>
      <c r="E61" s="18">
        <v>92</v>
      </c>
      <c r="F61" s="18">
        <f>22+2+10</f>
        <v>34</v>
      </c>
      <c r="G61" s="121">
        <f t="shared" si="0"/>
        <v>58</v>
      </c>
      <c r="H61" s="130">
        <v>10</v>
      </c>
      <c r="I61" s="18"/>
      <c r="J61" s="23" t="s">
        <v>154</v>
      </c>
      <c r="K61" s="123">
        <v>8</v>
      </c>
      <c r="L61" s="19" t="s">
        <v>178</v>
      </c>
    </row>
    <row r="62" spans="1:12" s="6" customFormat="1" ht="82.5" x14ac:dyDescent="0.25">
      <c r="A62" s="18">
        <v>2</v>
      </c>
      <c r="B62" s="23" t="s">
        <v>450</v>
      </c>
      <c r="C62" s="23" t="s">
        <v>451</v>
      </c>
      <c r="D62" s="18" t="s">
        <v>0</v>
      </c>
      <c r="E62" s="18">
        <v>0</v>
      </c>
      <c r="F62" s="18">
        <v>0</v>
      </c>
      <c r="G62" s="121">
        <v>0</v>
      </c>
      <c r="H62" s="130">
        <v>2</v>
      </c>
      <c r="I62" s="18"/>
      <c r="J62" s="79" t="s">
        <v>452</v>
      </c>
      <c r="K62" s="123"/>
      <c r="L62" s="19" t="s">
        <v>140</v>
      </c>
    </row>
    <row r="63" spans="1:12" s="6" customFormat="1" ht="99" x14ac:dyDescent="0.25">
      <c r="A63" s="18">
        <v>3</v>
      </c>
      <c r="B63" s="23" t="s">
        <v>453</v>
      </c>
      <c r="C63" s="23" t="s">
        <v>454</v>
      </c>
      <c r="D63" s="18" t="s">
        <v>0</v>
      </c>
      <c r="E63" s="18">
        <v>0</v>
      </c>
      <c r="F63" s="18">
        <v>0</v>
      </c>
      <c r="G63" s="121">
        <v>0</v>
      </c>
      <c r="H63" s="130">
        <v>2</v>
      </c>
      <c r="I63" s="18"/>
      <c r="J63" s="79" t="s">
        <v>455</v>
      </c>
      <c r="K63" s="123"/>
      <c r="L63" s="19" t="s">
        <v>140</v>
      </c>
    </row>
    <row r="64" spans="1:12" s="6" customFormat="1" ht="82.5" x14ac:dyDescent="0.25">
      <c r="A64" s="18">
        <v>4</v>
      </c>
      <c r="B64" s="23" t="s">
        <v>456</v>
      </c>
      <c r="C64" s="23" t="s">
        <v>457</v>
      </c>
      <c r="D64" s="18" t="s">
        <v>17</v>
      </c>
      <c r="E64" s="18">
        <v>0</v>
      </c>
      <c r="F64" s="18">
        <v>0</v>
      </c>
      <c r="G64" s="121">
        <v>0</v>
      </c>
      <c r="H64" s="130">
        <v>2</v>
      </c>
      <c r="I64" s="18"/>
      <c r="J64" s="79" t="s">
        <v>458</v>
      </c>
      <c r="K64" s="123"/>
      <c r="L64" s="19" t="s">
        <v>140</v>
      </c>
    </row>
    <row r="65" spans="1:12" s="6" customFormat="1" ht="66" x14ac:dyDescent="0.25">
      <c r="A65" s="18">
        <v>5</v>
      </c>
      <c r="B65" s="23" t="s">
        <v>113</v>
      </c>
      <c r="C65" s="23" t="s">
        <v>61</v>
      </c>
      <c r="D65" s="18" t="s">
        <v>0</v>
      </c>
      <c r="E65" s="18">
        <v>28</v>
      </c>
      <c r="F65" s="18">
        <v>11</v>
      </c>
      <c r="G65" s="121">
        <f t="shared" si="0"/>
        <v>17</v>
      </c>
      <c r="H65" s="130">
        <v>1</v>
      </c>
      <c r="I65" s="18"/>
      <c r="J65" s="23" t="s">
        <v>209</v>
      </c>
      <c r="K65" s="124" t="s">
        <v>110</v>
      </c>
      <c r="L65" s="19" t="s">
        <v>76</v>
      </c>
    </row>
    <row r="66" spans="1:12" s="6" customFormat="1" ht="33" x14ac:dyDescent="0.25">
      <c r="A66" s="18">
        <v>6</v>
      </c>
      <c r="B66" s="23" t="s">
        <v>113</v>
      </c>
      <c r="C66" s="23" t="s">
        <v>170</v>
      </c>
      <c r="D66" s="18" t="s">
        <v>172</v>
      </c>
      <c r="E66" s="18">
        <v>28</v>
      </c>
      <c r="F66" s="18">
        <v>11</v>
      </c>
      <c r="G66" s="121">
        <f t="shared" si="0"/>
        <v>17</v>
      </c>
      <c r="H66" s="130">
        <v>1</v>
      </c>
      <c r="I66" s="18"/>
      <c r="J66" s="23" t="s">
        <v>173</v>
      </c>
      <c r="K66" s="124">
        <v>8</v>
      </c>
      <c r="L66" s="19" t="s">
        <v>76</v>
      </c>
    </row>
    <row r="67" spans="1:12" s="6" customFormat="1" ht="33" x14ac:dyDescent="0.25">
      <c r="A67" s="18">
        <v>7</v>
      </c>
      <c r="B67" s="23" t="s">
        <v>114</v>
      </c>
      <c r="C67" s="23" t="s">
        <v>171</v>
      </c>
      <c r="D67" s="18" t="s">
        <v>0</v>
      </c>
      <c r="E67" s="18">
        <v>20</v>
      </c>
      <c r="F67" s="18">
        <v>9</v>
      </c>
      <c r="G67" s="121">
        <f t="shared" si="0"/>
        <v>11</v>
      </c>
      <c r="H67" s="130">
        <v>2</v>
      </c>
      <c r="I67" s="18"/>
      <c r="J67" s="23" t="s">
        <v>177</v>
      </c>
      <c r="K67" s="124">
        <v>3</v>
      </c>
      <c r="L67" s="19" t="s">
        <v>76</v>
      </c>
    </row>
    <row r="68" spans="1:12" s="6" customFormat="1" ht="49.5" x14ac:dyDescent="0.25">
      <c r="A68" s="18">
        <v>8</v>
      </c>
      <c r="B68" s="23" t="s">
        <v>114</v>
      </c>
      <c r="C68" s="23" t="s">
        <v>62</v>
      </c>
      <c r="D68" s="18" t="s">
        <v>0</v>
      </c>
      <c r="E68" s="18">
        <v>20</v>
      </c>
      <c r="F68" s="18">
        <v>9</v>
      </c>
      <c r="G68" s="121">
        <f t="shared" si="0"/>
        <v>11</v>
      </c>
      <c r="H68" s="130">
        <v>2</v>
      </c>
      <c r="I68" s="18"/>
      <c r="J68" s="23" t="s">
        <v>210</v>
      </c>
      <c r="K68" s="123">
        <v>0</v>
      </c>
      <c r="L68" s="19" t="s">
        <v>76</v>
      </c>
    </row>
    <row r="69" spans="1:12" s="6" customFormat="1" ht="49.5" x14ac:dyDescent="0.25">
      <c r="A69" s="18">
        <v>9</v>
      </c>
      <c r="B69" s="23" t="s">
        <v>115</v>
      </c>
      <c r="C69" s="23" t="s">
        <v>423</v>
      </c>
      <c r="D69" s="18" t="s">
        <v>0</v>
      </c>
      <c r="E69" s="18">
        <v>10</v>
      </c>
      <c r="F69" s="18">
        <v>4</v>
      </c>
      <c r="G69" s="121">
        <v>6</v>
      </c>
      <c r="H69" s="130">
        <v>3</v>
      </c>
      <c r="I69" s="18">
        <v>0</v>
      </c>
      <c r="J69" s="23" t="s">
        <v>569</v>
      </c>
      <c r="K69" s="123"/>
      <c r="L69" s="19" t="s">
        <v>76</v>
      </c>
    </row>
    <row r="70" spans="1:12" s="6" customFormat="1" ht="49.5" x14ac:dyDescent="0.25">
      <c r="A70" s="18">
        <v>10</v>
      </c>
      <c r="B70" s="23" t="s">
        <v>128</v>
      </c>
      <c r="C70" s="23" t="s">
        <v>63</v>
      </c>
      <c r="D70" s="18" t="s">
        <v>0</v>
      </c>
      <c r="E70" s="18">
        <v>20</v>
      </c>
      <c r="F70" s="18">
        <v>0</v>
      </c>
      <c r="G70" s="121">
        <f t="shared" si="0"/>
        <v>20</v>
      </c>
      <c r="H70" s="130">
        <v>7</v>
      </c>
      <c r="I70" s="18"/>
      <c r="J70" s="23" t="s">
        <v>211</v>
      </c>
      <c r="K70" s="123" t="s">
        <v>180</v>
      </c>
      <c r="L70" s="19" t="s">
        <v>76</v>
      </c>
    </row>
    <row r="71" spans="1:12" s="6" customFormat="1" ht="115.5" x14ac:dyDescent="0.25">
      <c r="A71" s="18">
        <v>11</v>
      </c>
      <c r="B71" s="23" t="s">
        <v>116</v>
      </c>
      <c r="C71" s="23" t="s">
        <v>64</v>
      </c>
      <c r="D71" s="18" t="s">
        <v>0</v>
      </c>
      <c r="E71" s="18">
        <v>80</v>
      </c>
      <c r="F71" s="18">
        <v>44</v>
      </c>
      <c r="G71" s="121">
        <v>36</v>
      </c>
      <c r="H71" s="130">
        <v>10</v>
      </c>
      <c r="I71" s="18"/>
      <c r="J71" s="23" t="s">
        <v>569</v>
      </c>
      <c r="K71" s="123"/>
      <c r="L71" s="19"/>
    </row>
    <row r="72" spans="1:12" s="6" customFormat="1" ht="82.5" x14ac:dyDescent="0.25">
      <c r="A72" s="18">
        <v>12</v>
      </c>
      <c r="B72" s="23" t="s">
        <v>31</v>
      </c>
      <c r="C72" s="23" t="s">
        <v>38</v>
      </c>
      <c r="D72" s="18" t="s">
        <v>0</v>
      </c>
      <c r="E72" s="18">
        <v>148</v>
      </c>
      <c r="F72" s="18">
        <f>100+26</f>
        <v>126</v>
      </c>
      <c r="G72" s="121">
        <f t="shared" si="0"/>
        <v>22</v>
      </c>
      <c r="H72" s="130">
        <v>58</v>
      </c>
      <c r="I72" s="26"/>
      <c r="J72" s="23" t="s">
        <v>300</v>
      </c>
      <c r="K72" s="124" t="s">
        <v>110</v>
      </c>
      <c r="L72" s="19" t="s">
        <v>76</v>
      </c>
    </row>
    <row r="73" spans="1:12" s="6" customFormat="1" ht="82.5" x14ac:dyDescent="0.25">
      <c r="A73" s="18">
        <v>13</v>
      </c>
      <c r="B73" s="23" t="s">
        <v>295</v>
      </c>
      <c r="C73" s="23" t="s">
        <v>296</v>
      </c>
      <c r="D73" s="18" t="s">
        <v>0</v>
      </c>
      <c r="E73" s="18">
        <v>18</v>
      </c>
      <c r="F73" s="18"/>
      <c r="G73" s="121">
        <f t="shared" si="0"/>
        <v>18</v>
      </c>
      <c r="H73" s="86">
        <v>6</v>
      </c>
      <c r="I73" s="26"/>
      <c r="J73" s="23" t="s">
        <v>297</v>
      </c>
      <c r="K73" s="124">
        <v>0</v>
      </c>
      <c r="L73" s="19" t="s">
        <v>88</v>
      </c>
    </row>
    <row r="74" spans="1:12" s="6" customFormat="1" ht="49.5" x14ac:dyDescent="0.25">
      <c r="A74" s="18">
        <v>14</v>
      </c>
      <c r="B74" s="19" t="s">
        <v>89</v>
      </c>
      <c r="C74" s="23" t="s">
        <v>90</v>
      </c>
      <c r="D74" s="18" t="s">
        <v>0</v>
      </c>
      <c r="E74" s="18">
        <v>80</v>
      </c>
      <c r="F74" s="18">
        <v>0</v>
      </c>
      <c r="G74" s="121">
        <f t="shared" si="0"/>
        <v>80</v>
      </c>
      <c r="H74" s="86">
        <v>6</v>
      </c>
      <c r="I74" s="26"/>
      <c r="J74" s="23" t="s">
        <v>97</v>
      </c>
      <c r="K74" s="124">
        <v>0</v>
      </c>
      <c r="L74" s="19" t="s">
        <v>88</v>
      </c>
    </row>
    <row r="75" spans="1:12" s="6" customFormat="1" ht="33" x14ac:dyDescent="0.25">
      <c r="A75" s="18">
        <v>15</v>
      </c>
      <c r="B75" s="23" t="s">
        <v>93</v>
      </c>
      <c r="C75" s="23" t="s">
        <v>94</v>
      </c>
      <c r="D75" s="18" t="s">
        <v>0</v>
      </c>
      <c r="E75" s="18">
        <v>48</v>
      </c>
      <c r="F75" s="18">
        <v>2</v>
      </c>
      <c r="G75" s="121">
        <f t="shared" si="0"/>
        <v>46</v>
      </c>
      <c r="H75" s="86">
        <v>6</v>
      </c>
      <c r="I75" s="26"/>
      <c r="J75" s="23" t="s">
        <v>99</v>
      </c>
      <c r="K75" s="124">
        <v>0</v>
      </c>
      <c r="L75" s="19" t="s">
        <v>88</v>
      </c>
    </row>
    <row r="76" spans="1:12" s="6" customFormat="1" ht="49.5" x14ac:dyDescent="0.25">
      <c r="A76" s="18">
        <v>16</v>
      </c>
      <c r="B76" s="23" t="s">
        <v>519</v>
      </c>
      <c r="C76" s="23" t="s">
        <v>518</v>
      </c>
      <c r="D76" s="18" t="s">
        <v>0</v>
      </c>
      <c r="E76" s="18">
        <v>96</v>
      </c>
      <c r="F76" s="18">
        <v>0</v>
      </c>
      <c r="G76" s="121">
        <f t="shared" si="0"/>
        <v>96</v>
      </c>
      <c r="H76" s="86">
        <v>6</v>
      </c>
      <c r="I76" s="26"/>
      <c r="J76" s="23" t="s">
        <v>100</v>
      </c>
      <c r="K76" s="124">
        <v>0</v>
      </c>
      <c r="L76" s="19" t="s">
        <v>88</v>
      </c>
    </row>
    <row r="77" spans="1:12" s="6" customFormat="1" ht="66" x14ac:dyDescent="0.25">
      <c r="A77" s="18">
        <v>17</v>
      </c>
      <c r="B77" s="23" t="s">
        <v>298</v>
      </c>
      <c r="C77" s="23" t="s">
        <v>299</v>
      </c>
      <c r="D77" s="18" t="s">
        <v>0</v>
      </c>
      <c r="E77" s="18">
        <v>96</v>
      </c>
      <c r="F77" s="18">
        <v>12</v>
      </c>
      <c r="G77" s="121">
        <f t="shared" si="0"/>
        <v>84</v>
      </c>
      <c r="H77" s="86">
        <v>6</v>
      </c>
      <c r="I77" s="26"/>
      <c r="J77" s="23" t="s">
        <v>101</v>
      </c>
      <c r="K77" s="124">
        <v>0</v>
      </c>
      <c r="L77" s="19" t="s">
        <v>88</v>
      </c>
    </row>
    <row r="78" spans="1:12" s="6" customFormat="1" ht="66" x14ac:dyDescent="0.25">
      <c r="A78" s="18">
        <v>18</v>
      </c>
      <c r="B78" s="19" t="s">
        <v>194</v>
      </c>
      <c r="C78" s="23" t="s">
        <v>195</v>
      </c>
      <c r="D78" s="18" t="s">
        <v>0</v>
      </c>
      <c r="E78" s="18">
        <v>0</v>
      </c>
      <c r="F78" s="18">
        <v>0</v>
      </c>
      <c r="G78" s="121">
        <f t="shared" si="0"/>
        <v>0</v>
      </c>
      <c r="H78" s="86">
        <v>2</v>
      </c>
      <c r="I78" s="26"/>
      <c r="J78" s="23" t="s">
        <v>196</v>
      </c>
      <c r="K78" s="124">
        <v>2</v>
      </c>
      <c r="L78" s="19" t="s">
        <v>197</v>
      </c>
    </row>
    <row r="79" spans="1:12" s="6" customFormat="1" ht="33" x14ac:dyDescent="0.25">
      <c r="A79" s="18">
        <v>19</v>
      </c>
      <c r="B79" s="19" t="s">
        <v>188</v>
      </c>
      <c r="C79" s="23" t="s">
        <v>189</v>
      </c>
      <c r="D79" s="18" t="s">
        <v>0</v>
      </c>
      <c r="E79" s="18">
        <v>62</v>
      </c>
      <c r="F79" s="18">
        <v>93</v>
      </c>
      <c r="G79" s="121">
        <v>0</v>
      </c>
      <c r="H79" s="86">
        <v>1</v>
      </c>
      <c r="I79" s="26"/>
      <c r="J79" s="23" t="s">
        <v>192</v>
      </c>
      <c r="K79" s="124">
        <v>3</v>
      </c>
      <c r="L79" s="19" t="s">
        <v>140</v>
      </c>
    </row>
    <row r="80" spans="1:12" s="6" customFormat="1" ht="99" x14ac:dyDescent="0.25">
      <c r="A80" s="18">
        <v>20</v>
      </c>
      <c r="B80" s="19" t="s">
        <v>190</v>
      </c>
      <c r="C80" s="23" t="s">
        <v>191</v>
      </c>
      <c r="D80" s="18" t="s">
        <v>0</v>
      </c>
      <c r="E80" s="18">
        <v>62</v>
      </c>
      <c r="F80" s="18">
        <v>31</v>
      </c>
      <c r="G80" s="121">
        <f t="shared" si="0"/>
        <v>31</v>
      </c>
      <c r="H80" s="86">
        <v>31</v>
      </c>
      <c r="I80" s="26"/>
      <c r="J80" s="23" t="s">
        <v>193</v>
      </c>
      <c r="K80" s="124"/>
      <c r="L80" s="19" t="s">
        <v>140</v>
      </c>
    </row>
    <row r="81" spans="1:12" s="6" customFormat="1" ht="82.5" x14ac:dyDescent="0.25">
      <c r="A81" s="18">
        <v>21</v>
      </c>
      <c r="B81" s="23" t="s">
        <v>28</v>
      </c>
      <c r="C81" s="23" t="s">
        <v>39</v>
      </c>
      <c r="D81" s="18" t="s">
        <v>0</v>
      </c>
      <c r="E81" s="18">
        <v>0</v>
      </c>
      <c r="F81" s="18">
        <v>0</v>
      </c>
      <c r="G81" s="121">
        <f t="shared" si="0"/>
        <v>0</v>
      </c>
      <c r="H81" s="85">
        <v>5</v>
      </c>
      <c r="I81" s="26"/>
      <c r="J81" s="23" t="s">
        <v>21</v>
      </c>
      <c r="K81" s="124">
        <v>29</v>
      </c>
      <c r="L81" s="19" t="s">
        <v>104</v>
      </c>
    </row>
    <row r="82" spans="1:12" s="6" customFormat="1" ht="82.5" x14ac:dyDescent="0.25">
      <c r="A82" s="18">
        <v>22</v>
      </c>
      <c r="B82" s="23" t="s">
        <v>29</v>
      </c>
      <c r="C82" s="23" t="s">
        <v>37</v>
      </c>
      <c r="D82" s="18" t="s">
        <v>17</v>
      </c>
      <c r="E82" s="18">
        <v>6</v>
      </c>
      <c r="F82" s="18">
        <v>0</v>
      </c>
      <c r="G82" s="121">
        <f t="shared" si="0"/>
        <v>6</v>
      </c>
      <c r="H82" s="86">
        <v>4</v>
      </c>
      <c r="I82" s="26"/>
      <c r="J82" s="23" t="s">
        <v>22</v>
      </c>
      <c r="K82" s="124" t="s">
        <v>121</v>
      </c>
      <c r="L82" s="19" t="s">
        <v>104</v>
      </c>
    </row>
    <row r="83" spans="1:12" s="6" customFormat="1" ht="82.5" x14ac:dyDescent="0.25">
      <c r="A83" s="18">
        <v>23</v>
      </c>
      <c r="B83" s="23" t="s">
        <v>30</v>
      </c>
      <c r="C83" s="23" t="s">
        <v>26</v>
      </c>
      <c r="D83" s="18" t="s">
        <v>17</v>
      </c>
      <c r="E83" s="18">
        <v>0</v>
      </c>
      <c r="F83" s="18">
        <v>0</v>
      </c>
      <c r="G83" s="121">
        <f t="shared" si="0"/>
        <v>0</v>
      </c>
      <c r="H83" s="86">
        <v>2</v>
      </c>
      <c r="I83" s="26"/>
      <c r="J83" s="23" t="s">
        <v>32</v>
      </c>
      <c r="K83" s="123">
        <v>0</v>
      </c>
      <c r="L83" s="19" t="s">
        <v>104</v>
      </c>
    </row>
    <row r="84" spans="1:12" s="6" customFormat="1" ht="99" x14ac:dyDescent="0.25">
      <c r="A84" s="18">
        <v>24</v>
      </c>
      <c r="B84" s="23" t="s">
        <v>23</v>
      </c>
      <c r="C84" s="23" t="s">
        <v>27</v>
      </c>
      <c r="D84" s="18" t="s">
        <v>0</v>
      </c>
      <c r="E84" s="18">
        <v>8</v>
      </c>
      <c r="F84" s="18">
        <v>0</v>
      </c>
      <c r="G84" s="121">
        <f t="shared" si="0"/>
        <v>8</v>
      </c>
      <c r="H84" s="86">
        <v>2</v>
      </c>
      <c r="I84" s="26"/>
      <c r="J84" s="23" t="s">
        <v>33</v>
      </c>
      <c r="K84" s="123">
        <v>0</v>
      </c>
      <c r="L84" s="19" t="s">
        <v>104</v>
      </c>
    </row>
    <row r="85" spans="1:12" s="6" customFormat="1" ht="99" x14ac:dyDescent="0.25">
      <c r="A85" s="18">
        <v>25</v>
      </c>
      <c r="B85" s="23" t="s">
        <v>122</v>
      </c>
      <c r="C85" s="23" t="s">
        <v>123</v>
      </c>
      <c r="D85" s="18" t="s">
        <v>0</v>
      </c>
      <c r="E85" s="18">
        <v>624</v>
      </c>
      <c r="F85" s="18">
        <v>60</v>
      </c>
      <c r="G85" s="121">
        <f t="shared" si="0"/>
        <v>564</v>
      </c>
      <c r="H85" s="86">
        <v>0</v>
      </c>
      <c r="I85" s="26"/>
      <c r="J85" s="23" t="s">
        <v>34</v>
      </c>
      <c r="K85" s="124" t="s">
        <v>124</v>
      </c>
      <c r="L85" s="19" t="s">
        <v>104</v>
      </c>
    </row>
    <row r="86" spans="1:12" s="6" customFormat="1" ht="82.5" x14ac:dyDescent="0.25">
      <c r="A86" s="18">
        <v>26</v>
      </c>
      <c r="B86" s="23" t="s">
        <v>31</v>
      </c>
      <c r="C86" s="23" t="s">
        <v>38</v>
      </c>
      <c r="D86" s="18" t="s">
        <v>0</v>
      </c>
      <c r="E86" s="18">
        <v>136</v>
      </c>
      <c r="F86" s="18">
        <v>100</v>
      </c>
      <c r="G86" s="121">
        <f t="shared" si="0"/>
        <v>36</v>
      </c>
      <c r="H86" s="86">
        <v>30</v>
      </c>
      <c r="I86" s="26"/>
      <c r="J86" s="23" t="s">
        <v>216</v>
      </c>
      <c r="K86" s="124" t="s">
        <v>110</v>
      </c>
      <c r="L86" s="19" t="s">
        <v>104</v>
      </c>
    </row>
    <row r="87" spans="1:12" s="6" customFormat="1" ht="33" x14ac:dyDescent="0.25">
      <c r="A87" s="18">
        <v>27</v>
      </c>
      <c r="B87" s="23" t="s">
        <v>367</v>
      </c>
      <c r="C87" s="23" t="s">
        <v>207</v>
      </c>
      <c r="D87" s="20" t="s">
        <v>0</v>
      </c>
      <c r="E87" s="20">
        <v>10</v>
      </c>
      <c r="F87" s="20">
        <v>2</v>
      </c>
      <c r="G87" s="121">
        <f t="shared" si="0"/>
        <v>8</v>
      </c>
      <c r="H87" s="125">
        <v>4</v>
      </c>
      <c r="I87" s="20"/>
      <c r="J87" s="23" t="s">
        <v>208</v>
      </c>
      <c r="K87" s="123" t="s">
        <v>205</v>
      </c>
      <c r="L87" s="23" t="s">
        <v>206</v>
      </c>
    </row>
    <row r="88" spans="1:12" s="6" customFormat="1" x14ac:dyDescent="0.25">
      <c r="A88" s="18">
        <v>28</v>
      </c>
      <c r="B88" s="23" t="s">
        <v>367</v>
      </c>
      <c r="C88" s="23" t="s">
        <v>301</v>
      </c>
      <c r="D88" s="20" t="s">
        <v>0</v>
      </c>
      <c r="E88" s="20">
        <v>10</v>
      </c>
      <c r="F88" s="20">
        <v>2</v>
      </c>
      <c r="G88" s="121">
        <f t="shared" si="0"/>
        <v>8</v>
      </c>
      <c r="H88" s="125">
        <v>4</v>
      </c>
      <c r="I88" s="20"/>
      <c r="J88" s="23" t="s">
        <v>569</v>
      </c>
      <c r="K88" s="123"/>
      <c r="L88" s="19" t="s">
        <v>88</v>
      </c>
    </row>
    <row r="89" spans="1:12" s="6" customFormat="1" ht="33" x14ac:dyDescent="0.25">
      <c r="A89" s="18">
        <v>29</v>
      </c>
      <c r="B89" s="23" t="s">
        <v>112</v>
      </c>
      <c r="C89" s="23" t="s">
        <v>308</v>
      </c>
      <c r="D89" s="20" t="s">
        <v>0</v>
      </c>
      <c r="E89" s="20">
        <v>20</v>
      </c>
      <c r="F89" s="20">
        <v>6</v>
      </c>
      <c r="G89" s="121">
        <f t="shared" si="0"/>
        <v>14</v>
      </c>
      <c r="H89" s="125">
        <v>0</v>
      </c>
      <c r="I89" s="20"/>
      <c r="J89" s="23" t="s">
        <v>569</v>
      </c>
      <c r="K89" s="123"/>
      <c r="L89" s="19" t="s">
        <v>88</v>
      </c>
    </row>
    <row r="90" spans="1:12" s="6" customFormat="1" ht="33" x14ac:dyDescent="0.25">
      <c r="A90" s="18">
        <v>30</v>
      </c>
      <c r="B90" s="23" t="s">
        <v>309</v>
      </c>
      <c r="C90" s="23" t="s">
        <v>310</v>
      </c>
      <c r="D90" s="20" t="s">
        <v>0</v>
      </c>
      <c r="E90" s="20">
        <v>12</v>
      </c>
      <c r="F90" s="20">
        <v>2</v>
      </c>
      <c r="G90" s="121">
        <f t="shared" si="0"/>
        <v>10</v>
      </c>
      <c r="H90" s="125">
        <v>12</v>
      </c>
      <c r="I90" s="20"/>
      <c r="J90" s="23" t="s">
        <v>569</v>
      </c>
      <c r="K90" s="123"/>
      <c r="L90" s="19" t="s">
        <v>88</v>
      </c>
    </row>
    <row r="91" spans="1:12" s="6" customFormat="1" ht="99" x14ac:dyDescent="0.25">
      <c r="A91" s="18">
        <v>31</v>
      </c>
      <c r="B91" s="23" t="s">
        <v>311</v>
      </c>
      <c r="C91" s="23" t="s">
        <v>312</v>
      </c>
      <c r="D91" s="20" t="s">
        <v>0</v>
      </c>
      <c r="E91" s="20">
        <v>32</v>
      </c>
      <c r="F91" s="20">
        <v>0</v>
      </c>
      <c r="G91" s="121">
        <f t="shared" si="0"/>
        <v>32</v>
      </c>
      <c r="H91" s="125">
        <v>22</v>
      </c>
      <c r="I91" s="20"/>
      <c r="J91" s="23" t="s">
        <v>569</v>
      </c>
      <c r="K91" s="123"/>
      <c r="L91" s="19" t="s">
        <v>88</v>
      </c>
    </row>
    <row r="92" spans="1:12" s="6" customFormat="1" ht="99" x14ac:dyDescent="0.25">
      <c r="A92" s="18">
        <v>32</v>
      </c>
      <c r="B92" s="23" t="s">
        <v>117</v>
      </c>
      <c r="C92" s="23" t="s">
        <v>313</v>
      </c>
      <c r="D92" s="20" t="s">
        <v>0</v>
      </c>
      <c r="E92" s="20">
        <v>2</v>
      </c>
      <c r="F92" s="20">
        <v>0</v>
      </c>
      <c r="G92" s="121">
        <f t="shared" si="0"/>
        <v>2</v>
      </c>
      <c r="H92" s="125">
        <v>2</v>
      </c>
      <c r="I92" s="20"/>
      <c r="J92" s="23" t="s">
        <v>569</v>
      </c>
      <c r="K92" s="123"/>
      <c r="L92" s="19" t="s">
        <v>88</v>
      </c>
    </row>
    <row r="93" spans="1:12" s="6" customFormat="1" ht="99" x14ac:dyDescent="0.25">
      <c r="A93" s="18">
        <v>33</v>
      </c>
      <c r="B93" s="23" t="s">
        <v>314</v>
      </c>
      <c r="C93" s="23" t="s">
        <v>315</v>
      </c>
      <c r="D93" s="20" t="s">
        <v>0</v>
      </c>
      <c r="E93" s="20">
        <v>20</v>
      </c>
      <c r="F93" s="20">
        <v>0</v>
      </c>
      <c r="G93" s="121">
        <f t="shared" si="0"/>
        <v>20</v>
      </c>
      <c r="H93" s="125">
        <v>10</v>
      </c>
      <c r="I93" s="20"/>
      <c r="J93" s="23" t="s">
        <v>569</v>
      </c>
      <c r="K93" s="123"/>
      <c r="L93" s="19" t="s">
        <v>88</v>
      </c>
    </row>
    <row r="94" spans="1:12" s="6" customFormat="1" ht="49.5" x14ac:dyDescent="0.25">
      <c r="A94" s="18">
        <v>34</v>
      </c>
      <c r="B94" s="23" t="s">
        <v>316</v>
      </c>
      <c r="C94" s="23" t="s">
        <v>317</v>
      </c>
      <c r="D94" s="20" t="s">
        <v>0</v>
      </c>
      <c r="E94" s="20">
        <v>0</v>
      </c>
      <c r="F94" s="20">
        <v>0</v>
      </c>
      <c r="G94" s="121">
        <f t="shared" si="0"/>
        <v>0</v>
      </c>
      <c r="H94" s="125">
        <v>10</v>
      </c>
      <c r="I94" s="20"/>
      <c r="J94" s="23" t="s">
        <v>569</v>
      </c>
      <c r="K94" s="123"/>
      <c r="L94" s="19" t="s">
        <v>88</v>
      </c>
    </row>
    <row r="95" spans="1:12" s="6" customFormat="1" ht="82.5" x14ac:dyDescent="0.25">
      <c r="A95" s="18">
        <v>35</v>
      </c>
      <c r="B95" s="23" t="s">
        <v>318</v>
      </c>
      <c r="C95" s="23" t="s">
        <v>319</v>
      </c>
      <c r="D95" s="20" t="s">
        <v>0</v>
      </c>
      <c r="E95" s="20">
        <v>2</v>
      </c>
      <c r="F95" s="20">
        <v>0</v>
      </c>
      <c r="G95" s="121">
        <f t="shared" si="0"/>
        <v>2</v>
      </c>
      <c r="H95" s="125">
        <v>2</v>
      </c>
      <c r="I95" s="20"/>
      <c r="J95" s="23" t="s">
        <v>569</v>
      </c>
      <c r="K95" s="123"/>
      <c r="L95" s="19" t="s">
        <v>88</v>
      </c>
    </row>
    <row r="96" spans="1:12" s="6" customFormat="1" ht="82.5" x14ac:dyDescent="0.25">
      <c r="A96" s="18">
        <v>36</v>
      </c>
      <c r="B96" s="23" t="s">
        <v>320</v>
      </c>
      <c r="C96" s="23" t="s">
        <v>321</v>
      </c>
      <c r="D96" s="20" t="s">
        <v>0</v>
      </c>
      <c r="E96" s="20">
        <v>4</v>
      </c>
      <c r="F96" s="20">
        <v>0</v>
      </c>
      <c r="G96" s="121">
        <f t="shared" si="0"/>
        <v>4</v>
      </c>
      <c r="H96" s="125">
        <v>4</v>
      </c>
      <c r="I96" s="20"/>
      <c r="J96" s="23" t="s">
        <v>569</v>
      </c>
      <c r="K96" s="123"/>
      <c r="L96" s="19" t="s">
        <v>88</v>
      </c>
    </row>
    <row r="97" spans="1:12" s="6" customFormat="1" ht="99" x14ac:dyDescent="0.25">
      <c r="A97" s="18">
        <v>37</v>
      </c>
      <c r="B97" s="23" t="s">
        <v>322</v>
      </c>
      <c r="C97" s="23" t="s">
        <v>323</v>
      </c>
      <c r="D97" s="20" t="s">
        <v>0</v>
      </c>
      <c r="E97" s="20">
        <v>2</v>
      </c>
      <c r="F97" s="20">
        <v>0</v>
      </c>
      <c r="G97" s="121">
        <f t="shared" si="0"/>
        <v>2</v>
      </c>
      <c r="H97" s="125">
        <v>2</v>
      </c>
      <c r="I97" s="20"/>
      <c r="J97" s="23" t="s">
        <v>569</v>
      </c>
      <c r="K97" s="123"/>
      <c r="L97" s="19" t="s">
        <v>88</v>
      </c>
    </row>
    <row r="98" spans="1:12" s="6" customFormat="1" ht="66" x14ac:dyDescent="0.25">
      <c r="A98" s="18">
        <v>38</v>
      </c>
      <c r="B98" s="23" t="s">
        <v>194</v>
      </c>
      <c r="C98" s="23" t="s">
        <v>324</v>
      </c>
      <c r="D98" s="20" t="s">
        <v>0</v>
      </c>
      <c r="E98" s="20">
        <v>0</v>
      </c>
      <c r="F98" s="20">
        <v>0</v>
      </c>
      <c r="G98" s="121">
        <f t="shared" ref="G98:G182" si="1">E98-F98</f>
        <v>0</v>
      </c>
      <c r="H98" s="125">
        <v>2</v>
      </c>
      <c r="I98" s="20"/>
      <c r="J98" s="23" t="s">
        <v>569</v>
      </c>
      <c r="K98" s="123"/>
      <c r="L98" s="19" t="s">
        <v>88</v>
      </c>
    </row>
    <row r="99" spans="1:12" s="6" customFormat="1" ht="49.5" x14ac:dyDescent="0.25">
      <c r="A99" s="18">
        <v>39</v>
      </c>
      <c r="B99" s="23" t="s">
        <v>325</v>
      </c>
      <c r="C99" s="23" t="s">
        <v>326</v>
      </c>
      <c r="D99" s="20" t="s">
        <v>0</v>
      </c>
      <c r="E99" s="20">
        <v>20</v>
      </c>
      <c r="F99" s="20">
        <v>0</v>
      </c>
      <c r="G99" s="121">
        <f t="shared" si="1"/>
        <v>20</v>
      </c>
      <c r="H99" s="125">
        <v>1</v>
      </c>
      <c r="I99" s="20"/>
      <c r="J99" s="23" t="s">
        <v>569</v>
      </c>
      <c r="K99" s="123"/>
      <c r="L99" s="19" t="s">
        <v>88</v>
      </c>
    </row>
    <row r="100" spans="1:12" s="6" customFormat="1" ht="49.5" x14ac:dyDescent="0.25">
      <c r="A100" s="18">
        <v>40</v>
      </c>
      <c r="B100" s="23" t="s">
        <v>559</v>
      </c>
      <c r="C100" s="23" t="s">
        <v>560</v>
      </c>
      <c r="D100" s="20" t="s">
        <v>0</v>
      </c>
      <c r="E100" s="20">
        <v>0</v>
      </c>
      <c r="F100" s="20">
        <v>4</v>
      </c>
      <c r="G100" s="121">
        <v>0</v>
      </c>
      <c r="H100" s="125">
        <v>0</v>
      </c>
      <c r="I100" s="20"/>
      <c r="J100" s="23" t="s">
        <v>569</v>
      </c>
      <c r="K100" s="123"/>
      <c r="L100" s="19"/>
    </row>
    <row r="101" spans="1:12" s="6" customFormat="1" ht="49.5" x14ac:dyDescent="0.25">
      <c r="A101" s="18">
        <v>41</v>
      </c>
      <c r="B101" s="23" t="s">
        <v>327</v>
      </c>
      <c r="C101" s="23" t="s">
        <v>328</v>
      </c>
      <c r="D101" s="20" t="s">
        <v>0</v>
      </c>
      <c r="E101" s="20">
        <v>6</v>
      </c>
      <c r="F101" s="20">
        <v>0</v>
      </c>
      <c r="G101" s="121">
        <f t="shared" si="1"/>
        <v>6</v>
      </c>
      <c r="H101" s="125">
        <v>2</v>
      </c>
      <c r="I101" s="20"/>
      <c r="J101" s="23" t="s">
        <v>569</v>
      </c>
      <c r="K101" s="123"/>
      <c r="L101" s="19" t="s">
        <v>88</v>
      </c>
    </row>
    <row r="102" spans="1:12" s="6" customFormat="1" ht="49.5" x14ac:dyDescent="0.25">
      <c r="A102" s="18">
        <v>42</v>
      </c>
      <c r="B102" s="23" t="s">
        <v>329</v>
      </c>
      <c r="C102" s="23" t="s">
        <v>330</v>
      </c>
      <c r="D102" s="20" t="s">
        <v>0</v>
      </c>
      <c r="E102" s="20">
        <v>0</v>
      </c>
      <c r="F102" s="20">
        <v>0</v>
      </c>
      <c r="G102" s="121">
        <f t="shared" si="1"/>
        <v>0</v>
      </c>
      <c r="H102" s="125">
        <v>2</v>
      </c>
      <c r="I102" s="20"/>
      <c r="J102" s="23" t="s">
        <v>569</v>
      </c>
      <c r="K102" s="123"/>
      <c r="L102" s="19" t="s">
        <v>88</v>
      </c>
    </row>
    <row r="103" spans="1:12" s="6" customFormat="1" ht="33" x14ac:dyDescent="0.25">
      <c r="A103" s="18">
        <v>43</v>
      </c>
      <c r="B103" s="23" t="s">
        <v>331</v>
      </c>
      <c r="C103" s="23" t="s">
        <v>332</v>
      </c>
      <c r="D103" s="20" t="s">
        <v>0</v>
      </c>
      <c r="E103" s="20">
        <v>4</v>
      </c>
      <c r="F103" s="20">
        <v>0</v>
      </c>
      <c r="G103" s="121">
        <f t="shared" si="1"/>
        <v>4</v>
      </c>
      <c r="H103" s="125">
        <v>2</v>
      </c>
      <c r="I103" s="20"/>
      <c r="J103" s="23" t="s">
        <v>569</v>
      </c>
      <c r="K103" s="123"/>
      <c r="L103" s="19" t="s">
        <v>88</v>
      </c>
    </row>
    <row r="104" spans="1:12" s="6" customFormat="1" ht="33" x14ac:dyDescent="0.25">
      <c r="A104" s="18">
        <v>44</v>
      </c>
      <c r="B104" s="23" t="s">
        <v>333</v>
      </c>
      <c r="C104" s="23" t="s">
        <v>334</v>
      </c>
      <c r="D104" s="20" t="s">
        <v>0</v>
      </c>
      <c r="E104" s="20">
        <v>4</v>
      </c>
      <c r="F104" s="20">
        <v>0</v>
      </c>
      <c r="G104" s="121">
        <f t="shared" si="1"/>
        <v>4</v>
      </c>
      <c r="H104" s="125">
        <v>2</v>
      </c>
      <c r="I104" s="20"/>
      <c r="J104" s="23" t="s">
        <v>569</v>
      </c>
      <c r="K104" s="123"/>
      <c r="L104" s="19" t="s">
        <v>88</v>
      </c>
    </row>
    <row r="105" spans="1:12" s="6" customFormat="1" ht="49.5" x14ac:dyDescent="0.25">
      <c r="A105" s="18">
        <v>45</v>
      </c>
      <c r="B105" s="23" t="s">
        <v>335</v>
      </c>
      <c r="C105" s="23" t="s">
        <v>336</v>
      </c>
      <c r="D105" s="20" t="s">
        <v>0</v>
      </c>
      <c r="E105" s="20">
        <v>6</v>
      </c>
      <c r="F105" s="20">
        <v>3</v>
      </c>
      <c r="G105" s="121">
        <f t="shared" si="1"/>
        <v>3</v>
      </c>
      <c r="H105" s="125">
        <v>4</v>
      </c>
      <c r="I105" s="20"/>
      <c r="J105" s="23" t="s">
        <v>569</v>
      </c>
      <c r="K105" s="123"/>
      <c r="L105" s="19" t="s">
        <v>140</v>
      </c>
    </row>
    <row r="106" spans="1:12" s="6" customFormat="1" ht="33" x14ac:dyDescent="0.25">
      <c r="A106" s="18">
        <v>46</v>
      </c>
      <c r="B106" s="23" t="s">
        <v>459</v>
      </c>
      <c r="C106" s="23" t="s">
        <v>460</v>
      </c>
      <c r="D106" s="18" t="s">
        <v>0</v>
      </c>
      <c r="E106" s="20">
        <v>3</v>
      </c>
      <c r="F106" s="20">
        <v>0</v>
      </c>
      <c r="G106" s="121">
        <f t="shared" si="1"/>
        <v>3</v>
      </c>
      <c r="H106" s="125">
        <v>4</v>
      </c>
      <c r="I106" s="20"/>
      <c r="J106" s="23" t="s">
        <v>461</v>
      </c>
      <c r="K106" s="123"/>
      <c r="L106" s="19" t="s">
        <v>140</v>
      </c>
    </row>
    <row r="107" spans="1:12" s="6" customFormat="1" ht="49.5" x14ac:dyDescent="0.25">
      <c r="A107" s="18">
        <v>47</v>
      </c>
      <c r="B107" s="23" t="s">
        <v>462</v>
      </c>
      <c r="C107" s="23" t="s">
        <v>463</v>
      </c>
      <c r="D107" s="18" t="s">
        <v>0</v>
      </c>
      <c r="E107" s="20">
        <v>2</v>
      </c>
      <c r="F107" s="20">
        <v>0</v>
      </c>
      <c r="G107" s="121">
        <f t="shared" si="1"/>
        <v>2</v>
      </c>
      <c r="H107" s="125">
        <v>2</v>
      </c>
      <c r="I107" s="20"/>
      <c r="J107" s="23" t="s">
        <v>464</v>
      </c>
      <c r="K107" s="123"/>
      <c r="L107" s="19" t="s">
        <v>140</v>
      </c>
    </row>
    <row r="108" spans="1:12" s="6" customFormat="1" ht="99" x14ac:dyDescent="0.25">
      <c r="A108" s="18">
        <v>48</v>
      </c>
      <c r="B108" s="23" t="s">
        <v>91</v>
      </c>
      <c r="C108" s="23" t="s">
        <v>337</v>
      </c>
      <c r="D108" s="20" t="s">
        <v>0</v>
      </c>
      <c r="E108" s="20">
        <v>120</v>
      </c>
      <c r="F108" s="20">
        <v>0</v>
      </c>
      <c r="G108" s="121">
        <f t="shared" si="1"/>
        <v>120</v>
      </c>
      <c r="H108" s="125">
        <v>6</v>
      </c>
      <c r="I108" s="20"/>
      <c r="J108" s="23" t="s">
        <v>98</v>
      </c>
      <c r="K108" s="123"/>
      <c r="L108" s="19" t="s">
        <v>88</v>
      </c>
    </row>
    <row r="109" spans="1:12" s="6" customFormat="1" ht="66" x14ac:dyDescent="0.25">
      <c r="A109" s="18">
        <v>49</v>
      </c>
      <c r="B109" s="23" t="s">
        <v>338</v>
      </c>
      <c r="C109" s="23" t="s">
        <v>339</v>
      </c>
      <c r="D109" s="20" t="s">
        <v>0</v>
      </c>
      <c r="E109" s="20">
        <v>60</v>
      </c>
      <c r="F109" s="20">
        <v>0</v>
      </c>
      <c r="G109" s="121">
        <f t="shared" si="1"/>
        <v>60</v>
      </c>
      <c r="H109" s="125">
        <v>0</v>
      </c>
      <c r="I109" s="20"/>
      <c r="J109" s="23" t="s">
        <v>569</v>
      </c>
      <c r="K109" s="123"/>
      <c r="L109" s="19" t="s">
        <v>88</v>
      </c>
    </row>
    <row r="110" spans="1:12" s="6" customFormat="1" ht="66" x14ac:dyDescent="0.25">
      <c r="A110" s="18">
        <v>50</v>
      </c>
      <c r="B110" s="23" t="s">
        <v>340</v>
      </c>
      <c r="C110" s="23" t="s">
        <v>341</v>
      </c>
      <c r="D110" s="20" t="s">
        <v>0</v>
      </c>
      <c r="E110" s="20">
        <v>0</v>
      </c>
      <c r="F110" s="20">
        <v>0</v>
      </c>
      <c r="G110" s="121">
        <f t="shared" si="1"/>
        <v>0</v>
      </c>
      <c r="H110" s="125">
        <v>8</v>
      </c>
      <c r="I110" s="20"/>
      <c r="J110" s="23" t="s">
        <v>569</v>
      </c>
      <c r="K110" s="123"/>
      <c r="L110" s="19" t="s">
        <v>88</v>
      </c>
    </row>
    <row r="111" spans="1:12" s="6" customFormat="1" ht="115.5" x14ac:dyDescent="0.25">
      <c r="A111" s="18">
        <v>51</v>
      </c>
      <c r="B111" s="23" t="s">
        <v>342</v>
      </c>
      <c r="C111" s="23" t="s">
        <v>343</v>
      </c>
      <c r="D111" s="20" t="s">
        <v>0</v>
      </c>
      <c r="E111" s="20">
        <v>4</v>
      </c>
      <c r="F111" s="20">
        <v>0</v>
      </c>
      <c r="G111" s="121">
        <f t="shared" si="1"/>
        <v>4</v>
      </c>
      <c r="H111" s="125">
        <v>4</v>
      </c>
      <c r="I111" s="20"/>
      <c r="J111" s="23" t="s">
        <v>569</v>
      </c>
      <c r="K111" s="123"/>
      <c r="L111" s="19" t="s">
        <v>88</v>
      </c>
    </row>
    <row r="112" spans="1:12" s="6" customFormat="1" ht="99" x14ac:dyDescent="0.25">
      <c r="A112" s="18">
        <v>52</v>
      </c>
      <c r="B112" s="23" t="s">
        <v>91</v>
      </c>
      <c r="C112" s="23" t="s">
        <v>337</v>
      </c>
      <c r="D112" s="20" t="s">
        <v>0</v>
      </c>
      <c r="E112" s="20">
        <v>0</v>
      </c>
      <c r="F112" s="20">
        <v>180</v>
      </c>
      <c r="G112" s="121">
        <v>0</v>
      </c>
      <c r="H112" s="125">
        <v>0</v>
      </c>
      <c r="I112" s="20"/>
      <c r="J112" s="23" t="s">
        <v>569</v>
      </c>
      <c r="K112" s="123"/>
      <c r="L112" s="19"/>
    </row>
    <row r="113" spans="1:12" s="6" customFormat="1" ht="115.5" x14ac:dyDescent="0.25">
      <c r="A113" s="18">
        <v>53</v>
      </c>
      <c r="B113" s="23" t="s">
        <v>65</v>
      </c>
      <c r="C113" s="23" t="s">
        <v>129</v>
      </c>
      <c r="D113" s="20" t="s">
        <v>0</v>
      </c>
      <c r="E113" s="20">
        <v>32</v>
      </c>
      <c r="F113" s="20">
        <v>0</v>
      </c>
      <c r="G113" s="121">
        <f t="shared" si="1"/>
        <v>32</v>
      </c>
      <c r="H113" s="125">
        <v>6</v>
      </c>
      <c r="I113" s="20"/>
      <c r="J113" s="23" t="s">
        <v>569</v>
      </c>
      <c r="K113" s="123"/>
      <c r="L113" s="19" t="s">
        <v>88</v>
      </c>
    </row>
    <row r="114" spans="1:12" s="6" customFormat="1" ht="115.5" x14ac:dyDescent="0.25">
      <c r="A114" s="18">
        <v>54</v>
      </c>
      <c r="B114" s="23" t="s">
        <v>344</v>
      </c>
      <c r="C114" s="23" t="s">
        <v>345</v>
      </c>
      <c r="D114" s="20" t="s">
        <v>0</v>
      </c>
      <c r="E114" s="20">
        <v>8</v>
      </c>
      <c r="F114" s="20">
        <v>0</v>
      </c>
      <c r="G114" s="121">
        <f t="shared" si="1"/>
        <v>8</v>
      </c>
      <c r="H114" s="125">
        <v>12</v>
      </c>
      <c r="I114" s="20"/>
      <c r="J114" s="23" t="s">
        <v>569</v>
      </c>
      <c r="K114" s="123"/>
      <c r="L114" s="19" t="s">
        <v>88</v>
      </c>
    </row>
    <row r="115" spans="1:12" s="6" customFormat="1" ht="99" x14ac:dyDescent="0.25">
      <c r="A115" s="18">
        <v>55</v>
      </c>
      <c r="B115" s="23" t="s">
        <v>346</v>
      </c>
      <c r="C115" s="23" t="s">
        <v>347</v>
      </c>
      <c r="D115" s="20" t="s">
        <v>0</v>
      </c>
      <c r="E115" s="20">
        <v>8</v>
      </c>
      <c r="F115" s="20">
        <v>0</v>
      </c>
      <c r="G115" s="121">
        <f t="shared" si="1"/>
        <v>8</v>
      </c>
      <c r="H115" s="125">
        <v>12</v>
      </c>
      <c r="I115" s="20"/>
      <c r="J115" s="23" t="s">
        <v>569</v>
      </c>
      <c r="K115" s="123"/>
      <c r="L115" s="19" t="s">
        <v>88</v>
      </c>
    </row>
    <row r="116" spans="1:12" s="6" customFormat="1" ht="99" x14ac:dyDescent="0.25">
      <c r="A116" s="18">
        <v>56</v>
      </c>
      <c r="B116" s="23" t="s">
        <v>348</v>
      </c>
      <c r="C116" s="23" t="s">
        <v>349</v>
      </c>
      <c r="D116" s="20" t="s">
        <v>0</v>
      </c>
      <c r="E116" s="20">
        <v>0</v>
      </c>
      <c r="F116" s="20">
        <v>0</v>
      </c>
      <c r="G116" s="121">
        <f t="shared" si="1"/>
        <v>0</v>
      </c>
      <c r="H116" s="125">
        <v>2</v>
      </c>
      <c r="I116" s="20"/>
      <c r="J116" s="23" t="s">
        <v>569</v>
      </c>
      <c r="K116" s="123"/>
      <c r="L116" s="19" t="s">
        <v>88</v>
      </c>
    </row>
    <row r="117" spans="1:12" s="6" customFormat="1" ht="49.5" x14ac:dyDescent="0.25">
      <c r="A117" s="18">
        <v>57</v>
      </c>
      <c r="B117" s="23" t="s">
        <v>350</v>
      </c>
      <c r="C117" s="23" t="s">
        <v>351</v>
      </c>
      <c r="D117" s="20" t="s">
        <v>0</v>
      </c>
      <c r="E117" s="20">
        <v>8</v>
      </c>
      <c r="F117" s="20">
        <v>0</v>
      </c>
      <c r="G117" s="121">
        <f t="shared" si="1"/>
        <v>8</v>
      </c>
      <c r="H117" s="125">
        <v>2</v>
      </c>
      <c r="I117" s="20"/>
      <c r="J117" s="23" t="s">
        <v>569</v>
      </c>
      <c r="K117" s="123"/>
      <c r="L117" s="19" t="s">
        <v>88</v>
      </c>
    </row>
    <row r="118" spans="1:12" s="6" customFormat="1" ht="33" x14ac:dyDescent="0.25">
      <c r="A118" s="18">
        <v>58</v>
      </c>
      <c r="B118" s="23" t="s">
        <v>352</v>
      </c>
      <c r="C118" s="23" t="s">
        <v>353</v>
      </c>
      <c r="D118" s="20" t="s">
        <v>0</v>
      </c>
      <c r="E118" s="20">
        <v>62</v>
      </c>
      <c r="F118" s="20">
        <v>0</v>
      </c>
      <c r="G118" s="121">
        <f t="shared" si="1"/>
        <v>62</v>
      </c>
      <c r="H118" s="125">
        <v>31</v>
      </c>
      <c r="I118" s="20"/>
      <c r="J118" s="23" t="s">
        <v>569</v>
      </c>
      <c r="K118" s="123"/>
      <c r="L118" s="19" t="s">
        <v>88</v>
      </c>
    </row>
    <row r="119" spans="1:12" s="6" customFormat="1" ht="66" x14ac:dyDescent="0.25">
      <c r="A119" s="18">
        <v>59</v>
      </c>
      <c r="B119" s="23" t="s">
        <v>188</v>
      </c>
      <c r="C119" s="23" t="s">
        <v>354</v>
      </c>
      <c r="D119" s="20" t="s">
        <v>0</v>
      </c>
      <c r="E119" s="20">
        <v>62</v>
      </c>
      <c r="F119" s="20">
        <v>31</v>
      </c>
      <c r="G119" s="121">
        <f t="shared" si="1"/>
        <v>31</v>
      </c>
      <c r="H119" s="125">
        <v>62</v>
      </c>
      <c r="I119" s="20"/>
      <c r="J119" s="23" t="s">
        <v>569</v>
      </c>
      <c r="K119" s="123"/>
      <c r="L119" s="19" t="s">
        <v>88</v>
      </c>
    </row>
    <row r="120" spans="1:12" s="6" customFormat="1" ht="66" x14ac:dyDescent="0.25">
      <c r="A120" s="18">
        <v>60</v>
      </c>
      <c r="B120" s="23" t="s">
        <v>155</v>
      </c>
      <c r="C120" s="23" t="s">
        <v>60</v>
      </c>
      <c r="D120" s="20" t="s">
        <v>0</v>
      </c>
      <c r="E120" s="20">
        <v>20</v>
      </c>
      <c r="F120" s="20">
        <v>6</v>
      </c>
      <c r="G120" s="121">
        <f t="shared" si="1"/>
        <v>14</v>
      </c>
      <c r="H120" s="125">
        <v>4</v>
      </c>
      <c r="I120" s="20"/>
      <c r="J120" s="23" t="s">
        <v>569</v>
      </c>
      <c r="K120" s="123"/>
      <c r="L120" s="19" t="s">
        <v>88</v>
      </c>
    </row>
    <row r="121" spans="1:12" s="6" customFormat="1" x14ac:dyDescent="0.25">
      <c r="A121" s="18">
        <v>61</v>
      </c>
      <c r="B121" s="23" t="s">
        <v>355</v>
      </c>
      <c r="C121" s="23" t="s">
        <v>356</v>
      </c>
      <c r="D121" s="20" t="s">
        <v>0</v>
      </c>
      <c r="E121" s="20">
        <v>8</v>
      </c>
      <c r="F121" s="20">
        <v>0</v>
      </c>
      <c r="G121" s="121">
        <f t="shared" si="1"/>
        <v>8</v>
      </c>
      <c r="H121" s="125">
        <v>2</v>
      </c>
      <c r="I121" s="20"/>
      <c r="J121" s="23" t="s">
        <v>569</v>
      </c>
      <c r="K121" s="123"/>
      <c r="L121" s="19" t="s">
        <v>88</v>
      </c>
    </row>
    <row r="122" spans="1:12" s="6" customFormat="1" ht="66" x14ac:dyDescent="0.25">
      <c r="A122" s="18">
        <v>62</v>
      </c>
      <c r="B122" s="23" t="s">
        <v>357</v>
      </c>
      <c r="C122" s="23" t="s">
        <v>358</v>
      </c>
      <c r="D122" s="20" t="s">
        <v>0</v>
      </c>
      <c r="E122" s="20">
        <v>8</v>
      </c>
      <c r="F122" s="20">
        <v>0</v>
      </c>
      <c r="G122" s="121">
        <f t="shared" si="1"/>
        <v>8</v>
      </c>
      <c r="H122" s="125">
        <v>2</v>
      </c>
      <c r="I122" s="20"/>
      <c r="J122" s="23" t="s">
        <v>569</v>
      </c>
      <c r="K122" s="123"/>
      <c r="L122" s="19" t="s">
        <v>88</v>
      </c>
    </row>
    <row r="123" spans="1:12" s="6" customFormat="1" ht="99" x14ac:dyDescent="0.25">
      <c r="A123" s="18">
        <v>63</v>
      </c>
      <c r="B123" s="23" t="s">
        <v>359</v>
      </c>
      <c r="C123" s="23" t="s">
        <v>360</v>
      </c>
      <c r="D123" s="20" t="s">
        <v>0</v>
      </c>
      <c r="E123" s="20">
        <v>18</v>
      </c>
      <c r="F123" s="20">
        <v>0</v>
      </c>
      <c r="G123" s="121">
        <f t="shared" si="1"/>
        <v>18</v>
      </c>
      <c r="H123" s="125">
        <v>10</v>
      </c>
      <c r="I123" s="20"/>
      <c r="J123" s="23" t="s">
        <v>569</v>
      </c>
      <c r="K123" s="123"/>
      <c r="L123" s="19" t="s">
        <v>88</v>
      </c>
    </row>
    <row r="124" spans="1:12" s="6" customFormat="1" ht="66" x14ac:dyDescent="0.25">
      <c r="A124" s="18">
        <v>64</v>
      </c>
      <c r="B124" s="84" t="s">
        <v>557</v>
      </c>
      <c r="C124" s="84" t="s">
        <v>558</v>
      </c>
      <c r="D124" s="20" t="s">
        <v>0</v>
      </c>
      <c r="E124" s="20">
        <v>0</v>
      </c>
      <c r="F124" s="20">
        <v>2</v>
      </c>
      <c r="G124" s="121">
        <v>0</v>
      </c>
      <c r="H124" s="125">
        <v>0</v>
      </c>
      <c r="I124" s="20"/>
      <c r="J124" s="23" t="s">
        <v>569</v>
      </c>
      <c r="K124" s="123"/>
      <c r="L124" s="19" t="s">
        <v>88</v>
      </c>
    </row>
    <row r="125" spans="1:12" s="6" customFormat="1" ht="82.5" x14ac:dyDescent="0.25">
      <c r="A125" s="18">
        <v>65</v>
      </c>
      <c r="B125" s="75" t="s">
        <v>29</v>
      </c>
      <c r="C125" s="75" t="s">
        <v>37</v>
      </c>
      <c r="D125" s="73" t="s">
        <v>0</v>
      </c>
      <c r="E125" s="73">
        <v>6</v>
      </c>
      <c r="F125" s="73">
        <v>0</v>
      </c>
      <c r="G125" s="121">
        <f t="shared" si="1"/>
        <v>6</v>
      </c>
      <c r="H125" s="125">
        <v>6</v>
      </c>
      <c r="I125" s="20"/>
      <c r="J125" s="23" t="s">
        <v>569</v>
      </c>
      <c r="K125" s="123"/>
      <c r="L125" s="19" t="s">
        <v>88</v>
      </c>
    </row>
    <row r="126" spans="1:12" s="6" customFormat="1" ht="99" x14ac:dyDescent="0.25">
      <c r="A126" s="18">
        <v>66</v>
      </c>
      <c r="B126" s="23" t="s">
        <v>361</v>
      </c>
      <c r="C126" s="23" t="s">
        <v>362</v>
      </c>
      <c r="D126" s="20" t="s">
        <v>0</v>
      </c>
      <c r="E126" s="20">
        <v>12</v>
      </c>
      <c r="F126" s="20">
        <v>4</v>
      </c>
      <c r="G126" s="121">
        <f t="shared" si="1"/>
        <v>8</v>
      </c>
      <c r="H126" s="125">
        <v>6</v>
      </c>
      <c r="I126" s="20"/>
      <c r="J126" s="23" t="s">
        <v>569</v>
      </c>
      <c r="K126" s="123"/>
      <c r="L126" s="19" t="s">
        <v>88</v>
      </c>
    </row>
    <row r="127" spans="1:12" s="6" customFormat="1" ht="66" x14ac:dyDescent="0.25">
      <c r="A127" s="18">
        <v>67</v>
      </c>
      <c r="B127" s="23" t="s">
        <v>363</v>
      </c>
      <c r="C127" s="23" t="s">
        <v>364</v>
      </c>
      <c r="D127" s="20" t="s">
        <v>0</v>
      </c>
      <c r="E127" s="20">
        <v>32</v>
      </c>
      <c r="F127" s="20">
        <v>0</v>
      </c>
      <c r="G127" s="121">
        <f t="shared" si="1"/>
        <v>32</v>
      </c>
      <c r="H127" s="125">
        <v>0</v>
      </c>
      <c r="I127" s="20"/>
      <c r="J127" s="23"/>
      <c r="K127" s="123"/>
      <c r="L127" s="19"/>
    </row>
    <row r="128" spans="1:12" s="6" customFormat="1" ht="49.5" x14ac:dyDescent="0.25">
      <c r="A128" s="18">
        <v>68</v>
      </c>
      <c r="B128" s="23" t="s">
        <v>365</v>
      </c>
      <c r="C128" s="23" t="s">
        <v>366</v>
      </c>
      <c r="D128" s="20" t="s">
        <v>0</v>
      </c>
      <c r="E128" s="20">
        <v>6</v>
      </c>
      <c r="F128" s="20">
        <v>0</v>
      </c>
      <c r="G128" s="121">
        <f t="shared" si="1"/>
        <v>6</v>
      </c>
      <c r="H128" s="125">
        <v>2</v>
      </c>
      <c r="I128" s="20"/>
      <c r="J128" s="23" t="s">
        <v>569</v>
      </c>
      <c r="K128" s="123"/>
      <c r="L128" s="19" t="s">
        <v>88</v>
      </c>
    </row>
    <row r="129" spans="1:12" s="9" customFormat="1" x14ac:dyDescent="0.25">
      <c r="A129" s="154" t="s">
        <v>20</v>
      </c>
      <c r="B129" s="45"/>
      <c r="C129" s="45"/>
      <c r="D129" s="46"/>
      <c r="E129" s="46"/>
      <c r="F129" s="46"/>
      <c r="G129" s="121"/>
      <c r="H129" s="119"/>
      <c r="I129" s="46"/>
      <c r="J129" s="47"/>
      <c r="K129" s="120"/>
      <c r="L129" s="48"/>
    </row>
    <row r="130" spans="1:12" s="6" customFormat="1" ht="66" x14ac:dyDescent="0.25">
      <c r="A130" s="18">
        <v>1</v>
      </c>
      <c r="B130" s="19" t="s">
        <v>49</v>
      </c>
      <c r="C130" s="23" t="s">
        <v>50</v>
      </c>
      <c r="D130" s="18" t="s">
        <v>51</v>
      </c>
      <c r="E130" s="18">
        <v>40</v>
      </c>
      <c r="F130" s="18">
        <v>22</v>
      </c>
      <c r="G130" s="121">
        <f t="shared" si="1"/>
        <v>18</v>
      </c>
      <c r="H130" s="85">
        <v>75</v>
      </c>
      <c r="I130" s="18"/>
      <c r="J130" s="23" t="s">
        <v>181</v>
      </c>
      <c r="K130" s="124">
        <v>0</v>
      </c>
      <c r="L130" s="19" t="s">
        <v>48</v>
      </c>
    </row>
    <row r="131" spans="1:12" s="6" customFormat="1" ht="49.5" x14ac:dyDescent="0.25">
      <c r="A131" s="18">
        <v>2</v>
      </c>
      <c r="B131" s="19" t="s">
        <v>166</v>
      </c>
      <c r="C131" s="23" t="s">
        <v>167</v>
      </c>
      <c r="D131" s="18" t="s">
        <v>51</v>
      </c>
      <c r="E131" s="18">
        <v>260</v>
      </c>
      <c r="F131" s="18">
        <v>0</v>
      </c>
      <c r="G131" s="121">
        <f t="shared" si="1"/>
        <v>260</v>
      </c>
      <c r="H131" s="85">
        <v>100</v>
      </c>
      <c r="I131" s="18"/>
      <c r="J131" s="23" t="s">
        <v>168</v>
      </c>
      <c r="K131" s="124">
        <v>4</v>
      </c>
      <c r="L131" s="19" t="s">
        <v>140</v>
      </c>
    </row>
    <row r="132" spans="1:12" s="6" customFormat="1" ht="33" x14ac:dyDescent="0.25">
      <c r="A132" s="18">
        <v>3</v>
      </c>
      <c r="B132" s="19" t="s">
        <v>130</v>
      </c>
      <c r="C132" s="19" t="s">
        <v>131</v>
      </c>
      <c r="D132" s="18" t="s">
        <v>66</v>
      </c>
      <c r="E132" s="18">
        <v>210344.50715200003</v>
      </c>
      <c r="F132" s="18">
        <v>88534.94200000001</v>
      </c>
      <c r="G132" s="121">
        <f t="shared" si="1"/>
        <v>121809.56515200002</v>
      </c>
      <c r="H132" s="122">
        <v>15000</v>
      </c>
      <c r="I132" s="20"/>
      <c r="J132" s="22" t="s">
        <v>132</v>
      </c>
      <c r="K132" s="124">
        <v>59795.58</v>
      </c>
      <c r="L132" s="19" t="s">
        <v>76</v>
      </c>
    </row>
    <row r="133" spans="1:12" s="6" customFormat="1" ht="49.5" x14ac:dyDescent="0.25">
      <c r="A133" s="18">
        <v>4</v>
      </c>
      <c r="B133" s="19" t="s">
        <v>67</v>
      </c>
      <c r="C133" s="23" t="s">
        <v>68</v>
      </c>
      <c r="D133" s="18" t="s">
        <v>66</v>
      </c>
      <c r="E133" s="18">
        <v>70533.213333333304</v>
      </c>
      <c r="F133" s="18">
        <v>32347.45</v>
      </c>
      <c r="G133" s="121">
        <f t="shared" si="1"/>
        <v>38185.763333333307</v>
      </c>
      <c r="H133" s="122">
        <v>6000</v>
      </c>
      <c r="I133" s="20"/>
      <c r="J133" s="23" t="s">
        <v>134</v>
      </c>
      <c r="K133" s="123" t="s">
        <v>135</v>
      </c>
      <c r="L133" s="19" t="s">
        <v>76</v>
      </c>
    </row>
    <row r="134" spans="1:12" s="6" customFormat="1" ht="33" x14ac:dyDescent="0.25">
      <c r="A134" s="18">
        <v>5</v>
      </c>
      <c r="B134" s="19" t="s">
        <v>40</v>
      </c>
      <c r="C134" s="19" t="s">
        <v>1</v>
      </c>
      <c r="D134" s="18" t="s">
        <v>2</v>
      </c>
      <c r="E134" s="18">
        <v>76275.609756097605</v>
      </c>
      <c r="F134" s="18">
        <v>14000</v>
      </c>
      <c r="G134" s="121">
        <f t="shared" si="1"/>
        <v>62275.609756097605</v>
      </c>
      <c r="H134" s="122">
        <v>3000</v>
      </c>
      <c r="I134" s="18"/>
      <c r="J134" s="22" t="s">
        <v>215</v>
      </c>
      <c r="K134" s="123">
        <v>900</v>
      </c>
      <c r="L134" s="19" t="s">
        <v>48</v>
      </c>
    </row>
    <row r="135" spans="1:12" s="6" customFormat="1" ht="49.5" x14ac:dyDescent="0.25">
      <c r="A135" s="18">
        <v>6</v>
      </c>
      <c r="B135" s="19" t="s">
        <v>212</v>
      </c>
      <c r="C135" s="19" t="s">
        <v>213</v>
      </c>
      <c r="D135" s="18" t="s">
        <v>59</v>
      </c>
      <c r="E135" s="18">
        <v>0</v>
      </c>
      <c r="F135" s="18">
        <v>10</v>
      </c>
      <c r="G135" s="121">
        <v>0</v>
      </c>
      <c r="H135" s="122">
        <v>0</v>
      </c>
      <c r="I135" s="18"/>
      <c r="J135" s="22" t="s">
        <v>214</v>
      </c>
      <c r="K135" s="123"/>
      <c r="L135" s="19" t="s">
        <v>76</v>
      </c>
    </row>
    <row r="136" spans="1:12" s="6" customFormat="1" ht="33" x14ac:dyDescent="0.25">
      <c r="A136" s="18">
        <v>7</v>
      </c>
      <c r="B136" s="19" t="s">
        <v>69</v>
      </c>
      <c r="C136" s="23" t="s">
        <v>70</v>
      </c>
      <c r="D136" s="18" t="s">
        <v>66</v>
      </c>
      <c r="E136" s="18">
        <v>5937653.7398247998</v>
      </c>
      <c r="F136" s="18">
        <v>2476777</v>
      </c>
      <c r="G136" s="121">
        <f t="shared" si="1"/>
        <v>3460876.7398247998</v>
      </c>
      <c r="H136" s="122">
        <v>900000</v>
      </c>
      <c r="I136" s="18"/>
      <c r="J136" s="23" t="s">
        <v>71</v>
      </c>
      <c r="K136" s="123">
        <v>139205.71</v>
      </c>
      <c r="L136" s="19" t="s">
        <v>76</v>
      </c>
    </row>
    <row r="137" spans="1:12" s="6" customFormat="1" ht="33" x14ac:dyDescent="0.25">
      <c r="A137" s="18">
        <v>8</v>
      </c>
      <c r="B137" s="19" t="s">
        <v>72</v>
      </c>
      <c r="C137" s="19" t="s">
        <v>73</v>
      </c>
      <c r="D137" s="18" t="s">
        <v>66</v>
      </c>
      <c r="E137" s="18">
        <v>214379.59804920002</v>
      </c>
      <c r="F137" s="18">
        <v>93527.63</v>
      </c>
      <c r="G137" s="121">
        <f t="shared" si="1"/>
        <v>120851.96804920002</v>
      </c>
      <c r="H137" s="122">
        <v>15000</v>
      </c>
      <c r="I137" s="20"/>
      <c r="J137" s="22" t="s">
        <v>126</v>
      </c>
      <c r="K137" s="124">
        <v>79418.679999999993</v>
      </c>
      <c r="L137" s="19" t="s">
        <v>76</v>
      </c>
    </row>
    <row r="138" spans="1:12" s="6" customFormat="1" ht="33" x14ac:dyDescent="0.25">
      <c r="A138" s="18">
        <v>9</v>
      </c>
      <c r="B138" s="4" t="s">
        <v>137</v>
      </c>
      <c r="C138" s="2" t="s">
        <v>138</v>
      </c>
      <c r="D138" s="1" t="s">
        <v>66</v>
      </c>
      <c r="E138" s="1">
        <v>110000</v>
      </c>
      <c r="F138" s="1">
        <v>11773.59</v>
      </c>
      <c r="G138" s="121">
        <f t="shared" si="1"/>
        <v>98226.41</v>
      </c>
      <c r="H138" s="131">
        <v>9000</v>
      </c>
      <c r="I138" s="18"/>
      <c r="J138" s="2" t="s">
        <v>139</v>
      </c>
      <c r="K138" s="123"/>
      <c r="L138" s="19" t="s">
        <v>140</v>
      </c>
    </row>
    <row r="139" spans="1:12" s="6" customFormat="1" ht="49.5" x14ac:dyDescent="0.25">
      <c r="A139" s="18">
        <v>10</v>
      </c>
      <c r="B139" s="23" t="s">
        <v>144</v>
      </c>
      <c r="C139" s="23" t="s">
        <v>145</v>
      </c>
      <c r="D139" s="132" t="s">
        <v>66</v>
      </c>
      <c r="E139" s="133">
        <v>219684</v>
      </c>
      <c r="F139" s="132">
        <v>46965</v>
      </c>
      <c r="G139" s="134">
        <f t="shared" si="1"/>
        <v>172719</v>
      </c>
      <c r="H139" s="135">
        <v>10000</v>
      </c>
      <c r="I139" s="52"/>
      <c r="J139" s="55" t="s">
        <v>146</v>
      </c>
      <c r="K139" s="123"/>
      <c r="L139" s="19" t="s">
        <v>76</v>
      </c>
    </row>
    <row r="140" spans="1:12" s="6" customFormat="1" ht="66" x14ac:dyDescent="0.25">
      <c r="A140" s="18">
        <v>11</v>
      </c>
      <c r="B140" s="23" t="s">
        <v>561</v>
      </c>
      <c r="C140" s="23" t="s">
        <v>562</v>
      </c>
      <c r="D140" s="18" t="s">
        <v>565</v>
      </c>
      <c r="E140" s="70">
        <v>0</v>
      </c>
      <c r="F140" s="18">
        <v>0.8</v>
      </c>
      <c r="G140" s="121">
        <v>0</v>
      </c>
      <c r="H140" s="122">
        <v>0</v>
      </c>
      <c r="I140" s="18"/>
      <c r="J140" s="22"/>
      <c r="K140" s="123"/>
      <c r="L140" s="19"/>
    </row>
    <row r="141" spans="1:12" s="6" customFormat="1" ht="33" x14ac:dyDescent="0.25">
      <c r="A141" s="18">
        <v>12</v>
      </c>
      <c r="B141" s="23" t="s">
        <v>563</v>
      </c>
      <c r="C141" s="23" t="s">
        <v>564</v>
      </c>
      <c r="D141" s="18" t="s">
        <v>2</v>
      </c>
      <c r="E141" s="70">
        <v>0</v>
      </c>
      <c r="F141" s="18">
        <v>700</v>
      </c>
      <c r="G141" s="121">
        <v>0</v>
      </c>
      <c r="H141" s="122">
        <v>0</v>
      </c>
      <c r="I141" s="18"/>
      <c r="J141" s="22"/>
      <c r="K141" s="123"/>
      <c r="L141" s="19"/>
    </row>
    <row r="142" spans="1:12" s="6" customFormat="1" ht="66" x14ac:dyDescent="0.25">
      <c r="A142" s="18">
        <v>13</v>
      </c>
      <c r="B142" s="19" t="s">
        <v>133</v>
      </c>
      <c r="C142" s="23" t="s">
        <v>118</v>
      </c>
      <c r="D142" s="18" t="s">
        <v>74</v>
      </c>
      <c r="E142" s="18">
        <v>0</v>
      </c>
      <c r="F142" s="18">
        <v>0</v>
      </c>
      <c r="G142" s="121">
        <f t="shared" si="1"/>
        <v>0</v>
      </c>
      <c r="H142" s="122">
        <v>100</v>
      </c>
      <c r="I142" s="18"/>
      <c r="J142" s="23" t="s">
        <v>75</v>
      </c>
      <c r="K142" s="124" t="s">
        <v>110</v>
      </c>
      <c r="L142" s="19" t="s">
        <v>76</v>
      </c>
    </row>
    <row r="143" spans="1:12" s="6" customFormat="1" x14ac:dyDescent="0.25">
      <c r="A143" s="18">
        <v>14</v>
      </c>
      <c r="B143" s="19" t="s">
        <v>174</v>
      </c>
      <c r="C143" s="19" t="s">
        <v>102</v>
      </c>
      <c r="D143" s="18" t="s">
        <v>66</v>
      </c>
      <c r="E143" s="18">
        <v>815691.33257280034</v>
      </c>
      <c r="F143" s="18">
        <f>324900+11400*3+5700+11400*3</f>
        <v>399000</v>
      </c>
      <c r="G143" s="121">
        <f t="shared" si="1"/>
        <v>416691.33257280034</v>
      </c>
      <c r="H143" s="122">
        <v>150000</v>
      </c>
      <c r="I143" s="18"/>
      <c r="J143" s="23" t="s">
        <v>103</v>
      </c>
      <c r="K143" s="123">
        <v>239581</v>
      </c>
      <c r="L143" s="19" t="s">
        <v>88</v>
      </c>
    </row>
    <row r="144" spans="1:12" s="6" customFormat="1" x14ac:dyDescent="0.25">
      <c r="A144" s="18">
        <v>15</v>
      </c>
      <c r="B144" s="19" t="s">
        <v>199</v>
      </c>
      <c r="C144" s="19" t="s">
        <v>198</v>
      </c>
      <c r="D144" s="18" t="s">
        <v>2</v>
      </c>
      <c r="E144" s="18">
        <v>0</v>
      </c>
      <c r="F144" s="18">
        <v>70</v>
      </c>
      <c r="G144" s="121">
        <v>0</v>
      </c>
      <c r="H144" s="122">
        <v>0</v>
      </c>
      <c r="I144" s="18"/>
      <c r="J144" s="23" t="s">
        <v>200</v>
      </c>
      <c r="K144" s="123">
        <v>75</v>
      </c>
      <c r="L144" s="19" t="s">
        <v>169</v>
      </c>
    </row>
    <row r="145" spans="1:12" s="6" customFormat="1" ht="33" x14ac:dyDescent="0.25">
      <c r="A145" s="18">
        <v>16</v>
      </c>
      <c r="B145" s="19"/>
      <c r="C145" s="19" t="s">
        <v>41</v>
      </c>
      <c r="D145" s="18" t="s">
        <v>42</v>
      </c>
      <c r="E145" s="18">
        <v>0</v>
      </c>
      <c r="F145" s="18">
        <v>0</v>
      </c>
      <c r="G145" s="121">
        <f t="shared" si="1"/>
        <v>0</v>
      </c>
      <c r="H145" s="86">
        <v>1</v>
      </c>
      <c r="I145" s="18"/>
      <c r="J145" s="22" t="s">
        <v>107</v>
      </c>
      <c r="K145" s="123" t="s">
        <v>125</v>
      </c>
      <c r="L145" s="19" t="s">
        <v>104</v>
      </c>
    </row>
    <row r="146" spans="1:12" s="6" customFormat="1" x14ac:dyDescent="0.25">
      <c r="A146" s="18">
        <v>17</v>
      </c>
      <c r="B146" s="51" t="s">
        <v>147</v>
      </c>
      <c r="C146" s="50" t="s">
        <v>148</v>
      </c>
      <c r="D146" s="52" t="s">
        <v>66</v>
      </c>
      <c r="E146" s="18">
        <v>0</v>
      </c>
      <c r="F146" s="5">
        <f>250+100</f>
        <v>350</v>
      </c>
      <c r="G146" s="121">
        <v>0</v>
      </c>
      <c r="H146" s="135">
        <v>100</v>
      </c>
      <c r="I146" s="54"/>
      <c r="J146" s="55" t="s">
        <v>374</v>
      </c>
      <c r="K146" s="136">
        <v>5379</v>
      </c>
      <c r="L146" s="51"/>
    </row>
    <row r="147" spans="1:12" s="6" customFormat="1" ht="33" x14ac:dyDescent="0.25">
      <c r="A147" s="18">
        <v>18</v>
      </c>
      <c r="B147" s="19" t="s">
        <v>149</v>
      </c>
      <c r="C147" s="23" t="s">
        <v>150</v>
      </c>
      <c r="D147" s="18" t="s">
        <v>0</v>
      </c>
      <c r="E147" s="18">
        <v>30000</v>
      </c>
      <c r="F147" s="18">
        <v>16000</v>
      </c>
      <c r="G147" s="121">
        <f t="shared" si="1"/>
        <v>14000</v>
      </c>
      <c r="H147" s="85">
        <v>4000</v>
      </c>
      <c r="I147" s="20"/>
      <c r="J147" s="22" t="s">
        <v>151</v>
      </c>
      <c r="K147" s="124">
        <v>15000</v>
      </c>
      <c r="L147" s="19"/>
    </row>
    <row r="148" spans="1:12" s="6" customFormat="1" ht="49.5" x14ac:dyDescent="0.25">
      <c r="A148" s="18">
        <v>19</v>
      </c>
      <c r="B148" s="23" t="s">
        <v>248</v>
      </c>
      <c r="C148" s="23" t="s">
        <v>259</v>
      </c>
      <c r="D148" s="18" t="s">
        <v>0</v>
      </c>
      <c r="E148" s="20">
        <v>0</v>
      </c>
      <c r="F148" s="20">
        <v>120</v>
      </c>
      <c r="G148" s="121">
        <v>0</v>
      </c>
      <c r="H148" s="125">
        <v>0</v>
      </c>
      <c r="I148" s="20"/>
      <c r="J148" s="22" t="s">
        <v>416</v>
      </c>
      <c r="K148" s="124"/>
      <c r="L148" s="56"/>
    </row>
    <row r="149" spans="1:12" s="6" customFormat="1" ht="33" x14ac:dyDescent="0.25">
      <c r="A149" s="18">
        <v>20</v>
      </c>
      <c r="B149" s="23" t="s">
        <v>384</v>
      </c>
      <c r="C149" s="23" t="s">
        <v>383</v>
      </c>
      <c r="D149" s="18" t="s">
        <v>0</v>
      </c>
      <c r="E149" s="20">
        <v>0</v>
      </c>
      <c r="F149" s="20">
        <v>270</v>
      </c>
      <c r="G149" s="121">
        <v>0</v>
      </c>
      <c r="H149" s="125">
        <v>0</v>
      </c>
      <c r="I149" s="20"/>
      <c r="J149" s="22" t="s">
        <v>387</v>
      </c>
      <c r="K149" s="124">
        <v>728</v>
      </c>
      <c r="L149" s="19" t="s">
        <v>385</v>
      </c>
    </row>
    <row r="150" spans="1:12" s="6" customFormat="1" ht="33" x14ac:dyDescent="0.25">
      <c r="A150" s="18">
        <v>21</v>
      </c>
      <c r="B150" s="23" t="s">
        <v>393</v>
      </c>
      <c r="C150" s="23" t="s">
        <v>394</v>
      </c>
      <c r="D150" s="18" t="s">
        <v>386</v>
      </c>
      <c r="E150" s="20">
        <v>0</v>
      </c>
      <c r="F150" s="20">
        <v>6000</v>
      </c>
      <c r="G150" s="121">
        <v>0</v>
      </c>
      <c r="H150" s="125">
        <v>0</v>
      </c>
      <c r="I150" s="20"/>
      <c r="J150" s="22" t="s">
        <v>387</v>
      </c>
      <c r="K150" s="124">
        <v>29673</v>
      </c>
      <c r="L150" s="19" t="s">
        <v>385</v>
      </c>
    </row>
    <row r="151" spans="1:12" s="6" customFormat="1" ht="33" x14ac:dyDescent="0.25">
      <c r="A151" s="18">
        <v>22</v>
      </c>
      <c r="B151" s="19" t="s">
        <v>389</v>
      </c>
      <c r="C151" s="19" t="s">
        <v>388</v>
      </c>
      <c r="D151" s="18" t="s">
        <v>390</v>
      </c>
      <c r="E151" s="20">
        <v>0</v>
      </c>
      <c r="F151" s="20">
        <v>1000</v>
      </c>
      <c r="G151" s="121">
        <v>0</v>
      </c>
      <c r="H151" s="125">
        <v>0</v>
      </c>
      <c r="I151" s="20"/>
      <c r="J151" s="22" t="s">
        <v>391</v>
      </c>
      <c r="K151" s="124">
        <v>2871</v>
      </c>
      <c r="L151" s="19" t="s">
        <v>385</v>
      </c>
    </row>
    <row r="152" spans="1:12" s="6" customFormat="1" x14ac:dyDescent="0.25">
      <c r="A152" s="18">
        <v>23</v>
      </c>
      <c r="B152" s="19" t="s">
        <v>398</v>
      </c>
      <c r="C152" s="19" t="s">
        <v>397</v>
      </c>
      <c r="D152" s="18" t="s">
        <v>0</v>
      </c>
      <c r="E152" s="20">
        <v>0</v>
      </c>
      <c r="F152" s="20">
        <v>974</v>
      </c>
      <c r="G152" s="121">
        <v>0</v>
      </c>
      <c r="H152" s="125">
        <v>0</v>
      </c>
      <c r="I152" s="20"/>
      <c r="J152" s="22" t="s">
        <v>399</v>
      </c>
      <c r="K152" s="124" t="s">
        <v>110</v>
      </c>
      <c r="L152" s="19" t="s">
        <v>385</v>
      </c>
    </row>
    <row r="153" spans="1:12" s="6" customFormat="1" ht="33" x14ac:dyDescent="0.25">
      <c r="A153" s="18">
        <v>24</v>
      </c>
      <c r="B153" s="19" t="s">
        <v>424</v>
      </c>
      <c r="C153" s="19" t="s">
        <v>426</v>
      </c>
      <c r="D153" s="18" t="s">
        <v>386</v>
      </c>
      <c r="E153" s="20">
        <v>0</v>
      </c>
      <c r="F153" s="3">
        <v>255</v>
      </c>
      <c r="G153" s="121">
        <v>0</v>
      </c>
      <c r="H153" s="125">
        <v>0</v>
      </c>
      <c r="I153" s="20"/>
      <c r="J153" s="22" t="s">
        <v>391</v>
      </c>
      <c r="K153" s="124"/>
      <c r="L153" s="19" t="s">
        <v>385</v>
      </c>
    </row>
    <row r="154" spans="1:12" s="6" customFormat="1" ht="33" x14ac:dyDescent="0.25">
      <c r="A154" s="18">
        <v>25</v>
      </c>
      <c r="B154" s="19" t="s">
        <v>425</v>
      </c>
      <c r="C154" s="19" t="s">
        <v>427</v>
      </c>
      <c r="D154" s="18" t="s">
        <v>428</v>
      </c>
      <c r="E154" s="20">
        <v>0</v>
      </c>
      <c r="F154" s="3">
        <v>176</v>
      </c>
      <c r="G154" s="121">
        <v>0</v>
      </c>
      <c r="H154" s="125">
        <v>0</v>
      </c>
      <c r="I154" s="20"/>
      <c r="J154" s="22" t="s">
        <v>391</v>
      </c>
      <c r="K154" s="124"/>
      <c r="L154" s="19" t="s">
        <v>385</v>
      </c>
    </row>
    <row r="155" spans="1:12" s="6" customFormat="1" ht="33" x14ac:dyDescent="0.25">
      <c r="A155" s="18">
        <v>26</v>
      </c>
      <c r="B155" s="68" t="s">
        <v>396</v>
      </c>
      <c r="C155" s="19" t="s">
        <v>395</v>
      </c>
      <c r="D155" s="18" t="s">
        <v>392</v>
      </c>
      <c r="E155" s="20">
        <v>0</v>
      </c>
      <c r="F155" s="20">
        <v>850</v>
      </c>
      <c r="G155" s="121">
        <v>0</v>
      </c>
      <c r="H155" s="125">
        <v>0</v>
      </c>
      <c r="I155" s="20"/>
      <c r="J155" s="22" t="s">
        <v>387</v>
      </c>
      <c r="K155" s="124">
        <v>1412</v>
      </c>
      <c r="L155" s="19" t="s">
        <v>385</v>
      </c>
    </row>
    <row r="156" spans="1:12" s="6" customFormat="1" ht="33" x14ac:dyDescent="0.25">
      <c r="A156" s="18">
        <v>27</v>
      </c>
      <c r="B156" s="68" t="s">
        <v>429</v>
      </c>
      <c r="C156" s="19" t="s">
        <v>430</v>
      </c>
      <c r="D156" s="18" t="s">
        <v>386</v>
      </c>
      <c r="E156" s="20">
        <v>0</v>
      </c>
      <c r="F156" s="20">
        <v>0</v>
      </c>
      <c r="G156" s="121">
        <v>0</v>
      </c>
      <c r="H156" s="125">
        <v>1</v>
      </c>
      <c r="I156" s="20"/>
      <c r="J156" s="22" t="s">
        <v>431</v>
      </c>
      <c r="K156" s="124"/>
      <c r="L156" s="19" t="s">
        <v>76</v>
      </c>
    </row>
    <row r="157" spans="1:12" s="6" customFormat="1" x14ac:dyDescent="0.25">
      <c r="A157" s="18">
        <v>28</v>
      </c>
      <c r="B157" s="68" t="s">
        <v>432</v>
      </c>
      <c r="C157" s="4" t="s">
        <v>434</v>
      </c>
      <c r="D157" s="4" t="s">
        <v>390</v>
      </c>
      <c r="E157" s="20">
        <v>0</v>
      </c>
      <c r="F157" s="20">
        <v>0</v>
      </c>
      <c r="G157" s="121">
        <v>0</v>
      </c>
      <c r="H157" s="125">
        <v>246</v>
      </c>
      <c r="I157" s="20"/>
      <c r="J157" s="22" t="s">
        <v>437</v>
      </c>
      <c r="K157" s="124"/>
      <c r="L157" s="19" t="s">
        <v>385</v>
      </c>
    </row>
    <row r="158" spans="1:12" s="6" customFormat="1" x14ac:dyDescent="0.25">
      <c r="A158" s="18">
        <v>29</v>
      </c>
      <c r="B158" s="77" t="s">
        <v>433</v>
      </c>
      <c r="C158" s="78" t="s">
        <v>435</v>
      </c>
      <c r="D158" s="78" t="s">
        <v>390</v>
      </c>
      <c r="E158" s="54">
        <v>0</v>
      </c>
      <c r="F158" s="54">
        <v>0</v>
      </c>
      <c r="G158" s="134">
        <v>0</v>
      </c>
      <c r="H158" s="137">
        <v>90</v>
      </c>
      <c r="I158" s="54"/>
      <c r="J158" s="22" t="s">
        <v>437</v>
      </c>
      <c r="K158" s="124"/>
      <c r="L158" s="19" t="s">
        <v>385</v>
      </c>
    </row>
    <row r="159" spans="1:12" s="6" customFormat="1" x14ac:dyDescent="0.25">
      <c r="A159" s="18">
        <v>30</v>
      </c>
      <c r="B159" s="68"/>
      <c r="C159" s="19" t="s">
        <v>436</v>
      </c>
      <c r="D159" s="19" t="s">
        <v>411</v>
      </c>
      <c r="E159" s="20">
        <v>0</v>
      </c>
      <c r="F159" s="20">
        <v>0</v>
      </c>
      <c r="G159" s="121">
        <v>0</v>
      </c>
      <c r="H159" s="125">
        <v>100</v>
      </c>
      <c r="I159" s="20"/>
      <c r="J159" s="22" t="s">
        <v>437</v>
      </c>
      <c r="K159" s="124"/>
      <c r="L159" s="19" t="s">
        <v>385</v>
      </c>
    </row>
    <row r="160" spans="1:12" s="6" customFormat="1" x14ac:dyDescent="0.25">
      <c r="A160" s="18">
        <v>31</v>
      </c>
      <c r="B160" s="68"/>
      <c r="C160" s="19" t="s">
        <v>438</v>
      </c>
      <c r="D160" s="19" t="s">
        <v>0</v>
      </c>
      <c r="E160" s="20">
        <v>0</v>
      </c>
      <c r="F160" s="20">
        <v>0</v>
      </c>
      <c r="G160" s="121">
        <v>0</v>
      </c>
      <c r="H160" s="125">
        <v>10</v>
      </c>
      <c r="I160" s="20"/>
      <c r="J160" s="22" t="s">
        <v>437</v>
      </c>
      <c r="K160" s="124"/>
      <c r="L160" s="19" t="s">
        <v>385</v>
      </c>
    </row>
    <row r="161" spans="1:12" s="6" customFormat="1" ht="115.5" x14ac:dyDescent="0.25">
      <c r="A161" s="18">
        <v>32</v>
      </c>
      <c r="B161" s="138"/>
      <c r="C161" s="139" t="s">
        <v>498</v>
      </c>
      <c r="D161" s="18" t="s">
        <v>386</v>
      </c>
      <c r="E161" s="20">
        <v>0</v>
      </c>
      <c r="F161" s="20">
        <v>0</v>
      </c>
      <c r="G161" s="121">
        <v>0</v>
      </c>
      <c r="H161" s="125">
        <v>2</v>
      </c>
      <c r="I161" s="20"/>
      <c r="J161" s="22" t="s">
        <v>503</v>
      </c>
      <c r="K161" s="124"/>
      <c r="L161" s="138" t="s">
        <v>430</v>
      </c>
    </row>
    <row r="162" spans="1:12" s="6" customFormat="1" ht="132" x14ac:dyDescent="0.25">
      <c r="A162" s="18">
        <v>33</v>
      </c>
      <c r="B162" s="138"/>
      <c r="C162" s="139" t="s">
        <v>499</v>
      </c>
      <c r="D162" s="18" t="s">
        <v>0</v>
      </c>
      <c r="E162" s="20">
        <v>0</v>
      </c>
      <c r="F162" s="20">
        <v>0</v>
      </c>
      <c r="G162" s="121">
        <v>0</v>
      </c>
      <c r="H162" s="125">
        <v>4</v>
      </c>
      <c r="I162" s="20"/>
      <c r="J162" s="22" t="s">
        <v>503</v>
      </c>
      <c r="K162" s="124"/>
      <c r="L162" s="138" t="s">
        <v>501</v>
      </c>
    </row>
    <row r="163" spans="1:12" s="6" customFormat="1" ht="82.5" x14ac:dyDescent="0.25">
      <c r="A163" s="18">
        <v>34</v>
      </c>
      <c r="B163" s="138"/>
      <c r="C163" s="139" t="s">
        <v>500</v>
      </c>
      <c r="D163" s="18" t="s">
        <v>0</v>
      </c>
      <c r="E163" s="20">
        <v>0</v>
      </c>
      <c r="F163" s="20">
        <v>0</v>
      </c>
      <c r="G163" s="121">
        <v>0</v>
      </c>
      <c r="H163" s="125">
        <v>4</v>
      </c>
      <c r="I163" s="20"/>
      <c r="J163" s="22" t="s">
        <v>503</v>
      </c>
      <c r="K163" s="124"/>
      <c r="L163" s="138" t="s">
        <v>502</v>
      </c>
    </row>
    <row r="164" spans="1:12" s="6" customFormat="1" x14ac:dyDescent="0.25">
      <c r="A164" s="18">
        <v>35</v>
      </c>
      <c r="B164" s="23" t="s">
        <v>249</v>
      </c>
      <c r="C164" s="23" t="s">
        <v>260</v>
      </c>
      <c r="D164" s="20" t="s">
        <v>271</v>
      </c>
      <c r="E164" s="20">
        <v>0</v>
      </c>
      <c r="F164" s="20">
        <v>150</v>
      </c>
      <c r="G164" s="121">
        <v>0</v>
      </c>
      <c r="H164" s="125">
        <v>0</v>
      </c>
      <c r="I164" s="20"/>
      <c r="J164" s="57" t="s">
        <v>417</v>
      </c>
      <c r="K164" s="124"/>
      <c r="L164" s="19"/>
    </row>
    <row r="165" spans="1:12" s="6" customFormat="1" x14ac:dyDescent="0.25">
      <c r="A165" s="18">
        <v>36</v>
      </c>
      <c r="B165" s="23" t="s">
        <v>250</v>
      </c>
      <c r="C165" s="23" t="s">
        <v>261</v>
      </c>
      <c r="D165" s="20" t="s">
        <v>271</v>
      </c>
      <c r="E165" s="20">
        <v>0</v>
      </c>
      <c r="F165" s="20">
        <v>100</v>
      </c>
      <c r="G165" s="121">
        <v>0</v>
      </c>
      <c r="H165" s="125">
        <v>0</v>
      </c>
      <c r="I165" s="20"/>
      <c r="J165" s="57" t="s">
        <v>417</v>
      </c>
      <c r="K165" s="124"/>
      <c r="L165" s="19"/>
    </row>
    <row r="166" spans="1:12" s="6" customFormat="1" x14ac:dyDescent="0.25">
      <c r="A166" s="18">
        <v>37</v>
      </c>
      <c r="B166" s="23" t="s">
        <v>251</v>
      </c>
      <c r="C166" s="23" t="s">
        <v>262</v>
      </c>
      <c r="D166" s="20" t="s">
        <v>272</v>
      </c>
      <c r="E166" s="20">
        <v>0</v>
      </c>
      <c r="F166" s="20">
        <v>0</v>
      </c>
      <c r="G166" s="121">
        <f t="shared" si="1"/>
        <v>0</v>
      </c>
      <c r="H166" s="125">
        <v>0</v>
      </c>
      <c r="I166" s="20"/>
      <c r="J166" s="57" t="s">
        <v>417</v>
      </c>
      <c r="K166" s="124"/>
      <c r="L166" s="19"/>
    </row>
    <row r="167" spans="1:12" s="6" customFormat="1" x14ac:dyDescent="0.25">
      <c r="A167" s="18">
        <v>38</v>
      </c>
      <c r="B167" s="23" t="s">
        <v>252</v>
      </c>
      <c r="C167" s="23" t="s">
        <v>263</v>
      </c>
      <c r="D167" s="20" t="s">
        <v>272</v>
      </c>
      <c r="E167" s="20">
        <v>0</v>
      </c>
      <c r="F167" s="20">
        <v>70</v>
      </c>
      <c r="G167" s="121">
        <v>0</v>
      </c>
      <c r="H167" s="125">
        <v>0</v>
      </c>
      <c r="I167" s="20"/>
      <c r="J167" s="57" t="s">
        <v>417</v>
      </c>
      <c r="K167" s="124"/>
      <c r="L167" s="19"/>
    </row>
    <row r="168" spans="1:12" s="6" customFormat="1" x14ac:dyDescent="0.25">
      <c r="A168" s="18">
        <v>39</v>
      </c>
      <c r="B168" s="23" t="s">
        <v>253</v>
      </c>
      <c r="C168" s="23" t="s">
        <v>264</v>
      </c>
      <c r="D168" s="20" t="s">
        <v>270</v>
      </c>
      <c r="E168" s="20">
        <v>0</v>
      </c>
      <c r="F168" s="20">
        <v>100</v>
      </c>
      <c r="G168" s="121">
        <v>0</v>
      </c>
      <c r="H168" s="125">
        <v>0</v>
      </c>
      <c r="I168" s="20"/>
      <c r="J168" s="57" t="s">
        <v>418</v>
      </c>
      <c r="K168" s="124"/>
      <c r="L168" s="19"/>
    </row>
    <row r="169" spans="1:12" s="6" customFormat="1" x14ac:dyDescent="0.25">
      <c r="A169" s="18">
        <v>40</v>
      </c>
      <c r="B169" s="23" t="s">
        <v>254</v>
      </c>
      <c r="C169" s="23" t="s">
        <v>265</v>
      </c>
      <c r="D169" s="20" t="s">
        <v>270</v>
      </c>
      <c r="E169" s="20">
        <v>0</v>
      </c>
      <c r="F169" s="20">
        <v>20</v>
      </c>
      <c r="G169" s="121">
        <v>0</v>
      </c>
      <c r="H169" s="125">
        <v>0</v>
      </c>
      <c r="I169" s="20"/>
      <c r="J169" s="57" t="s">
        <v>418</v>
      </c>
      <c r="K169" s="124"/>
      <c r="L169" s="19"/>
    </row>
    <row r="170" spans="1:12" s="6" customFormat="1" x14ac:dyDescent="0.25">
      <c r="A170" s="18">
        <v>41</v>
      </c>
      <c r="B170" s="23" t="s">
        <v>255</v>
      </c>
      <c r="C170" s="23" t="s">
        <v>266</v>
      </c>
      <c r="D170" s="20" t="s">
        <v>270</v>
      </c>
      <c r="E170" s="20">
        <v>0</v>
      </c>
      <c r="F170" s="20">
        <v>200</v>
      </c>
      <c r="G170" s="121">
        <v>0</v>
      </c>
      <c r="H170" s="125">
        <v>0</v>
      </c>
      <c r="I170" s="20"/>
      <c r="J170" s="57" t="s">
        <v>418</v>
      </c>
      <c r="K170" s="124"/>
      <c r="L170" s="19"/>
    </row>
    <row r="171" spans="1:12" s="6" customFormat="1" x14ac:dyDescent="0.25">
      <c r="A171" s="18">
        <v>42</v>
      </c>
      <c r="B171" s="23" t="s">
        <v>253</v>
      </c>
      <c r="C171" s="23" t="s">
        <v>264</v>
      </c>
      <c r="D171" s="20" t="s">
        <v>270</v>
      </c>
      <c r="E171" s="20">
        <v>0</v>
      </c>
      <c r="F171" s="20">
        <v>30</v>
      </c>
      <c r="G171" s="121">
        <v>0</v>
      </c>
      <c r="H171" s="125">
        <v>0</v>
      </c>
      <c r="I171" s="20"/>
      <c r="J171" s="57" t="s">
        <v>418</v>
      </c>
      <c r="K171" s="124"/>
      <c r="L171" s="19"/>
    </row>
    <row r="172" spans="1:12" s="6" customFormat="1" x14ac:dyDescent="0.25">
      <c r="A172" s="18">
        <v>43</v>
      </c>
      <c r="B172" s="23" t="s">
        <v>256</v>
      </c>
      <c r="C172" s="23" t="s">
        <v>267</v>
      </c>
      <c r="D172" s="20" t="s">
        <v>270</v>
      </c>
      <c r="E172" s="20">
        <v>0</v>
      </c>
      <c r="F172" s="20">
        <v>100</v>
      </c>
      <c r="G172" s="121">
        <v>0</v>
      </c>
      <c r="H172" s="125">
        <v>0</v>
      </c>
      <c r="I172" s="20"/>
      <c r="J172" s="57" t="s">
        <v>419</v>
      </c>
      <c r="K172" s="124"/>
      <c r="L172" s="19"/>
    </row>
    <row r="173" spans="1:12" s="6" customFormat="1" x14ac:dyDescent="0.25">
      <c r="A173" s="18">
        <v>44</v>
      </c>
      <c r="B173" s="23" t="s">
        <v>257</v>
      </c>
      <c r="C173" s="23" t="s">
        <v>268</v>
      </c>
      <c r="D173" s="20" t="s">
        <v>270</v>
      </c>
      <c r="E173" s="20">
        <v>0</v>
      </c>
      <c r="F173" s="20">
        <v>50</v>
      </c>
      <c r="G173" s="121">
        <v>0</v>
      </c>
      <c r="H173" s="125">
        <v>0</v>
      </c>
      <c r="I173" s="20"/>
      <c r="J173" s="57" t="s">
        <v>419</v>
      </c>
      <c r="K173" s="124"/>
      <c r="L173" s="19"/>
    </row>
    <row r="174" spans="1:12" s="6" customFormat="1" x14ac:dyDescent="0.25">
      <c r="A174" s="18">
        <v>45</v>
      </c>
      <c r="B174" s="23" t="s">
        <v>258</v>
      </c>
      <c r="C174" s="23" t="s">
        <v>269</v>
      </c>
      <c r="D174" s="20" t="s">
        <v>270</v>
      </c>
      <c r="E174" s="20">
        <v>0</v>
      </c>
      <c r="F174" s="20">
        <v>50</v>
      </c>
      <c r="G174" s="121">
        <v>0</v>
      </c>
      <c r="H174" s="125">
        <v>0</v>
      </c>
      <c r="I174" s="20"/>
      <c r="J174" s="57" t="s">
        <v>419</v>
      </c>
      <c r="K174" s="124"/>
      <c r="L174" s="19"/>
    </row>
    <row r="175" spans="1:12" s="6" customFormat="1" ht="33" x14ac:dyDescent="0.25">
      <c r="A175" s="18">
        <v>46</v>
      </c>
      <c r="B175" s="23" t="s">
        <v>546</v>
      </c>
      <c r="C175" s="23" t="s">
        <v>547</v>
      </c>
      <c r="D175" s="20" t="s">
        <v>548</v>
      </c>
      <c r="E175" s="20">
        <v>10</v>
      </c>
      <c r="F175" s="20">
        <v>5</v>
      </c>
      <c r="G175" s="121">
        <v>5</v>
      </c>
      <c r="H175" s="125">
        <v>2</v>
      </c>
      <c r="I175" s="20"/>
      <c r="J175" s="57" t="s">
        <v>554</v>
      </c>
      <c r="K175" s="124"/>
      <c r="L175" s="19"/>
    </row>
    <row r="176" spans="1:12" s="6" customFormat="1" ht="33" x14ac:dyDescent="0.25">
      <c r="A176" s="18">
        <v>47</v>
      </c>
      <c r="B176" s="23" t="s">
        <v>549</v>
      </c>
      <c r="C176" s="23" t="s">
        <v>550</v>
      </c>
      <c r="D176" s="20" t="s">
        <v>551</v>
      </c>
      <c r="E176" s="20">
        <v>200</v>
      </c>
      <c r="F176" s="20">
        <v>0</v>
      </c>
      <c r="G176" s="121">
        <v>200</v>
      </c>
      <c r="H176" s="125">
        <v>100</v>
      </c>
      <c r="I176" s="20"/>
      <c r="J176" s="57" t="s">
        <v>554</v>
      </c>
      <c r="K176" s="124"/>
      <c r="L176" s="19"/>
    </row>
    <row r="177" spans="1:12" s="6" customFormat="1" x14ac:dyDescent="0.25">
      <c r="A177" s="18">
        <v>48</v>
      </c>
      <c r="B177" s="23" t="s">
        <v>552</v>
      </c>
      <c r="C177" s="23" t="s">
        <v>553</v>
      </c>
      <c r="D177" s="20" t="s">
        <v>0</v>
      </c>
      <c r="E177" s="20">
        <v>50</v>
      </c>
      <c r="F177" s="20">
        <v>0</v>
      </c>
      <c r="G177" s="121">
        <v>50</v>
      </c>
      <c r="H177" s="125">
        <v>50</v>
      </c>
      <c r="I177" s="20"/>
      <c r="J177" s="57" t="s">
        <v>554</v>
      </c>
      <c r="K177" s="124"/>
      <c r="L177" s="19"/>
    </row>
    <row r="178" spans="1:12" s="6" customFormat="1" ht="33" x14ac:dyDescent="0.25">
      <c r="A178" s="18">
        <v>49</v>
      </c>
      <c r="B178" s="23" t="s">
        <v>555</v>
      </c>
      <c r="C178" s="23" t="s">
        <v>556</v>
      </c>
      <c r="D178" s="20" t="s">
        <v>551</v>
      </c>
      <c r="E178" s="20">
        <v>200</v>
      </c>
      <c r="F178" s="20">
        <v>0</v>
      </c>
      <c r="G178" s="121">
        <v>200</v>
      </c>
      <c r="H178" s="125">
        <v>100</v>
      </c>
      <c r="I178" s="20"/>
      <c r="J178" s="57" t="s">
        <v>570</v>
      </c>
      <c r="K178" s="124"/>
      <c r="L178" s="19"/>
    </row>
    <row r="179" spans="1:12" s="6" customFormat="1" x14ac:dyDescent="0.25">
      <c r="A179" s="18">
        <v>50</v>
      </c>
      <c r="B179" s="23" t="s">
        <v>273</v>
      </c>
      <c r="C179" s="23" t="s">
        <v>274</v>
      </c>
      <c r="D179" s="20" t="s">
        <v>275</v>
      </c>
      <c r="E179" s="20">
        <v>0</v>
      </c>
      <c r="F179" s="20">
        <v>10</v>
      </c>
      <c r="G179" s="121">
        <v>0</v>
      </c>
      <c r="H179" s="125">
        <v>0</v>
      </c>
      <c r="I179" s="20"/>
      <c r="J179" s="22" t="s">
        <v>302</v>
      </c>
      <c r="K179" s="124"/>
      <c r="L179" s="19"/>
    </row>
    <row r="180" spans="1:12" s="6" customFormat="1" x14ac:dyDescent="0.25">
      <c r="A180" s="18">
        <v>51</v>
      </c>
      <c r="B180" s="23" t="s">
        <v>276</v>
      </c>
      <c r="C180" s="23" t="s">
        <v>277</v>
      </c>
      <c r="D180" s="20" t="s">
        <v>275</v>
      </c>
      <c r="E180" s="20">
        <v>0</v>
      </c>
      <c r="F180" s="20">
        <v>0</v>
      </c>
      <c r="G180" s="121">
        <f t="shared" si="1"/>
        <v>0</v>
      </c>
      <c r="H180" s="125">
        <v>0</v>
      </c>
      <c r="I180" s="20"/>
      <c r="J180" s="22" t="s">
        <v>303</v>
      </c>
      <c r="K180" s="124"/>
      <c r="L180" s="19"/>
    </row>
    <row r="181" spans="1:12" s="6" customFormat="1" x14ac:dyDescent="0.25">
      <c r="A181" s="18">
        <v>52</v>
      </c>
      <c r="B181" s="23" t="s">
        <v>278</v>
      </c>
      <c r="C181" s="23" t="s">
        <v>279</v>
      </c>
      <c r="D181" s="20" t="s">
        <v>270</v>
      </c>
      <c r="E181" s="20">
        <v>0</v>
      </c>
      <c r="F181" s="20">
        <v>15</v>
      </c>
      <c r="G181" s="121">
        <v>0</v>
      </c>
      <c r="H181" s="125">
        <v>0</v>
      </c>
      <c r="I181" s="20"/>
      <c r="J181" s="22" t="s">
        <v>304</v>
      </c>
      <c r="K181" s="124"/>
      <c r="L181" s="19"/>
    </row>
    <row r="182" spans="1:12" s="6" customFormat="1" x14ac:dyDescent="0.25">
      <c r="A182" s="18">
        <v>53</v>
      </c>
      <c r="B182" s="23" t="s">
        <v>280</v>
      </c>
      <c r="C182" s="23" t="s">
        <v>281</v>
      </c>
      <c r="D182" s="20" t="s">
        <v>270</v>
      </c>
      <c r="E182" s="20">
        <v>0</v>
      </c>
      <c r="F182" s="20">
        <v>0</v>
      </c>
      <c r="G182" s="121">
        <f t="shared" si="1"/>
        <v>0</v>
      </c>
      <c r="H182" s="125">
        <v>0</v>
      </c>
      <c r="I182" s="20"/>
      <c r="J182" s="22" t="s">
        <v>305</v>
      </c>
      <c r="K182" s="124"/>
      <c r="L182" s="19"/>
    </row>
    <row r="183" spans="1:12" s="6" customFormat="1" x14ac:dyDescent="0.25">
      <c r="A183" s="18">
        <v>54</v>
      </c>
      <c r="B183" s="23" t="s">
        <v>282</v>
      </c>
      <c r="C183" s="23" t="s">
        <v>283</v>
      </c>
      <c r="D183" s="20" t="s">
        <v>66</v>
      </c>
      <c r="E183" s="20">
        <v>0</v>
      </c>
      <c r="F183" s="20">
        <v>100</v>
      </c>
      <c r="G183" s="121">
        <v>0</v>
      </c>
      <c r="H183" s="125">
        <v>0</v>
      </c>
      <c r="I183" s="20"/>
      <c r="J183" s="22" t="s">
        <v>304</v>
      </c>
      <c r="K183" s="124"/>
      <c r="L183" s="19"/>
    </row>
    <row r="184" spans="1:12" s="6" customFormat="1" ht="33" x14ac:dyDescent="0.25">
      <c r="A184" s="18">
        <v>55</v>
      </c>
      <c r="B184" s="23" t="s">
        <v>284</v>
      </c>
      <c r="C184" s="23" t="s">
        <v>285</v>
      </c>
      <c r="D184" s="20" t="s">
        <v>66</v>
      </c>
      <c r="E184" s="20">
        <v>0</v>
      </c>
      <c r="F184" s="20">
        <v>100</v>
      </c>
      <c r="G184" s="121">
        <v>0</v>
      </c>
      <c r="H184" s="125">
        <v>0</v>
      </c>
      <c r="I184" s="20"/>
      <c r="J184" s="22" t="s">
        <v>306</v>
      </c>
      <c r="K184" s="124"/>
      <c r="L184" s="19"/>
    </row>
    <row r="185" spans="1:12" s="6" customFormat="1" x14ac:dyDescent="0.25">
      <c r="A185" s="18">
        <v>56</v>
      </c>
      <c r="B185" s="19" t="s">
        <v>413</v>
      </c>
      <c r="C185" s="23" t="s">
        <v>412</v>
      </c>
      <c r="D185" s="18" t="s">
        <v>411</v>
      </c>
      <c r="E185" s="18">
        <v>0</v>
      </c>
      <c r="F185" s="18">
        <v>1</v>
      </c>
      <c r="G185" s="121">
        <v>0</v>
      </c>
      <c r="H185" s="85">
        <v>1</v>
      </c>
      <c r="I185" s="20"/>
      <c r="J185" s="49" t="s">
        <v>409</v>
      </c>
      <c r="K185" s="124"/>
      <c r="L185" s="22" t="s">
        <v>104</v>
      </c>
    </row>
    <row r="186" spans="1:12" s="6" customFormat="1" ht="33" x14ac:dyDescent="0.25">
      <c r="A186" s="18"/>
      <c r="B186" s="19" t="s">
        <v>284</v>
      </c>
      <c r="C186" s="23" t="s">
        <v>285</v>
      </c>
      <c r="D186" s="18" t="s">
        <v>66</v>
      </c>
      <c r="E186" s="18">
        <v>0</v>
      </c>
      <c r="F186" s="18">
        <v>0</v>
      </c>
      <c r="G186" s="121">
        <v>0</v>
      </c>
      <c r="H186" s="85">
        <v>35</v>
      </c>
      <c r="I186" s="20"/>
      <c r="J186" s="49" t="s">
        <v>571</v>
      </c>
      <c r="K186" s="124"/>
      <c r="L186" s="22"/>
    </row>
    <row r="187" spans="1:12" s="6" customFormat="1" x14ac:dyDescent="0.25">
      <c r="A187" s="18"/>
      <c r="B187" s="19"/>
      <c r="C187" s="23" t="s">
        <v>572</v>
      </c>
      <c r="D187" s="18" t="s">
        <v>573</v>
      </c>
      <c r="E187" s="18">
        <v>0</v>
      </c>
      <c r="F187" s="18">
        <v>0</v>
      </c>
      <c r="G187" s="121">
        <v>0</v>
      </c>
      <c r="H187" s="85">
        <v>24</v>
      </c>
      <c r="I187" s="20"/>
      <c r="J187" s="49"/>
      <c r="K187" s="124"/>
      <c r="L187" s="22"/>
    </row>
    <row r="188" spans="1:12" s="6" customFormat="1" x14ac:dyDescent="0.25">
      <c r="A188" s="18"/>
      <c r="B188" s="19"/>
      <c r="C188" s="23" t="s">
        <v>574</v>
      </c>
      <c r="D188" s="18" t="s">
        <v>59</v>
      </c>
      <c r="E188" s="18">
        <v>0</v>
      </c>
      <c r="F188" s="18">
        <v>0</v>
      </c>
      <c r="G188" s="121">
        <v>0</v>
      </c>
      <c r="H188" s="85">
        <v>16</v>
      </c>
      <c r="I188" s="20"/>
      <c r="J188" s="49"/>
      <c r="K188" s="124"/>
      <c r="L188" s="22"/>
    </row>
    <row r="189" spans="1:12" s="6" customFormat="1" x14ac:dyDescent="0.25">
      <c r="A189" s="18"/>
      <c r="B189" s="19"/>
      <c r="C189" s="23" t="s">
        <v>575</v>
      </c>
      <c r="D189" s="18" t="s">
        <v>59</v>
      </c>
      <c r="E189" s="18">
        <v>0</v>
      </c>
      <c r="F189" s="18">
        <v>0</v>
      </c>
      <c r="G189" s="121">
        <v>0</v>
      </c>
      <c r="H189" s="85">
        <v>2</v>
      </c>
      <c r="I189" s="20"/>
      <c r="J189" s="49"/>
      <c r="K189" s="124"/>
      <c r="L189" s="22"/>
    </row>
    <row r="190" spans="1:12" s="6" customFormat="1" x14ac:dyDescent="0.25">
      <c r="A190" s="18"/>
      <c r="B190" s="19"/>
      <c r="C190" s="23" t="s">
        <v>576</v>
      </c>
      <c r="D190" s="18" t="s">
        <v>51</v>
      </c>
      <c r="E190" s="18">
        <v>0</v>
      </c>
      <c r="F190" s="18">
        <v>0</v>
      </c>
      <c r="G190" s="121">
        <v>0</v>
      </c>
      <c r="H190" s="85">
        <v>1</v>
      </c>
      <c r="I190" s="20"/>
      <c r="J190" s="49"/>
      <c r="K190" s="124"/>
      <c r="L190" s="22"/>
    </row>
    <row r="191" spans="1:12" s="6" customFormat="1" x14ac:dyDescent="0.25">
      <c r="A191" s="18"/>
      <c r="B191" s="19"/>
      <c r="C191" s="23"/>
      <c r="D191" s="18"/>
      <c r="E191" s="18"/>
      <c r="F191" s="18"/>
      <c r="G191" s="121"/>
      <c r="H191" s="85"/>
      <c r="I191" s="20"/>
      <c r="J191" s="49"/>
      <c r="K191" s="124"/>
      <c r="L191" s="22"/>
    </row>
    <row r="192" spans="1:12" s="6" customFormat="1" x14ac:dyDescent="0.25">
      <c r="A192" s="18"/>
      <c r="B192" s="19"/>
      <c r="C192" s="23"/>
      <c r="D192" s="18"/>
      <c r="E192" s="18"/>
      <c r="F192" s="18"/>
      <c r="G192" s="121"/>
      <c r="H192" s="85"/>
      <c r="I192" s="20"/>
      <c r="J192" s="49"/>
      <c r="K192" s="124"/>
      <c r="L192" s="22"/>
    </row>
    <row r="193" spans="1:12" s="6" customFormat="1" x14ac:dyDescent="0.25">
      <c r="A193" s="18"/>
      <c r="B193" s="19"/>
      <c r="C193" s="23"/>
      <c r="D193" s="18"/>
      <c r="E193" s="18"/>
      <c r="F193" s="18"/>
      <c r="G193" s="121"/>
      <c r="H193" s="85"/>
      <c r="I193" s="20"/>
      <c r="J193" s="49"/>
      <c r="K193" s="124"/>
      <c r="L193" s="22"/>
    </row>
    <row r="194" spans="1:12" s="6" customFormat="1" x14ac:dyDescent="0.25">
      <c r="A194" s="18"/>
      <c r="B194" s="19"/>
      <c r="C194" s="23"/>
      <c r="D194" s="18"/>
      <c r="E194" s="18"/>
      <c r="F194" s="18"/>
      <c r="G194" s="121"/>
      <c r="H194" s="85"/>
      <c r="I194" s="20"/>
      <c r="J194" s="49"/>
      <c r="K194" s="124"/>
      <c r="L194" s="22"/>
    </row>
    <row r="195" spans="1:12" s="6" customFormat="1" ht="66" x14ac:dyDescent="0.25">
      <c r="A195" s="18">
        <v>57</v>
      </c>
      <c r="B195" s="27" t="s">
        <v>221</v>
      </c>
      <c r="C195" s="27" t="s">
        <v>222</v>
      </c>
      <c r="D195" s="28" t="s">
        <v>172</v>
      </c>
      <c r="E195" s="28">
        <v>0</v>
      </c>
      <c r="F195" s="28">
        <v>0</v>
      </c>
      <c r="G195" s="121">
        <f t="shared" ref="G195:G199" si="2">E195-F195</f>
        <v>0</v>
      </c>
      <c r="H195" s="140">
        <v>1</v>
      </c>
      <c r="I195" s="20"/>
      <c r="J195" s="29" t="s">
        <v>241</v>
      </c>
      <c r="K195" s="124">
        <v>7</v>
      </c>
      <c r="L195" s="19" t="s">
        <v>136</v>
      </c>
    </row>
    <row r="196" spans="1:12" s="6" customFormat="1" ht="82.5" x14ac:dyDescent="0.25">
      <c r="A196" s="18">
        <v>58</v>
      </c>
      <c r="B196" s="27" t="s">
        <v>223</v>
      </c>
      <c r="C196" s="27" t="s">
        <v>224</v>
      </c>
      <c r="D196" s="28" t="s">
        <v>172</v>
      </c>
      <c r="E196" s="28">
        <v>0</v>
      </c>
      <c r="F196" s="28">
        <v>0</v>
      </c>
      <c r="G196" s="121">
        <f t="shared" si="2"/>
        <v>0</v>
      </c>
      <c r="H196" s="140">
        <v>1</v>
      </c>
      <c r="I196" s="20"/>
      <c r="J196" s="29" t="s">
        <v>242</v>
      </c>
      <c r="K196" s="124">
        <v>1</v>
      </c>
      <c r="L196" s="19" t="s">
        <v>136</v>
      </c>
    </row>
    <row r="197" spans="1:12" s="6" customFormat="1" ht="49.5" x14ac:dyDescent="0.25">
      <c r="A197" s="18">
        <v>59</v>
      </c>
      <c r="B197" s="27" t="s">
        <v>225</v>
      </c>
      <c r="C197" s="27" t="s">
        <v>226</v>
      </c>
      <c r="D197" s="28" t="s">
        <v>172</v>
      </c>
      <c r="E197" s="28">
        <v>0</v>
      </c>
      <c r="F197" s="28">
        <v>0</v>
      </c>
      <c r="G197" s="121">
        <f t="shared" si="2"/>
        <v>0</v>
      </c>
      <c r="H197" s="140">
        <v>1</v>
      </c>
      <c r="I197" s="20"/>
      <c r="J197" s="29" t="s">
        <v>243</v>
      </c>
      <c r="K197" s="124">
        <v>150</v>
      </c>
      <c r="L197" s="19" t="s">
        <v>136</v>
      </c>
    </row>
    <row r="198" spans="1:12" s="6" customFormat="1" ht="49.5" x14ac:dyDescent="0.25">
      <c r="A198" s="18">
        <v>60</v>
      </c>
      <c r="B198" s="27" t="s">
        <v>227</v>
      </c>
      <c r="C198" s="27" t="s">
        <v>228</v>
      </c>
      <c r="D198" s="28" t="s">
        <v>172</v>
      </c>
      <c r="E198" s="28">
        <v>0</v>
      </c>
      <c r="F198" s="28">
        <v>0</v>
      </c>
      <c r="G198" s="121">
        <f t="shared" si="2"/>
        <v>0</v>
      </c>
      <c r="H198" s="140">
        <v>1</v>
      </c>
      <c r="I198" s="20"/>
      <c r="J198" s="29" t="s">
        <v>243</v>
      </c>
      <c r="K198" s="124">
        <v>1</v>
      </c>
      <c r="L198" s="19" t="s">
        <v>136</v>
      </c>
    </row>
    <row r="199" spans="1:12" s="6" customFormat="1" ht="115.5" x14ac:dyDescent="0.25">
      <c r="A199" s="18">
        <v>61</v>
      </c>
      <c r="B199" s="27" t="s">
        <v>229</v>
      </c>
      <c r="C199" s="27" t="s">
        <v>230</v>
      </c>
      <c r="D199" s="28" t="s">
        <v>172</v>
      </c>
      <c r="E199" s="28">
        <v>0</v>
      </c>
      <c r="F199" s="28">
        <v>0</v>
      </c>
      <c r="G199" s="121">
        <f t="shared" si="2"/>
        <v>0</v>
      </c>
      <c r="H199" s="140">
        <v>1</v>
      </c>
      <c r="I199" s="20"/>
      <c r="J199" s="29" t="s">
        <v>243</v>
      </c>
      <c r="K199" s="124">
        <v>1</v>
      </c>
      <c r="L199" s="19" t="s">
        <v>136</v>
      </c>
    </row>
    <row r="200" spans="1:12" s="6" customFormat="1" ht="33" x14ac:dyDescent="0.25">
      <c r="A200" s="18">
        <v>62</v>
      </c>
      <c r="B200" s="27" t="s">
        <v>231</v>
      </c>
      <c r="C200" s="27" t="s">
        <v>232</v>
      </c>
      <c r="D200" s="28" t="s">
        <v>172</v>
      </c>
      <c r="E200" s="28">
        <v>0</v>
      </c>
      <c r="F200" s="28">
        <v>1</v>
      </c>
      <c r="G200" s="121">
        <v>0</v>
      </c>
      <c r="H200" s="140">
        <v>0</v>
      </c>
      <c r="I200" s="20"/>
      <c r="J200" s="29" t="s">
        <v>307</v>
      </c>
      <c r="K200" s="124">
        <v>1</v>
      </c>
      <c r="L200" s="19" t="s">
        <v>136</v>
      </c>
    </row>
    <row r="201" spans="1:12" s="6" customFormat="1" ht="33" x14ac:dyDescent="0.25">
      <c r="A201" s="18">
        <v>63</v>
      </c>
      <c r="B201" s="27" t="s">
        <v>233</v>
      </c>
      <c r="C201" s="27" t="s">
        <v>234</v>
      </c>
      <c r="D201" s="28" t="s">
        <v>172</v>
      </c>
      <c r="E201" s="28">
        <v>0</v>
      </c>
      <c r="F201" s="28">
        <v>2</v>
      </c>
      <c r="G201" s="121">
        <v>0</v>
      </c>
      <c r="H201" s="140">
        <v>0</v>
      </c>
      <c r="I201" s="20"/>
      <c r="J201" s="27" t="s">
        <v>494</v>
      </c>
      <c r="K201" s="124">
        <v>4</v>
      </c>
      <c r="L201" s="19" t="s">
        <v>136</v>
      </c>
    </row>
    <row r="202" spans="1:12" s="6" customFormat="1" ht="33" x14ac:dyDescent="0.25">
      <c r="A202" s="18">
        <v>64</v>
      </c>
      <c r="B202" s="27" t="s">
        <v>235</v>
      </c>
      <c r="C202" s="27" t="s">
        <v>236</v>
      </c>
      <c r="D202" s="28" t="s">
        <v>172</v>
      </c>
      <c r="E202" s="28">
        <v>0</v>
      </c>
      <c r="F202" s="28">
        <v>2</v>
      </c>
      <c r="G202" s="121">
        <v>0</v>
      </c>
      <c r="H202" s="140">
        <v>0</v>
      </c>
      <c r="I202" s="20"/>
      <c r="J202" s="27" t="s">
        <v>494</v>
      </c>
      <c r="K202" s="124">
        <v>22</v>
      </c>
      <c r="L202" s="19" t="s">
        <v>136</v>
      </c>
    </row>
    <row r="203" spans="1:12" s="6" customFormat="1" ht="33" x14ac:dyDescent="0.25">
      <c r="A203" s="18">
        <v>65</v>
      </c>
      <c r="B203" s="23" t="s">
        <v>465</v>
      </c>
      <c r="C203" s="23" t="s">
        <v>466</v>
      </c>
      <c r="D203" s="28" t="s">
        <v>0</v>
      </c>
      <c r="E203" s="28">
        <v>25</v>
      </c>
      <c r="F203" s="28">
        <v>0</v>
      </c>
      <c r="G203" s="121">
        <v>25</v>
      </c>
      <c r="H203" s="140">
        <v>25</v>
      </c>
      <c r="I203" s="20"/>
      <c r="J203" s="29" t="s">
        <v>491</v>
      </c>
      <c r="K203" s="124">
        <v>25</v>
      </c>
      <c r="L203" s="19" t="s">
        <v>136</v>
      </c>
    </row>
    <row r="204" spans="1:12" s="6" customFormat="1" ht="33" x14ac:dyDescent="0.25">
      <c r="A204" s="18">
        <v>66</v>
      </c>
      <c r="B204" s="23" t="s">
        <v>467</v>
      </c>
      <c r="C204" s="23" t="s">
        <v>468</v>
      </c>
      <c r="D204" s="28" t="s">
        <v>0</v>
      </c>
      <c r="E204" s="28">
        <v>20</v>
      </c>
      <c r="F204" s="28">
        <v>0</v>
      </c>
      <c r="G204" s="121">
        <v>20</v>
      </c>
      <c r="H204" s="140">
        <v>20</v>
      </c>
      <c r="I204" s="20"/>
      <c r="J204" s="29" t="s">
        <v>491</v>
      </c>
      <c r="K204" s="124">
        <v>20</v>
      </c>
      <c r="L204" s="19" t="s">
        <v>136</v>
      </c>
    </row>
    <row r="205" spans="1:12" s="6" customFormat="1" ht="33" x14ac:dyDescent="0.25">
      <c r="A205" s="18">
        <v>67</v>
      </c>
      <c r="B205" s="23" t="s">
        <v>469</v>
      </c>
      <c r="C205" s="23" t="s">
        <v>470</v>
      </c>
      <c r="D205" s="28" t="s">
        <v>0</v>
      </c>
      <c r="E205" s="28">
        <v>200</v>
      </c>
      <c r="F205" s="28">
        <v>0</v>
      </c>
      <c r="G205" s="121">
        <v>200</v>
      </c>
      <c r="H205" s="140">
        <v>200</v>
      </c>
      <c r="I205" s="20"/>
      <c r="J205" s="29" t="s">
        <v>491</v>
      </c>
      <c r="K205" s="124">
        <v>200</v>
      </c>
      <c r="L205" s="19" t="s">
        <v>136</v>
      </c>
    </row>
    <row r="206" spans="1:12" s="6" customFormat="1" ht="33" x14ac:dyDescent="0.25">
      <c r="A206" s="18">
        <v>68</v>
      </c>
      <c r="B206" s="30" t="s">
        <v>471</v>
      </c>
      <c r="C206" s="30" t="s">
        <v>472</v>
      </c>
      <c r="D206" s="58" t="s">
        <v>0</v>
      </c>
      <c r="E206" s="58">
        <v>100</v>
      </c>
      <c r="F206" s="28">
        <v>0</v>
      </c>
      <c r="G206" s="121">
        <v>100</v>
      </c>
      <c r="H206" s="141">
        <v>100</v>
      </c>
      <c r="I206" s="20"/>
      <c r="J206" s="30" t="s">
        <v>491</v>
      </c>
      <c r="K206" s="124">
        <v>100</v>
      </c>
      <c r="L206" s="19" t="s">
        <v>136</v>
      </c>
    </row>
    <row r="207" spans="1:12" s="6" customFormat="1" ht="49.5" x14ac:dyDescent="0.25">
      <c r="A207" s="18">
        <v>69</v>
      </c>
      <c r="B207" s="30" t="s">
        <v>473</v>
      </c>
      <c r="C207" s="30" t="s">
        <v>474</v>
      </c>
      <c r="D207" s="58" t="s">
        <v>0</v>
      </c>
      <c r="E207" s="58">
        <v>20</v>
      </c>
      <c r="F207" s="28">
        <v>0</v>
      </c>
      <c r="G207" s="121">
        <v>20</v>
      </c>
      <c r="H207" s="141">
        <v>20</v>
      </c>
      <c r="I207" s="20"/>
      <c r="J207" s="30" t="s">
        <v>491</v>
      </c>
      <c r="K207" s="124">
        <v>20</v>
      </c>
      <c r="L207" s="19" t="s">
        <v>136</v>
      </c>
    </row>
    <row r="208" spans="1:12" s="6" customFormat="1" x14ac:dyDescent="0.25">
      <c r="A208" s="18">
        <v>70</v>
      </c>
      <c r="B208" s="30" t="s">
        <v>475</v>
      </c>
      <c r="C208" s="30" t="s">
        <v>476</v>
      </c>
      <c r="D208" s="58" t="s">
        <v>0</v>
      </c>
      <c r="E208" s="58">
        <v>100</v>
      </c>
      <c r="F208" s="28">
        <v>0</v>
      </c>
      <c r="G208" s="121">
        <v>100</v>
      </c>
      <c r="H208" s="141">
        <v>100</v>
      </c>
      <c r="I208" s="20"/>
      <c r="J208" s="30" t="s">
        <v>491</v>
      </c>
      <c r="K208" s="124">
        <v>100</v>
      </c>
      <c r="L208" s="19" t="s">
        <v>136</v>
      </c>
    </row>
    <row r="209" spans="1:12" s="6" customFormat="1" ht="33" x14ac:dyDescent="0.25">
      <c r="A209" s="18">
        <v>71</v>
      </c>
      <c r="B209" s="30" t="s">
        <v>477</v>
      </c>
      <c r="C209" s="30" t="s">
        <v>478</v>
      </c>
      <c r="D209" s="58" t="s">
        <v>0</v>
      </c>
      <c r="E209" s="58">
        <v>1</v>
      </c>
      <c r="F209" s="28">
        <v>0</v>
      </c>
      <c r="G209" s="121">
        <v>1</v>
      </c>
      <c r="H209" s="141">
        <v>1</v>
      </c>
      <c r="I209" s="20"/>
      <c r="J209" s="30" t="s">
        <v>492</v>
      </c>
      <c r="K209" s="124">
        <v>1</v>
      </c>
      <c r="L209" s="19" t="s">
        <v>136</v>
      </c>
    </row>
    <row r="210" spans="1:12" s="6" customFormat="1" ht="66" x14ac:dyDescent="0.25">
      <c r="A210" s="18">
        <v>72</v>
      </c>
      <c r="B210" s="30" t="s">
        <v>479</v>
      </c>
      <c r="C210" s="30" t="s">
        <v>480</v>
      </c>
      <c r="D210" s="58" t="s">
        <v>428</v>
      </c>
      <c r="E210" s="58">
        <v>1</v>
      </c>
      <c r="F210" s="28">
        <v>0</v>
      </c>
      <c r="G210" s="121">
        <v>1</v>
      </c>
      <c r="H210" s="141">
        <v>1</v>
      </c>
      <c r="I210" s="20"/>
      <c r="J210" s="30" t="s">
        <v>493</v>
      </c>
      <c r="K210" s="124">
        <v>1</v>
      </c>
      <c r="L210" s="19" t="s">
        <v>136</v>
      </c>
    </row>
    <row r="211" spans="1:12" s="6" customFormat="1" ht="33" x14ac:dyDescent="0.25">
      <c r="A211" s="18">
        <v>73</v>
      </c>
      <c r="B211" s="30" t="s">
        <v>481</v>
      </c>
      <c r="C211" s="30" t="s">
        <v>482</v>
      </c>
      <c r="D211" s="58" t="s">
        <v>0</v>
      </c>
      <c r="E211" s="58">
        <v>2</v>
      </c>
      <c r="F211" s="28">
        <v>0</v>
      </c>
      <c r="G211" s="121">
        <v>2</v>
      </c>
      <c r="H211" s="141">
        <v>2</v>
      </c>
      <c r="I211" s="20"/>
      <c r="J211" s="30" t="s">
        <v>493</v>
      </c>
      <c r="K211" s="124">
        <v>2</v>
      </c>
      <c r="L211" s="19" t="s">
        <v>136</v>
      </c>
    </row>
    <row r="212" spans="1:12" s="6" customFormat="1" ht="49.5" x14ac:dyDescent="0.25">
      <c r="A212" s="18">
        <v>74</v>
      </c>
      <c r="B212" s="30" t="s">
        <v>483</v>
      </c>
      <c r="C212" s="30" t="s">
        <v>484</v>
      </c>
      <c r="D212" s="58" t="s">
        <v>428</v>
      </c>
      <c r="E212" s="58">
        <v>1</v>
      </c>
      <c r="F212" s="28">
        <v>0</v>
      </c>
      <c r="G212" s="121">
        <v>1</v>
      </c>
      <c r="H212" s="141">
        <v>1</v>
      </c>
      <c r="I212" s="20"/>
      <c r="J212" s="30" t="s">
        <v>491</v>
      </c>
      <c r="K212" s="124">
        <v>1</v>
      </c>
      <c r="L212" s="19" t="s">
        <v>136</v>
      </c>
    </row>
    <row r="213" spans="1:12" s="6" customFormat="1" x14ac:dyDescent="0.25">
      <c r="A213" s="18">
        <v>75</v>
      </c>
      <c r="B213" s="30" t="s">
        <v>485</v>
      </c>
      <c r="C213" s="30" t="s">
        <v>486</v>
      </c>
      <c r="D213" s="58" t="s">
        <v>172</v>
      </c>
      <c r="E213" s="58">
        <v>2</v>
      </c>
      <c r="F213" s="28">
        <v>0</v>
      </c>
      <c r="G213" s="121">
        <v>2</v>
      </c>
      <c r="H213" s="141">
        <v>2</v>
      </c>
      <c r="I213" s="20"/>
      <c r="J213" s="30" t="s">
        <v>491</v>
      </c>
      <c r="K213" s="124">
        <v>2</v>
      </c>
      <c r="L213" s="19" t="s">
        <v>136</v>
      </c>
    </row>
    <row r="214" spans="1:12" s="6" customFormat="1" ht="33" x14ac:dyDescent="0.25">
      <c r="A214" s="18">
        <v>76</v>
      </c>
      <c r="B214" s="30" t="s">
        <v>487</v>
      </c>
      <c r="C214" s="30" t="s">
        <v>488</v>
      </c>
      <c r="D214" s="58" t="s">
        <v>172</v>
      </c>
      <c r="E214" s="58">
        <v>2</v>
      </c>
      <c r="F214" s="28">
        <v>0</v>
      </c>
      <c r="G214" s="121">
        <v>2</v>
      </c>
      <c r="H214" s="141">
        <v>2</v>
      </c>
      <c r="I214" s="20"/>
      <c r="J214" s="30" t="s">
        <v>491</v>
      </c>
      <c r="K214" s="124">
        <v>2</v>
      </c>
      <c r="L214" s="19" t="s">
        <v>136</v>
      </c>
    </row>
    <row r="215" spans="1:12" s="6" customFormat="1" ht="66" x14ac:dyDescent="0.25">
      <c r="A215" s="18">
        <v>77</v>
      </c>
      <c r="B215" s="30" t="s">
        <v>489</v>
      </c>
      <c r="C215" s="30" t="s">
        <v>490</v>
      </c>
      <c r="D215" s="58" t="s">
        <v>172</v>
      </c>
      <c r="E215" s="58">
        <v>2</v>
      </c>
      <c r="F215" s="28">
        <v>0</v>
      </c>
      <c r="G215" s="121">
        <v>2</v>
      </c>
      <c r="H215" s="141">
        <v>2</v>
      </c>
      <c r="I215" s="20"/>
      <c r="J215" s="30" t="s">
        <v>491</v>
      </c>
      <c r="K215" s="124">
        <v>2</v>
      </c>
      <c r="L215" s="19" t="s">
        <v>136</v>
      </c>
    </row>
    <row r="216" spans="1:12" ht="33" x14ac:dyDescent="0.25">
      <c r="A216" s="18">
        <v>78</v>
      </c>
      <c r="B216" s="142" t="s">
        <v>520</v>
      </c>
      <c r="C216" s="143" t="s">
        <v>521</v>
      </c>
      <c r="D216" s="144" t="s">
        <v>172</v>
      </c>
      <c r="E216" s="18"/>
      <c r="F216" s="18"/>
      <c r="G216" s="145"/>
      <c r="H216" s="146">
        <v>1</v>
      </c>
      <c r="I216" s="18"/>
      <c r="J216" s="147" t="s">
        <v>544</v>
      </c>
      <c r="K216" s="144">
        <v>1</v>
      </c>
      <c r="L216" s="19" t="s">
        <v>136</v>
      </c>
    </row>
    <row r="217" spans="1:12" ht="66" x14ac:dyDescent="0.25">
      <c r="A217" s="18">
        <v>79</v>
      </c>
      <c r="B217" s="148" t="s">
        <v>522</v>
      </c>
      <c r="C217" s="148" t="s">
        <v>523</v>
      </c>
      <c r="D217" s="144" t="s">
        <v>172</v>
      </c>
      <c r="E217" s="18"/>
      <c r="F217" s="18"/>
      <c r="G217" s="145"/>
      <c r="H217" s="146">
        <v>1</v>
      </c>
      <c r="I217" s="18"/>
      <c r="J217" s="147" t="s">
        <v>544</v>
      </c>
      <c r="K217" s="144">
        <v>1</v>
      </c>
      <c r="L217" s="19" t="s">
        <v>136</v>
      </c>
    </row>
    <row r="218" spans="1:12" ht="66" x14ac:dyDescent="0.25">
      <c r="A218" s="18">
        <v>80</v>
      </c>
      <c r="B218" s="148" t="s">
        <v>524</v>
      </c>
      <c r="C218" s="148" t="s">
        <v>525</v>
      </c>
      <c r="D218" s="144" t="s">
        <v>172</v>
      </c>
      <c r="E218" s="18"/>
      <c r="F218" s="18"/>
      <c r="G218" s="145"/>
      <c r="H218" s="149">
        <v>1</v>
      </c>
      <c r="I218" s="18"/>
      <c r="J218" s="147" t="s">
        <v>491</v>
      </c>
      <c r="K218" s="142">
        <v>1</v>
      </c>
      <c r="L218" s="19" t="s">
        <v>136</v>
      </c>
    </row>
    <row r="219" spans="1:12" ht="82.5" x14ac:dyDescent="0.25">
      <c r="A219" s="18">
        <v>81</v>
      </c>
      <c r="B219" s="148" t="s">
        <v>526</v>
      </c>
      <c r="C219" s="148" t="s">
        <v>527</v>
      </c>
      <c r="D219" s="144" t="s">
        <v>172</v>
      </c>
      <c r="E219" s="18"/>
      <c r="F219" s="18"/>
      <c r="G219" s="145"/>
      <c r="H219" s="149">
        <v>2</v>
      </c>
      <c r="I219" s="18"/>
      <c r="J219" s="147" t="s">
        <v>491</v>
      </c>
      <c r="K219" s="142">
        <v>2</v>
      </c>
      <c r="L219" s="19" t="s">
        <v>136</v>
      </c>
    </row>
    <row r="220" spans="1:12" ht="49.5" x14ac:dyDescent="0.25">
      <c r="A220" s="18">
        <v>82</v>
      </c>
      <c r="B220" s="148" t="s">
        <v>528</v>
      </c>
      <c r="C220" s="148" t="s">
        <v>529</v>
      </c>
      <c r="D220" s="144" t="s">
        <v>172</v>
      </c>
      <c r="E220" s="18"/>
      <c r="F220" s="18"/>
      <c r="G220" s="145"/>
      <c r="H220" s="149">
        <v>1</v>
      </c>
      <c r="I220" s="18"/>
      <c r="J220" s="147" t="s">
        <v>544</v>
      </c>
      <c r="K220" s="142">
        <v>1</v>
      </c>
      <c r="L220" s="19" t="s">
        <v>136</v>
      </c>
    </row>
    <row r="221" spans="1:12" ht="82.5" x14ac:dyDescent="0.25">
      <c r="A221" s="18">
        <v>83</v>
      </c>
      <c r="B221" s="150" t="s">
        <v>530</v>
      </c>
      <c r="C221" s="150" t="s">
        <v>531</v>
      </c>
      <c r="D221" s="144" t="s">
        <v>172</v>
      </c>
      <c r="E221" s="18"/>
      <c r="F221" s="18"/>
      <c r="G221" s="145"/>
      <c r="H221" s="149">
        <v>2</v>
      </c>
      <c r="I221" s="18"/>
      <c r="J221" s="147" t="s">
        <v>491</v>
      </c>
      <c r="K221" s="142">
        <v>2</v>
      </c>
      <c r="L221" s="19" t="s">
        <v>136</v>
      </c>
    </row>
    <row r="222" spans="1:12" x14ac:dyDescent="0.25">
      <c r="A222" s="18">
        <v>84</v>
      </c>
      <c r="B222" s="150" t="s">
        <v>532</v>
      </c>
      <c r="C222" s="150" t="s">
        <v>533</v>
      </c>
      <c r="D222" s="144" t="s">
        <v>172</v>
      </c>
      <c r="E222" s="18"/>
      <c r="F222" s="18"/>
      <c r="G222" s="145"/>
      <c r="H222" s="146">
        <v>4</v>
      </c>
      <c r="I222" s="18"/>
      <c r="J222" s="147" t="s">
        <v>545</v>
      </c>
      <c r="K222" s="144">
        <v>4</v>
      </c>
      <c r="L222" s="19" t="s">
        <v>136</v>
      </c>
    </row>
    <row r="223" spans="1:12" ht="33" x14ac:dyDescent="0.25">
      <c r="A223" s="18">
        <v>85</v>
      </c>
      <c r="B223" s="150" t="s">
        <v>534</v>
      </c>
      <c r="C223" s="150" t="s">
        <v>535</v>
      </c>
      <c r="D223" s="144" t="s">
        <v>172</v>
      </c>
      <c r="E223" s="18"/>
      <c r="F223" s="18"/>
      <c r="G223" s="145"/>
      <c r="H223" s="146">
        <v>1</v>
      </c>
      <c r="I223" s="18"/>
      <c r="J223" s="151" t="s">
        <v>491</v>
      </c>
      <c r="K223" s="144">
        <v>1</v>
      </c>
      <c r="L223" s="19" t="s">
        <v>136</v>
      </c>
    </row>
    <row r="224" spans="1:12" ht="82.5" x14ac:dyDescent="0.25">
      <c r="A224" s="18">
        <v>86</v>
      </c>
      <c r="B224" s="150" t="s">
        <v>536</v>
      </c>
      <c r="C224" s="150" t="s">
        <v>537</v>
      </c>
      <c r="D224" s="144" t="s">
        <v>172</v>
      </c>
      <c r="E224" s="18"/>
      <c r="F224" s="18"/>
      <c r="G224" s="145"/>
      <c r="H224" s="146">
        <v>4</v>
      </c>
      <c r="I224" s="18"/>
      <c r="J224" s="147" t="s">
        <v>491</v>
      </c>
      <c r="K224" s="144">
        <v>4</v>
      </c>
      <c r="L224" s="19" t="s">
        <v>136</v>
      </c>
    </row>
    <row r="225" spans="1:12" ht="99" x14ac:dyDescent="0.25">
      <c r="A225" s="18">
        <v>87</v>
      </c>
      <c r="B225" s="150" t="s">
        <v>538</v>
      </c>
      <c r="C225" s="150" t="s">
        <v>539</v>
      </c>
      <c r="D225" s="144" t="s">
        <v>172</v>
      </c>
      <c r="E225" s="18"/>
      <c r="F225" s="18"/>
      <c r="G225" s="145"/>
      <c r="H225" s="146">
        <v>3</v>
      </c>
      <c r="I225" s="18"/>
      <c r="J225" s="147" t="s">
        <v>544</v>
      </c>
      <c r="K225" s="144">
        <v>3</v>
      </c>
      <c r="L225" s="19" t="s">
        <v>136</v>
      </c>
    </row>
    <row r="226" spans="1:12" ht="33" x14ac:dyDescent="0.25">
      <c r="A226" s="18">
        <v>88</v>
      </c>
      <c r="B226" s="150" t="s">
        <v>540</v>
      </c>
      <c r="C226" s="150" t="s">
        <v>541</v>
      </c>
      <c r="D226" s="144" t="s">
        <v>172</v>
      </c>
      <c r="E226" s="18"/>
      <c r="F226" s="18"/>
      <c r="G226" s="145"/>
      <c r="H226" s="146">
        <v>1</v>
      </c>
      <c r="I226" s="18"/>
      <c r="J226" s="147" t="s">
        <v>544</v>
      </c>
      <c r="K226" s="144">
        <v>1</v>
      </c>
      <c r="L226" s="19" t="s">
        <v>136</v>
      </c>
    </row>
    <row r="227" spans="1:12" ht="49.5" x14ac:dyDescent="0.25">
      <c r="A227" s="18">
        <v>89</v>
      </c>
      <c r="B227" s="150" t="s">
        <v>542</v>
      </c>
      <c r="C227" s="150" t="s">
        <v>543</v>
      </c>
      <c r="D227" s="144" t="s">
        <v>172</v>
      </c>
      <c r="E227" s="18"/>
      <c r="F227" s="18"/>
      <c r="G227" s="145"/>
      <c r="H227" s="146">
        <v>14</v>
      </c>
      <c r="I227" s="18"/>
      <c r="J227" s="147" t="s">
        <v>544</v>
      </c>
      <c r="K227" s="144">
        <v>14</v>
      </c>
      <c r="L227" s="19" t="s">
        <v>136</v>
      </c>
    </row>
    <row r="228" spans="1:12" x14ac:dyDescent="0.25">
      <c r="A228" s="5">
        <v>90</v>
      </c>
      <c r="C228" s="49" t="s">
        <v>420</v>
      </c>
      <c r="D228" s="5" t="s">
        <v>2</v>
      </c>
    </row>
    <row r="229" spans="1:12" x14ac:dyDescent="0.25">
      <c r="C229" s="49" t="s">
        <v>412</v>
      </c>
    </row>
    <row r="1046611" spans="3:11" s="5" customFormat="1" ht="26.25" customHeight="1" x14ac:dyDescent="0.25">
      <c r="C1046611" s="23"/>
      <c r="G1046611" s="100"/>
      <c r="H1046611" s="152"/>
      <c r="J1046611" s="49"/>
      <c r="K1046611" s="94"/>
    </row>
  </sheetData>
  <autoFilter ref="A21:X227" xr:uid="{00000000-0009-0000-0000-00000A000000}"/>
  <mergeCells count="6">
    <mergeCell ref="B15:J15"/>
    <mergeCell ref="A10:B10"/>
    <mergeCell ref="A11:B11"/>
    <mergeCell ref="A12:B12"/>
    <mergeCell ref="H12:I12"/>
    <mergeCell ref="B14:J14"/>
  </mergeCells>
  <conditionalFormatting sqref="B139:B141">
    <cfRule type="duplicateValues" dxfId="2" priority="1"/>
  </conditionalFormatting>
  <printOptions horizontalCentered="1"/>
  <pageMargins left="0" right="0" top="0.25" bottom="0.25" header="0.3" footer="0.3"/>
  <pageSetup scale="55"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46592"/>
  <sheetViews>
    <sheetView topLeftCell="A10" zoomScale="70" zoomScaleNormal="70" workbookViewId="0">
      <pane ySplit="12" topLeftCell="A27" activePane="bottomLeft" state="frozen"/>
      <selection activeCell="A10" sqref="A10"/>
      <selection pane="bottomLeft" activeCell="F57" sqref="F57"/>
    </sheetView>
  </sheetViews>
  <sheetFormatPr defaultColWidth="9.140625" defaultRowHeight="16.5" x14ac:dyDescent="0.25"/>
  <cols>
    <col min="1" max="1" width="7" style="31" customWidth="1"/>
    <col min="2" max="2" width="28.5703125" style="31" customWidth="1"/>
    <col min="3" max="3" width="38.5703125" style="60" customWidth="1"/>
    <col min="4" max="4" width="11.7109375" style="31" customWidth="1"/>
    <col min="5" max="5" width="14" style="31" customWidth="1"/>
    <col min="6" max="7" width="11.7109375" style="31" customWidth="1"/>
    <col min="8" max="8" width="12.5703125" style="59" customWidth="1"/>
    <col min="9" max="9" width="9.5703125" style="31" customWidth="1"/>
    <col min="10" max="10" width="46.85546875" style="60" customWidth="1"/>
    <col min="11" max="11" width="16.7109375" style="37" hidden="1" customWidth="1"/>
    <col min="12" max="12" width="26.42578125" style="12" hidden="1" customWidth="1"/>
    <col min="13" max="16384" width="9.140625" style="12"/>
  </cols>
  <sheetData>
    <row r="1" spans="1:12" ht="28.5" hidden="1" customHeight="1" x14ac:dyDescent="0.25">
      <c r="A1" s="31" t="s">
        <v>8</v>
      </c>
      <c r="C1" s="32"/>
      <c r="D1" s="33"/>
      <c r="E1" s="33"/>
      <c r="F1" s="33"/>
      <c r="G1" s="33"/>
      <c r="H1" s="33"/>
      <c r="I1" s="33"/>
      <c r="J1" s="32"/>
      <c r="K1" s="34"/>
      <c r="L1" s="34"/>
    </row>
    <row r="2" spans="1:12" ht="28.5" hidden="1" customHeight="1" x14ac:dyDescent="0.25">
      <c r="A2" s="35" t="s">
        <v>9</v>
      </c>
      <c r="B2" s="35"/>
      <c r="C2" s="32"/>
      <c r="D2" s="33"/>
      <c r="E2" s="33"/>
      <c r="F2" s="33"/>
      <c r="G2" s="33"/>
      <c r="H2" s="33"/>
      <c r="I2" s="33"/>
      <c r="J2" s="32"/>
      <c r="K2" s="34"/>
      <c r="L2" s="34"/>
    </row>
    <row r="3" spans="1:12" ht="19.5" hidden="1" customHeight="1" x14ac:dyDescent="0.25">
      <c r="C3" s="32"/>
      <c r="D3" s="33"/>
      <c r="E3" s="33"/>
      <c r="F3" s="33"/>
      <c r="G3" s="33"/>
      <c r="H3" s="33"/>
      <c r="I3" s="33"/>
      <c r="J3" s="32"/>
      <c r="K3" s="34"/>
      <c r="L3" s="34"/>
    </row>
    <row r="4" spans="1:12" ht="14.25" hidden="1" customHeight="1" x14ac:dyDescent="0.25">
      <c r="C4" s="32"/>
      <c r="D4" s="33"/>
      <c r="E4" s="33"/>
      <c r="F4" s="33"/>
      <c r="G4" s="33"/>
      <c r="H4" s="33"/>
      <c r="I4" s="33"/>
      <c r="J4" s="32"/>
      <c r="K4" s="34"/>
      <c r="L4" s="34"/>
    </row>
    <row r="5" spans="1:12" ht="14.25" hidden="1" customHeight="1" x14ac:dyDescent="0.25">
      <c r="B5" s="31" t="s">
        <v>14</v>
      </c>
      <c r="C5" s="32"/>
      <c r="D5" s="33"/>
      <c r="E5" s="33"/>
      <c r="F5" s="33"/>
      <c r="G5" s="33"/>
      <c r="H5" s="33"/>
      <c r="I5" s="33"/>
      <c r="J5" s="32"/>
      <c r="K5" s="34"/>
      <c r="L5" s="34"/>
    </row>
    <row r="6" spans="1:12" ht="14.25" hidden="1" customHeight="1" x14ac:dyDescent="0.25">
      <c r="B6" s="31" t="s">
        <v>12</v>
      </c>
      <c r="C6" s="32"/>
      <c r="D6" s="33"/>
      <c r="E6" s="33"/>
      <c r="F6" s="33"/>
      <c r="G6" s="33"/>
      <c r="H6" s="33"/>
      <c r="I6" s="33"/>
      <c r="J6" s="32"/>
      <c r="K6" s="34"/>
      <c r="L6" s="34"/>
    </row>
    <row r="7" spans="1:12" ht="14.25" hidden="1" customHeight="1" x14ac:dyDescent="0.25">
      <c r="B7" s="31" t="s">
        <v>15</v>
      </c>
      <c r="C7" s="32"/>
      <c r="D7" s="33"/>
      <c r="E7" s="33"/>
      <c r="F7" s="33"/>
      <c r="G7" s="33"/>
      <c r="H7" s="33"/>
      <c r="I7" s="33"/>
      <c r="J7" s="32"/>
      <c r="K7" s="34"/>
      <c r="L7" s="34"/>
    </row>
    <row r="8" spans="1:12" ht="14.25" hidden="1" customHeight="1" x14ac:dyDescent="0.25">
      <c r="B8" s="31" t="s">
        <v>13</v>
      </c>
      <c r="C8" s="32"/>
      <c r="D8" s="33"/>
      <c r="E8" s="33"/>
      <c r="F8" s="33"/>
      <c r="G8" s="33"/>
      <c r="H8" s="33"/>
      <c r="I8" s="33"/>
      <c r="J8" s="32"/>
      <c r="K8" s="34"/>
      <c r="L8" s="34"/>
    </row>
    <row r="9" spans="1:12" ht="14.25" hidden="1" customHeight="1" x14ac:dyDescent="0.25">
      <c r="C9" s="32"/>
      <c r="D9" s="33"/>
      <c r="E9" s="33"/>
      <c r="F9" s="33"/>
      <c r="G9" s="33"/>
      <c r="H9" s="33"/>
      <c r="I9" s="33"/>
      <c r="J9" s="32"/>
      <c r="K9" s="34"/>
      <c r="L9" s="34"/>
    </row>
    <row r="10" spans="1:12" ht="45" customHeight="1" x14ac:dyDescent="0.25">
      <c r="A10" s="505" t="s">
        <v>109</v>
      </c>
      <c r="B10" s="505"/>
      <c r="C10" s="32"/>
      <c r="D10" s="33"/>
      <c r="E10" s="33"/>
      <c r="F10" s="33"/>
      <c r="G10" s="33"/>
      <c r="H10" s="33"/>
      <c r="I10" s="33"/>
      <c r="J10" s="36" t="s">
        <v>371</v>
      </c>
      <c r="L10" s="34"/>
    </row>
    <row r="11" spans="1:12" ht="18.75" x14ac:dyDescent="0.25">
      <c r="A11" s="506" t="s">
        <v>9</v>
      </c>
      <c r="B11" s="506"/>
      <c r="C11" s="38"/>
      <c r="D11" s="69"/>
      <c r="E11" s="69"/>
      <c r="F11" s="69"/>
      <c r="G11" s="69"/>
      <c r="H11" s="69"/>
      <c r="I11" s="69"/>
      <c r="J11" s="38"/>
      <c r="K11" s="38"/>
      <c r="L11" s="38"/>
    </row>
    <row r="12" spans="1:12" x14ac:dyDescent="0.25">
      <c r="A12" s="504" t="s">
        <v>505</v>
      </c>
      <c r="B12" s="504"/>
      <c r="C12" s="11"/>
      <c r="H12" s="507"/>
      <c r="I12" s="507"/>
      <c r="J12" s="37"/>
    </row>
    <row r="13" spans="1:12" x14ac:dyDescent="0.25">
      <c r="B13" s="12"/>
      <c r="C13" s="11"/>
      <c r="H13" s="31"/>
      <c r="J13" s="11"/>
    </row>
    <row r="14" spans="1:12" s="39" customFormat="1" ht="25.5" x14ac:dyDescent="0.25">
      <c r="A14" s="40"/>
      <c r="B14" s="508" t="s">
        <v>368</v>
      </c>
      <c r="C14" s="508"/>
      <c r="D14" s="508"/>
      <c r="E14" s="508"/>
      <c r="F14" s="508"/>
      <c r="G14" s="508"/>
      <c r="H14" s="508"/>
      <c r="I14" s="508"/>
      <c r="J14" s="508"/>
    </row>
    <row r="15" spans="1:12" x14ac:dyDescent="0.25">
      <c r="B15" s="504" t="s">
        <v>422</v>
      </c>
      <c r="C15" s="504"/>
      <c r="D15" s="504"/>
      <c r="E15" s="504"/>
      <c r="F15" s="504"/>
      <c r="G15" s="504"/>
      <c r="H15" s="504"/>
      <c r="I15" s="504"/>
      <c r="J15" s="504"/>
      <c r="K15" s="12"/>
    </row>
    <row r="16" spans="1:12" x14ac:dyDescent="0.25">
      <c r="B16" s="12"/>
      <c r="C16" s="11"/>
      <c r="H16" s="31"/>
      <c r="J16" s="11"/>
      <c r="K16" s="12"/>
    </row>
    <row r="17" spans="1:12" x14ac:dyDescent="0.25">
      <c r="B17" s="12" t="s">
        <v>220</v>
      </c>
      <c r="C17" s="11"/>
      <c r="H17" s="31"/>
      <c r="J17" s="11"/>
      <c r="K17" s="12"/>
    </row>
    <row r="18" spans="1:12" x14ac:dyDescent="0.25">
      <c r="B18" s="12" t="s">
        <v>506</v>
      </c>
      <c r="C18" s="11"/>
      <c r="H18" s="31"/>
      <c r="J18" s="11"/>
      <c r="K18" s="12"/>
    </row>
    <row r="19" spans="1:12" x14ac:dyDescent="0.25">
      <c r="B19" s="12"/>
      <c r="C19" s="11"/>
      <c r="H19" s="31"/>
      <c r="J19" s="11"/>
      <c r="K19" s="12"/>
    </row>
    <row r="20" spans="1:12" x14ac:dyDescent="0.25">
      <c r="A20" s="43"/>
      <c r="B20" s="41"/>
      <c r="C20" s="42"/>
      <c r="D20" s="43"/>
      <c r="E20" s="43"/>
      <c r="F20" s="43"/>
      <c r="G20" s="43"/>
      <c r="H20" s="43"/>
      <c r="I20" s="43"/>
      <c r="J20" s="42"/>
      <c r="K20" s="41"/>
      <c r="L20" s="41"/>
    </row>
    <row r="21" spans="1:12" s="11" customFormat="1" ht="75" customHeight="1" x14ac:dyDescent="0.25">
      <c r="A21" s="44" t="s">
        <v>5</v>
      </c>
      <c r="B21" s="44" t="s">
        <v>10</v>
      </c>
      <c r="C21" s="44" t="s">
        <v>11</v>
      </c>
      <c r="D21" s="44" t="s">
        <v>6</v>
      </c>
      <c r="E21" s="44" t="s">
        <v>373</v>
      </c>
      <c r="F21" s="44" t="s">
        <v>404</v>
      </c>
      <c r="G21" s="44" t="s">
        <v>405</v>
      </c>
      <c r="H21" s="17" t="s">
        <v>406</v>
      </c>
      <c r="I21" s="15" t="s">
        <v>407</v>
      </c>
      <c r="J21" s="44" t="s">
        <v>408</v>
      </c>
      <c r="K21" s="16" t="s">
        <v>35</v>
      </c>
      <c r="L21" s="82" t="s">
        <v>108</v>
      </c>
    </row>
    <row r="22" spans="1:12" s="9" customFormat="1" x14ac:dyDescent="0.25">
      <c r="A22" s="61" t="s">
        <v>18</v>
      </c>
      <c r="B22" s="45"/>
      <c r="C22" s="45"/>
      <c r="D22" s="46"/>
      <c r="E22" s="46"/>
      <c r="F22" s="46"/>
      <c r="G22" s="46"/>
      <c r="H22" s="46"/>
      <c r="I22" s="46"/>
      <c r="J22" s="47"/>
      <c r="K22" s="48"/>
      <c r="L22" s="48"/>
    </row>
    <row r="23" spans="1:12" s="6" customFormat="1" ht="33" x14ac:dyDescent="0.25">
      <c r="A23" s="18">
        <v>1</v>
      </c>
      <c r="B23" s="19" t="s">
        <v>153</v>
      </c>
      <c r="C23" s="19" t="s">
        <v>54</v>
      </c>
      <c r="D23" s="20" t="s">
        <v>2</v>
      </c>
      <c r="E23" s="20">
        <v>2210</v>
      </c>
      <c r="F23" s="20">
        <v>0</v>
      </c>
      <c r="G23" s="20">
        <f>E23-F23</f>
        <v>2210</v>
      </c>
      <c r="H23" s="21">
        <v>100</v>
      </c>
      <c r="I23" s="18"/>
      <c r="J23" s="22" t="s">
        <v>55</v>
      </c>
      <c r="K23" s="23" t="s">
        <v>110</v>
      </c>
      <c r="L23" s="19" t="s">
        <v>76</v>
      </c>
    </row>
    <row r="24" spans="1:12" s="6" customFormat="1" x14ac:dyDescent="0.25">
      <c r="A24" s="18">
        <v>2</v>
      </c>
      <c r="B24" s="19" t="s">
        <v>153</v>
      </c>
      <c r="C24" s="19" t="s">
        <v>54</v>
      </c>
      <c r="D24" s="18" t="s">
        <v>2</v>
      </c>
      <c r="E24" s="18">
        <v>2210</v>
      </c>
      <c r="F24" s="18">
        <v>0</v>
      </c>
      <c r="G24" s="20">
        <f t="shared" ref="G24:G96" si="0">E24-F24</f>
        <v>2210</v>
      </c>
      <c r="H24" s="21">
        <v>200</v>
      </c>
      <c r="I24" s="18"/>
      <c r="J24" s="22" t="s">
        <v>161</v>
      </c>
      <c r="K24" s="23">
        <v>0</v>
      </c>
      <c r="L24" s="19" t="s">
        <v>140</v>
      </c>
    </row>
    <row r="25" spans="1:12" s="6" customFormat="1" ht="33" x14ac:dyDescent="0.25">
      <c r="A25" s="18">
        <v>3</v>
      </c>
      <c r="B25" s="23" t="s">
        <v>141</v>
      </c>
      <c r="C25" s="23" t="s">
        <v>142</v>
      </c>
      <c r="D25" s="18" t="s">
        <v>2</v>
      </c>
      <c r="E25" s="18">
        <v>5436</v>
      </c>
      <c r="F25" s="18">
        <f>1248*3</f>
        <v>3744</v>
      </c>
      <c r="G25" s="20">
        <f t="shared" si="0"/>
        <v>1692</v>
      </c>
      <c r="H25" s="13">
        <v>416</v>
      </c>
      <c r="I25" s="18"/>
      <c r="J25" s="23" t="s">
        <v>143</v>
      </c>
      <c r="K25" s="19">
        <v>0</v>
      </c>
      <c r="L25" s="19" t="s">
        <v>140</v>
      </c>
    </row>
    <row r="26" spans="1:12" s="6" customFormat="1" x14ac:dyDescent="0.25">
      <c r="A26" s="18">
        <v>4</v>
      </c>
      <c r="B26" s="23" t="s">
        <v>158</v>
      </c>
      <c r="C26" s="23" t="s">
        <v>159</v>
      </c>
      <c r="D26" s="18" t="s">
        <v>2</v>
      </c>
      <c r="E26" s="18">
        <v>715</v>
      </c>
      <c r="F26" s="18">
        <v>0</v>
      </c>
      <c r="G26" s="20">
        <f t="shared" si="0"/>
        <v>715</v>
      </c>
      <c r="H26" s="13">
        <v>80</v>
      </c>
      <c r="I26" s="18"/>
      <c r="J26" s="23" t="s">
        <v>160</v>
      </c>
      <c r="K26" s="19">
        <v>559</v>
      </c>
      <c r="L26" s="19" t="s">
        <v>140</v>
      </c>
    </row>
    <row r="27" spans="1:12" s="6" customFormat="1" ht="49.5" x14ac:dyDescent="0.25">
      <c r="A27" s="18">
        <v>5</v>
      </c>
      <c r="B27" s="23" t="s">
        <v>162</v>
      </c>
      <c r="C27" s="23" t="s">
        <v>163</v>
      </c>
      <c r="D27" s="20" t="s">
        <v>66</v>
      </c>
      <c r="E27" s="20">
        <v>720</v>
      </c>
      <c r="F27" s="20">
        <v>1813</v>
      </c>
      <c r="G27" s="20">
        <v>0</v>
      </c>
      <c r="H27" s="13">
        <v>460</v>
      </c>
      <c r="I27" s="18"/>
      <c r="J27" s="23" t="s">
        <v>183</v>
      </c>
      <c r="K27" s="19" t="s">
        <v>110</v>
      </c>
      <c r="L27" s="19" t="s">
        <v>140</v>
      </c>
    </row>
    <row r="28" spans="1:12" s="6" customFormat="1" ht="33" x14ac:dyDescent="0.25">
      <c r="A28" s="18">
        <v>6</v>
      </c>
      <c r="B28" s="23" t="s">
        <v>162</v>
      </c>
      <c r="C28" s="23" t="s">
        <v>163</v>
      </c>
      <c r="D28" s="20" t="s">
        <v>66</v>
      </c>
      <c r="E28" s="20">
        <v>720</v>
      </c>
      <c r="F28" s="20">
        <v>1813</v>
      </c>
      <c r="G28" s="20">
        <v>0</v>
      </c>
      <c r="H28" s="13">
        <v>690</v>
      </c>
      <c r="I28" s="18"/>
      <c r="J28" s="23" t="s">
        <v>403</v>
      </c>
      <c r="K28" s="19" t="s">
        <v>110</v>
      </c>
      <c r="L28" s="19" t="s">
        <v>140</v>
      </c>
    </row>
    <row r="29" spans="1:12" s="6" customFormat="1" x14ac:dyDescent="0.25">
      <c r="A29" s="18">
        <v>7</v>
      </c>
      <c r="B29" s="23" t="s">
        <v>185</v>
      </c>
      <c r="C29" s="23" t="s">
        <v>186</v>
      </c>
      <c r="D29" s="20" t="s">
        <v>2</v>
      </c>
      <c r="E29" s="20">
        <v>660</v>
      </c>
      <c r="F29" s="20">
        <v>0</v>
      </c>
      <c r="G29" s="20">
        <f t="shared" si="0"/>
        <v>660</v>
      </c>
      <c r="H29" s="13">
        <v>1000</v>
      </c>
      <c r="I29" s="18"/>
      <c r="J29" s="23" t="s">
        <v>187</v>
      </c>
      <c r="K29" s="19">
        <v>7076</v>
      </c>
      <c r="L29" s="19" t="s">
        <v>140</v>
      </c>
    </row>
    <row r="30" spans="1:12" s="6" customFormat="1" x14ac:dyDescent="0.25">
      <c r="A30" s="18">
        <v>8</v>
      </c>
      <c r="B30" s="23" t="s">
        <v>185</v>
      </c>
      <c r="C30" s="23" t="s">
        <v>186</v>
      </c>
      <c r="D30" s="18" t="s">
        <v>2</v>
      </c>
      <c r="E30" s="18">
        <v>660</v>
      </c>
      <c r="F30" s="18">
        <v>0</v>
      </c>
      <c r="G30" s="20">
        <f t="shared" si="0"/>
        <v>660</v>
      </c>
      <c r="H30" s="20">
        <v>650</v>
      </c>
      <c r="I30" s="18"/>
      <c r="J30" s="23" t="s">
        <v>294</v>
      </c>
      <c r="K30" s="23">
        <v>491</v>
      </c>
      <c r="L30" s="23" t="s">
        <v>88</v>
      </c>
    </row>
    <row r="31" spans="1:12" s="6" customFormat="1" ht="66" x14ac:dyDescent="0.25">
      <c r="A31" s="18">
        <v>9</v>
      </c>
      <c r="B31" s="23" t="s">
        <v>444</v>
      </c>
      <c r="C31" s="23" t="s">
        <v>445</v>
      </c>
      <c r="D31" s="18" t="s">
        <v>2</v>
      </c>
      <c r="E31" s="18">
        <v>927</v>
      </c>
      <c r="F31" s="18">
        <v>30</v>
      </c>
      <c r="G31" s="20">
        <f t="shared" si="0"/>
        <v>897</v>
      </c>
      <c r="H31" s="20">
        <v>1200</v>
      </c>
      <c r="I31" s="18"/>
      <c r="J31" s="22" t="s">
        <v>446</v>
      </c>
      <c r="K31" s="23">
        <v>1100</v>
      </c>
      <c r="L31" s="23" t="s">
        <v>140</v>
      </c>
    </row>
    <row r="32" spans="1:12" s="6" customFormat="1" ht="33" x14ac:dyDescent="0.25">
      <c r="A32" s="18">
        <v>10</v>
      </c>
      <c r="B32" s="23" t="s">
        <v>24</v>
      </c>
      <c r="C32" s="23" t="s">
        <v>7</v>
      </c>
      <c r="D32" s="18" t="s">
        <v>2</v>
      </c>
      <c r="E32" s="18">
        <v>418</v>
      </c>
      <c r="F32" s="18">
        <v>30</v>
      </c>
      <c r="G32" s="20">
        <f>E32-F32</f>
        <v>388</v>
      </c>
      <c r="H32" s="13">
        <v>100</v>
      </c>
      <c r="I32" s="18"/>
      <c r="J32" s="22" t="s">
        <v>105</v>
      </c>
      <c r="K32" s="19">
        <v>190</v>
      </c>
      <c r="L32" s="19" t="s">
        <v>104</v>
      </c>
    </row>
    <row r="33" spans="1:12" s="6" customFormat="1" x14ac:dyDescent="0.25">
      <c r="A33" s="18">
        <v>11</v>
      </c>
      <c r="B33" s="23" t="s">
        <v>77</v>
      </c>
      <c r="C33" s="23" t="s">
        <v>78</v>
      </c>
      <c r="D33" s="20" t="s">
        <v>2</v>
      </c>
      <c r="E33" s="20">
        <v>1512</v>
      </c>
      <c r="F33" s="20">
        <v>0</v>
      </c>
      <c r="G33" s="20">
        <f t="shared" si="0"/>
        <v>1512</v>
      </c>
      <c r="H33" s="13">
        <v>1000</v>
      </c>
      <c r="I33" s="18"/>
      <c r="J33" s="23" t="s">
        <v>288</v>
      </c>
      <c r="K33" s="62">
        <v>1076</v>
      </c>
      <c r="L33" s="19" t="s">
        <v>88</v>
      </c>
    </row>
    <row r="34" spans="1:12" s="6" customFormat="1" ht="33" x14ac:dyDescent="0.25">
      <c r="A34" s="18">
        <v>12</v>
      </c>
      <c r="B34" s="23" t="s">
        <v>3</v>
      </c>
      <c r="C34" s="23" t="s">
        <v>4</v>
      </c>
      <c r="D34" s="18" t="s">
        <v>2</v>
      </c>
      <c r="E34" s="18">
        <v>1725</v>
      </c>
      <c r="F34" s="18">
        <v>100</v>
      </c>
      <c r="G34" s="20">
        <f t="shared" si="0"/>
        <v>1625</v>
      </c>
      <c r="H34" s="13">
        <v>650</v>
      </c>
      <c r="I34" s="18"/>
      <c r="J34" s="23" t="s">
        <v>287</v>
      </c>
      <c r="K34" s="19">
        <v>2703</v>
      </c>
      <c r="L34" s="19" t="s">
        <v>88</v>
      </c>
    </row>
    <row r="35" spans="1:12" s="6" customFormat="1" ht="33" x14ac:dyDescent="0.25">
      <c r="A35" s="18">
        <v>13</v>
      </c>
      <c r="B35" s="23" t="s">
        <v>3</v>
      </c>
      <c r="C35" s="23" t="s">
        <v>4</v>
      </c>
      <c r="D35" s="18" t="s">
        <v>2</v>
      </c>
      <c r="E35" s="18">
        <v>1725</v>
      </c>
      <c r="F35" s="18">
        <f>100*2</f>
        <v>200</v>
      </c>
      <c r="G35" s="20">
        <f t="shared" si="0"/>
        <v>1525</v>
      </c>
      <c r="H35" s="13">
        <v>500</v>
      </c>
      <c r="I35" s="18"/>
      <c r="J35" s="23" t="s">
        <v>36</v>
      </c>
      <c r="K35" s="19">
        <v>2703</v>
      </c>
      <c r="L35" s="19" t="s">
        <v>104</v>
      </c>
    </row>
    <row r="36" spans="1:12" s="6" customFormat="1" ht="33" x14ac:dyDescent="0.25">
      <c r="A36" s="18">
        <v>14</v>
      </c>
      <c r="B36" s="23" t="s">
        <v>3</v>
      </c>
      <c r="C36" s="23" t="s">
        <v>4</v>
      </c>
      <c r="D36" s="18" t="s">
        <v>2</v>
      </c>
      <c r="E36" s="18">
        <v>1725</v>
      </c>
      <c r="F36" s="18">
        <v>200</v>
      </c>
      <c r="G36" s="20">
        <f t="shared" si="0"/>
        <v>1525</v>
      </c>
      <c r="H36" s="13">
        <v>416</v>
      </c>
      <c r="I36" s="18"/>
      <c r="J36" s="23" t="s">
        <v>440</v>
      </c>
      <c r="K36" s="19">
        <v>2703</v>
      </c>
      <c r="L36" s="19" t="s">
        <v>140</v>
      </c>
    </row>
    <row r="37" spans="1:12" s="6" customFormat="1" x14ac:dyDescent="0.25">
      <c r="A37" s="18">
        <v>15</v>
      </c>
      <c r="B37" s="23" t="s">
        <v>441</v>
      </c>
      <c r="C37" s="23" t="s">
        <v>442</v>
      </c>
      <c r="D37" s="18" t="s">
        <v>2</v>
      </c>
      <c r="E37" s="18">
        <v>0</v>
      </c>
      <c r="F37" s="18">
        <v>0</v>
      </c>
      <c r="G37" s="20">
        <f t="shared" si="0"/>
        <v>0</v>
      </c>
      <c r="H37" s="13">
        <v>60</v>
      </c>
      <c r="I37" s="18"/>
      <c r="J37" s="23" t="s">
        <v>443</v>
      </c>
      <c r="K37" s="19">
        <v>2218</v>
      </c>
      <c r="L37" s="19" t="s">
        <v>140</v>
      </c>
    </row>
    <row r="38" spans="1:12" s="6" customFormat="1" x14ac:dyDescent="0.25">
      <c r="A38" s="18">
        <v>16</v>
      </c>
      <c r="B38" s="23" t="s">
        <v>16</v>
      </c>
      <c r="C38" s="23" t="s">
        <v>164</v>
      </c>
      <c r="D38" s="18" t="s">
        <v>2</v>
      </c>
      <c r="E38" s="18">
        <v>550</v>
      </c>
      <c r="F38" s="18">
        <v>0</v>
      </c>
      <c r="G38" s="20">
        <f t="shared" si="0"/>
        <v>550</v>
      </c>
      <c r="H38" s="13">
        <v>209</v>
      </c>
      <c r="I38" s="18"/>
      <c r="J38" s="23" t="s">
        <v>165</v>
      </c>
      <c r="K38" s="19">
        <v>0</v>
      </c>
      <c r="L38" s="19" t="s">
        <v>140</v>
      </c>
    </row>
    <row r="39" spans="1:12" s="6" customFormat="1" ht="49.5" x14ac:dyDescent="0.25">
      <c r="A39" s="18">
        <v>17</v>
      </c>
      <c r="B39" s="23" t="s">
        <v>85</v>
      </c>
      <c r="C39" s="23" t="s">
        <v>86</v>
      </c>
      <c r="D39" s="18" t="s">
        <v>2</v>
      </c>
      <c r="E39" s="18">
        <v>4081</v>
      </c>
      <c r="F39" s="18">
        <f>860+200</f>
        <v>1060</v>
      </c>
      <c r="G39" s="20">
        <f t="shared" si="0"/>
        <v>3021</v>
      </c>
      <c r="H39" s="24">
        <v>3800</v>
      </c>
      <c r="I39" s="18"/>
      <c r="J39" s="23" t="s">
        <v>219</v>
      </c>
      <c r="K39" s="19">
        <v>6843</v>
      </c>
      <c r="L39" s="19" t="s">
        <v>88</v>
      </c>
    </row>
    <row r="40" spans="1:12" s="6" customFormat="1" ht="33" x14ac:dyDescent="0.25">
      <c r="A40" s="18">
        <v>18</v>
      </c>
      <c r="B40" s="23" t="s">
        <v>83</v>
      </c>
      <c r="C40" s="23" t="s">
        <v>84</v>
      </c>
      <c r="D40" s="18" t="s">
        <v>2</v>
      </c>
      <c r="E40" s="18">
        <v>2178</v>
      </c>
      <c r="F40" s="18">
        <f>80+400</f>
        <v>480</v>
      </c>
      <c r="G40" s="20">
        <f t="shared" si="0"/>
        <v>1698</v>
      </c>
      <c r="H40" s="13">
        <v>1100</v>
      </c>
      <c r="I40" s="18"/>
      <c r="J40" s="23" t="s">
        <v>286</v>
      </c>
      <c r="K40" s="19">
        <v>0</v>
      </c>
      <c r="L40" s="19" t="s">
        <v>88</v>
      </c>
    </row>
    <row r="41" spans="1:12" s="6" customFormat="1" ht="49.5" x14ac:dyDescent="0.25">
      <c r="A41" s="18">
        <v>19</v>
      </c>
      <c r="B41" s="23" t="s">
        <v>83</v>
      </c>
      <c r="C41" s="23" t="s">
        <v>84</v>
      </c>
      <c r="D41" s="18" t="s">
        <v>2</v>
      </c>
      <c r="E41" s="18">
        <v>2178</v>
      </c>
      <c r="F41" s="18">
        <v>480</v>
      </c>
      <c r="G41" s="20">
        <f t="shared" si="0"/>
        <v>1698</v>
      </c>
      <c r="H41" s="13">
        <v>400</v>
      </c>
      <c r="I41" s="18"/>
      <c r="J41" s="23" t="s">
        <v>402</v>
      </c>
      <c r="K41" s="19">
        <v>0</v>
      </c>
      <c r="L41" s="19"/>
    </row>
    <row r="42" spans="1:12" s="6" customFormat="1" ht="33" x14ac:dyDescent="0.25">
      <c r="A42" s="18">
        <v>20</v>
      </c>
      <c r="B42" s="23" t="s">
        <v>56</v>
      </c>
      <c r="C42" s="23" t="s">
        <v>57</v>
      </c>
      <c r="D42" s="20" t="s">
        <v>2</v>
      </c>
      <c r="E42" s="20">
        <v>2318</v>
      </c>
      <c r="F42" s="20">
        <f>207+20+627+20</f>
        <v>874</v>
      </c>
      <c r="G42" s="20">
        <f t="shared" si="0"/>
        <v>1444</v>
      </c>
      <c r="H42" s="13">
        <v>2000</v>
      </c>
      <c r="I42" s="18"/>
      <c r="J42" s="23" t="s">
        <v>217</v>
      </c>
      <c r="K42" s="19">
        <v>2436</v>
      </c>
      <c r="L42" s="23" t="s">
        <v>88</v>
      </c>
    </row>
    <row r="43" spans="1:12" s="6" customFormat="1" ht="33" x14ac:dyDescent="0.25">
      <c r="A43" s="18">
        <v>21</v>
      </c>
      <c r="B43" s="23" t="s">
        <v>56</v>
      </c>
      <c r="C43" s="23" t="s">
        <v>57</v>
      </c>
      <c r="D43" s="20" t="s">
        <v>2</v>
      </c>
      <c r="E43" s="20">
        <v>2318</v>
      </c>
      <c r="F43" s="20">
        <v>874</v>
      </c>
      <c r="G43" s="20">
        <f t="shared" si="0"/>
        <v>1444</v>
      </c>
      <c r="H43" s="13">
        <v>209</v>
      </c>
      <c r="I43" s="18"/>
      <c r="J43" s="23" t="s">
        <v>439</v>
      </c>
      <c r="K43" s="19">
        <v>2436</v>
      </c>
      <c r="L43" s="23" t="s">
        <v>76</v>
      </c>
    </row>
    <row r="44" spans="1:12" s="6" customFormat="1" ht="49.5" x14ac:dyDescent="0.25">
      <c r="A44" s="18">
        <v>22</v>
      </c>
      <c r="B44" s="23" t="s">
        <v>447</v>
      </c>
      <c r="C44" s="23" t="s">
        <v>448</v>
      </c>
      <c r="D44" s="20" t="s">
        <v>2</v>
      </c>
      <c r="E44" s="20">
        <v>257.89999999999998</v>
      </c>
      <c r="F44" s="20">
        <v>0</v>
      </c>
      <c r="G44" s="20">
        <f t="shared" si="0"/>
        <v>257.89999999999998</v>
      </c>
      <c r="H44" s="13">
        <v>250</v>
      </c>
      <c r="I44" s="18"/>
      <c r="J44" s="23" t="s">
        <v>449</v>
      </c>
      <c r="K44" s="19">
        <v>2436</v>
      </c>
      <c r="L44" s="23" t="s">
        <v>140</v>
      </c>
    </row>
    <row r="45" spans="1:12" s="6" customFormat="1" ht="33" x14ac:dyDescent="0.25">
      <c r="A45" s="18">
        <v>23</v>
      </c>
      <c r="B45" s="23" t="s">
        <v>415</v>
      </c>
      <c r="C45" s="23" t="s">
        <v>175</v>
      </c>
      <c r="D45" s="72" t="s">
        <v>66</v>
      </c>
      <c r="E45" s="72">
        <v>9530</v>
      </c>
      <c r="F45" s="72">
        <f>170*3</f>
        <v>510</v>
      </c>
      <c r="G45" s="73">
        <f t="shared" si="0"/>
        <v>9020</v>
      </c>
      <c r="H45" s="73">
        <v>2890</v>
      </c>
      <c r="I45" s="72"/>
      <c r="J45" s="71" t="s">
        <v>400</v>
      </c>
      <c r="K45" s="74">
        <v>2550</v>
      </c>
      <c r="L45" s="75" t="s">
        <v>176</v>
      </c>
    </row>
    <row r="46" spans="1:12" s="6" customFormat="1" ht="33" x14ac:dyDescent="0.25">
      <c r="A46" s="18">
        <v>24</v>
      </c>
      <c r="B46" s="23" t="s">
        <v>201</v>
      </c>
      <c r="C46" s="23" t="s">
        <v>202</v>
      </c>
      <c r="D46" s="18" t="s">
        <v>2</v>
      </c>
      <c r="E46" s="18">
        <v>88.2</v>
      </c>
      <c r="F46" s="18">
        <v>0</v>
      </c>
      <c r="G46" s="20">
        <f t="shared" si="0"/>
        <v>88.2</v>
      </c>
      <c r="H46" s="20">
        <v>65</v>
      </c>
      <c r="I46" s="18"/>
      <c r="J46" s="23" t="s">
        <v>289</v>
      </c>
      <c r="K46" s="23">
        <v>65</v>
      </c>
      <c r="L46" s="23" t="s">
        <v>76</v>
      </c>
    </row>
    <row r="47" spans="1:12" s="6" customFormat="1" ht="33" x14ac:dyDescent="0.25">
      <c r="A47" s="18">
        <v>25</v>
      </c>
      <c r="B47" s="23" t="s">
        <v>292</v>
      </c>
      <c r="C47" s="23" t="s">
        <v>293</v>
      </c>
      <c r="D47" s="18" t="s">
        <v>2</v>
      </c>
      <c r="E47" s="18">
        <v>0</v>
      </c>
      <c r="F47" s="18">
        <v>0</v>
      </c>
      <c r="G47" s="20">
        <f t="shared" si="0"/>
        <v>0</v>
      </c>
      <c r="H47" s="20">
        <v>100</v>
      </c>
      <c r="I47" s="18"/>
      <c r="J47" s="23" t="s">
        <v>290</v>
      </c>
      <c r="K47" s="23">
        <v>82</v>
      </c>
      <c r="L47" s="23" t="s">
        <v>76</v>
      </c>
    </row>
    <row r="48" spans="1:12" s="6" customFormat="1" x14ac:dyDescent="0.25">
      <c r="A48" s="18">
        <v>26</v>
      </c>
      <c r="B48" s="23" t="s">
        <v>203</v>
      </c>
      <c r="C48" s="23" t="s">
        <v>204</v>
      </c>
      <c r="D48" s="18" t="s">
        <v>2</v>
      </c>
      <c r="E48" s="18">
        <v>1256</v>
      </c>
      <c r="F48" s="18">
        <v>0</v>
      </c>
      <c r="G48" s="20">
        <f t="shared" si="0"/>
        <v>1256</v>
      </c>
      <c r="H48" s="20">
        <v>1000</v>
      </c>
      <c r="I48" s="18"/>
      <c r="J48" s="23" t="s">
        <v>291</v>
      </c>
      <c r="K48" s="23">
        <v>1210</v>
      </c>
      <c r="L48" s="23" t="s">
        <v>88</v>
      </c>
    </row>
    <row r="49" spans="1:12" s="6" customFormat="1" ht="33" x14ac:dyDescent="0.25">
      <c r="A49" s="18">
        <v>27</v>
      </c>
      <c r="B49" s="23" t="s">
        <v>79</v>
      </c>
      <c r="C49" s="23" t="s">
        <v>80</v>
      </c>
      <c r="D49" s="18" t="s">
        <v>2</v>
      </c>
      <c r="E49" s="18">
        <v>2400</v>
      </c>
      <c r="F49" s="18">
        <v>20</v>
      </c>
      <c r="G49" s="20">
        <f t="shared" si="0"/>
        <v>2380</v>
      </c>
      <c r="H49" s="13">
        <v>209</v>
      </c>
      <c r="I49" s="18"/>
      <c r="J49" s="23" t="s">
        <v>218</v>
      </c>
      <c r="K49" s="19">
        <v>500</v>
      </c>
      <c r="L49" s="19" t="s">
        <v>88</v>
      </c>
    </row>
    <row r="50" spans="1:12" s="6" customFormat="1" ht="33" x14ac:dyDescent="0.25">
      <c r="A50" s="18">
        <v>28</v>
      </c>
      <c r="B50" s="23" t="s">
        <v>56</v>
      </c>
      <c r="C50" s="23" t="s">
        <v>57</v>
      </c>
      <c r="D50" s="18" t="s">
        <v>2</v>
      </c>
      <c r="E50" s="18">
        <v>2318</v>
      </c>
      <c r="F50" s="18">
        <v>874</v>
      </c>
      <c r="G50" s="20">
        <v>1444</v>
      </c>
      <c r="H50" s="13">
        <v>209</v>
      </c>
      <c r="I50" s="18"/>
      <c r="J50" s="23" t="s">
        <v>504</v>
      </c>
      <c r="K50" s="19"/>
      <c r="L50" s="19"/>
    </row>
    <row r="51" spans="1:12" s="6" customFormat="1" ht="49.5" x14ac:dyDescent="0.25">
      <c r="A51" s="18">
        <v>29</v>
      </c>
      <c r="B51" s="23" t="s">
        <v>25</v>
      </c>
      <c r="C51" s="19" t="s">
        <v>43</v>
      </c>
      <c r="D51" s="18" t="s">
        <v>2</v>
      </c>
      <c r="E51" s="18">
        <v>92</v>
      </c>
      <c r="F51" s="18">
        <v>32</v>
      </c>
      <c r="G51" s="20">
        <f t="shared" si="0"/>
        <v>60</v>
      </c>
      <c r="H51" s="13">
        <v>50</v>
      </c>
      <c r="I51" s="18"/>
      <c r="J51" s="22" t="s">
        <v>45</v>
      </c>
      <c r="K51" s="19">
        <v>229</v>
      </c>
      <c r="L51" s="19" t="s">
        <v>104</v>
      </c>
    </row>
    <row r="52" spans="1:12" s="6" customFormat="1" x14ac:dyDescent="0.25">
      <c r="A52" s="18">
        <v>30</v>
      </c>
      <c r="B52" s="23" t="s">
        <v>25</v>
      </c>
      <c r="C52" s="19" t="s">
        <v>43</v>
      </c>
      <c r="D52" s="18" t="s">
        <v>2</v>
      </c>
      <c r="E52" s="18">
        <v>92</v>
      </c>
      <c r="F52" s="18">
        <v>32</v>
      </c>
      <c r="G52" s="20">
        <f t="shared" si="0"/>
        <v>60</v>
      </c>
      <c r="H52" s="13">
        <v>50</v>
      </c>
      <c r="I52" s="18"/>
      <c r="J52" s="22" t="s">
        <v>184</v>
      </c>
      <c r="K52" s="19">
        <v>229</v>
      </c>
      <c r="L52" s="23" t="s">
        <v>88</v>
      </c>
    </row>
    <row r="53" spans="1:12" s="6" customFormat="1" ht="33" x14ac:dyDescent="0.25">
      <c r="A53" s="18">
        <v>31</v>
      </c>
      <c r="B53" s="23" t="s">
        <v>16</v>
      </c>
      <c r="C53" s="23" t="s">
        <v>44</v>
      </c>
      <c r="D53" s="18" t="s">
        <v>2</v>
      </c>
      <c r="E53" s="18">
        <v>585</v>
      </c>
      <c r="F53" s="18">
        <v>0</v>
      </c>
      <c r="G53" s="20">
        <f t="shared" si="0"/>
        <v>585</v>
      </c>
      <c r="H53" s="13">
        <v>0</v>
      </c>
      <c r="I53" s="18"/>
      <c r="J53" s="22" t="s">
        <v>106</v>
      </c>
      <c r="K53" s="19" t="s">
        <v>127</v>
      </c>
      <c r="L53" s="19" t="s">
        <v>104</v>
      </c>
    </row>
    <row r="54" spans="1:12" s="6" customFormat="1" ht="33" x14ac:dyDescent="0.25">
      <c r="A54" s="18">
        <v>32</v>
      </c>
      <c r="B54" s="23" t="s">
        <v>46</v>
      </c>
      <c r="C54" s="23" t="s">
        <v>47</v>
      </c>
      <c r="D54" s="18" t="s">
        <v>2</v>
      </c>
      <c r="E54" s="18">
        <v>662</v>
      </c>
      <c r="F54" s="18">
        <v>0</v>
      </c>
      <c r="G54" s="20">
        <f t="shared" si="0"/>
        <v>662</v>
      </c>
      <c r="H54" s="21">
        <v>105</v>
      </c>
      <c r="I54" s="18"/>
      <c r="J54" s="22" t="s">
        <v>247</v>
      </c>
      <c r="K54" s="23" t="s">
        <v>110</v>
      </c>
      <c r="L54" s="19" t="s">
        <v>48</v>
      </c>
    </row>
    <row r="55" spans="1:12" s="6" customFormat="1" ht="49.5" x14ac:dyDescent="0.25">
      <c r="A55" s="18">
        <v>33</v>
      </c>
      <c r="B55" s="19" t="s">
        <v>52</v>
      </c>
      <c r="C55" s="23" t="s">
        <v>53</v>
      </c>
      <c r="D55" s="20" t="s">
        <v>2</v>
      </c>
      <c r="E55" s="20">
        <v>2720</v>
      </c>
      <c r="F55" s="20">
        <v>940</v>
      </c>
      <c r="G55" s="20">
        <f t="shared" si="0"/>
        <v>1780</v>
      </c>
      <c r="H55" s="21">
        <v>60</v>
      </c>
      <c r="I55" s="18"/>
      <c r="J55" s="23" t="s">
        <v>152</v>
      </c>
      <c r="K55" s="63">
        <v>80</v>
      </c>
      <c r="L55" s="19" t="s">
        <v>76</v>
      </c>
    </row>
    <row r="56" spans="1:12" s="6" customFormat="1" ht="99" x14ac:dyDescent="0.25">
      <c r="A56" s="18">
        <v>34</v>
      </c>
      <c r="B56" s="23" t="s">
        <v>81</v>
      </c>
      <c r="C56" s="23" t="s">
        <v>82</v>
      </c>
      <c r="D56" s="18" t="s">
        <v>66</v>
      </c>
      <c r="E56" s="18">
        <v>22078</v>
      </c>
      <c r="F56" s="18">
        <f>11975+180*7</f>
        <v>13235</v>
      </c>
      <c r="G56" s="20">
        <f t="shared" si="0"/>
        <v>8843</v>
      </c>
      <c r="H56" s="24">
        <v>3000</v>
      </c>
      <c r="I56" s="18"/>
      <c r="J56" s="23" t="s">
        <v>87</v>
      </c>
      <c r="K56" s="19">
        <v>9385</v>
      </c>
      <c r="L56" s="19" t="s">
        <v>88</v>
      </c>
    </row>
    <row r="57" spans="1:12" s="6" customFormat="1" ht="49.5" x14ac:dyDescent="0.25">
      <c r="A57" s="18">
        <v>35</v>
      </c>
      <c r="B57" s="23" t="s">
        <v>495</v>
      </c>
      <c r="C57" s="23" t="s">
        <v>496</v>
      </c>
      <c r="D57" s="18" t="s">
        <v>2</v>
      </c>
      <c r="E57" s="18">
        <v>482.6</v>
      </c>
      <c r="F57" s="18">
        <v>100</v>
      </c>
      <c r="G57" s="20">
        <f t="shared" si="0"/>
        <v>382.6</v>
      </c>
      <c r="H57" s="24">
        <v>40</v>
      </c>
      <c r="I57" s="18"/>
      <c r="J57" s="23" t="s">
        <v>497</v>
      </c>
      <c r="K57" s="19">
        <v>713</v>
      </c>
      <c r="L57" s="19" t="s">
        <v>88</v>
      </c>
    </row>
    <row r="58" spans="1:12" s="9" customFormat="1" x14ac:dyDescent="0.25">
      <c r="A58" s="61" t="s">
        <v>19</v>
      </c>
      <c r="B58" s="45"/>
      <c r="C58" s="45"/>
      <c r="D58" s="46"/>
      <c r="E58" s="46"/>
      <c r="F58" s="46"/>
      <c r="G58" s="20"/>
      <c r="H58" s="46"/>
      <c r="I58" s="46"/>
      <c r="J58" s="47"/>
      <c r="K58" s="48"/>
      <c r="L58" s="48"/>
    </row>
    <row r="59" spans="1:12" s="6" customFormat="1" ht="33" x14ac:dyDescent="0.25">
      <c r="A59" s="18">
        <v>1</v>
      </c>
      <c r="B59" s="23" t="s">
        <v>111</v>
      </c>
      <c r="C59" s="23" t="s">
        <v>58</v>
      </c>
      <c r="D59" s="18" t="s">
        <v>0</v>
      </c>
      <c r="E59" s="18">
        <v>92</v>
      </c>
      <c r="F59" s="18">
        <f>22+2</f>
        <v>24</v>
      </c>
      <c r="G59" s="20">
        <f t="shared" si="0"/>
        <v>68</v>
      </c>
      <c r="H59" s="25">
        <v>10</v>
      </c>
      <c r="I59" s="18"/>
      <c r="J59" s="23" t="s">
        <v>154</v>
      </c>
      <c r="K59" s="23">
        <v>8</v>
      </c>
      <c r="L59" s="19" t="s">
        <v>178</v>
      </c>
    </row>
    <row r="60" spans="1:12" s="6" customFormat="1" ht="66" x14ac:dyDescent="0.25">
      <c r="A60" s="18">
        <v>2</v>
      </c>
      <c r="B60" s="23" t="s">
        <v>450</v>
      </c>
      <c r="C60" s="23" t="s">
        <v>451</v>
      </c>
      <c r="D60" s="18" t="s">
        <v>0</v>
      </c>
      <c r="E60" s="18">
        <v>0</v>
      </c>
      <c r="F60" s="18">
        <v>0</v>
      </c>
      <c r="G60" s="20">
        <v>0</v>
      </c>
      <c r="H60" s="25">
        <v>2</v>
      </c>
      <c r="I60" s="18"/>
      <c r="J60" s="79" t="s">
        <v>452</v>
      </c>
      <c r="K60" s="23"/>
      <c r="L60" s="19" t="s">
        <v>140</v>
      </c>
    </row>
    <row r="61" spans="1:12" s="6" customFormat="1" ht="99" x14ac:dyDescent="0.25">
      <c r="A61" s="18">
        <v>3</v>
      </c>
      <c r="B61" s="23" t="s">
        <v>453</v>
      </c>
      <c r="C61" s="23" t="s">
        <v>454</v>
      </c>
      <c r="D61" s="18" t="s">
        <v>0</v>
      </c>
      <c r="E61" s="18">
        <v>0</v>
      </c>
      <c r="F61" s="18">
        <v>0</v>
      </c>
      <c r="G61" s="20">
        <v>0</v>
      </c>
      <c r="H61" s="25">
        <v>2</v>
      </c>
      <c r="I61" s="18"/>
      <c r="J61" s="79" t="s">
        <v>455</v>
      </c>
      <c r="K61" s="23"/>
      <c r="L61" s="19" t="s">
        <v>140</v>
      </c>
    </row>
    <row r="62" spans="1:12" s="6" customFormat="1" ht="82.5" x14ac:dyDescent="0.25">
      <c r="A62" s="18">
        <v>4</v>
      </c>
      <c r="B62" s="23" t="s">
        <v>456</v>
      </c>
      <c r="C62" s="23" t="s">
        <v>457</v>
      </c>
      <c r="D62" s="18" t="s">
        <v>17</v>
      </c>
      <c r="E62" s="18">
        <v>0</v>
      </c>
      <c r="F62" s="18">
        <v>0</v>
      </c>
      <c r="G62" s="20">
        <v>0</v>
      </c>
      <c r="H62" s="25">
        <v>2</v>
      </c>
      <c r="I62" s="18"/>
      <c r="J62" s="79" t="s">
        <v>458</v>
      </c>
      <c r="K62" s="23"/>
      <c r="L62" s="19" t="s">
        <v>140</v>
      </c>
    </row>
    <row r="63" spans="1:12" s="6" customFormat="1" ht="66" x14ac:dyDescent="0.25">
      <c r="A63" s="18">
        <v>5</v>
      </c>
      <c r="B63" s="23" t="s">
        <v>113</v>
      </c>
      <c r="C63" s="23" t="s">
        <v>61</v>
      </c>
      <c r="D63" s="18" t="s">
        <v>0</v>
      </c>
      <c r="E63" s="18">
        <v>28</v>
      </c>
      <c r="F63" s="18">
        <v>11</v>
      </c>
      <c r="G63" s="20">
        <f t="shared" si="0"/>
        <v>17</v>
      </c>
      <c r="H63" s="25">
        <v>0</v>
      </c>
      <c r="I63" s="18"/>
      <c r="J63" s="23" t="s">
        <v>209</v>
      </c>
      <c r="K63" s="19"/>
      <c r="L63" s="19" t="s">
        <v>76</v>
      </c>
    </row>
    <row r="64" spans="1:12" s="6" customFormat="1" ht="33" x14ac:dyDescent="0.25">
      <c r="A64" s="18">
        <v>6</v>
      </c>
      <c r="B64" s="23" t="s">
        <v>113</v>
      </c>
      <c r="C64" s="23" t="s">
        <v>170</v>
      </c>
      <c r="D64" s="18" t="s">
        <v>172</v>
      </c>
      <c r="E64" s="18">
        <v>28</v>
      </c>
      <c r="F64" s="18">
        <v>11</v>
      </c>
      <c r="G64" s="20">
        <f t="shared" si="0"/>
        <v>17</v>
      </c>
      <c r="H64" s="25">
        <v>0</v>
      </c>
      <c r="I64" s="18"/>
      <c r="J64" s="23" t="s">
        <v>173</v>
      </c>
      <c r="K64" s="19">
        <v>8</v>
      </c>
      <c r="L64" s="19"/>
    </row>
    <row r="65" spans="1:12" s="6" customFormat="1" ht="33" x14ac:dyDescent="0.25">
      <c r="A65" s="18">
        <v>7</v>
      </c>
      <c r="B65" s="23" t="s">
        <v>114</v>
      </c>
      <c r="C65" s="23" t="s">
        <v>171</v>
      </c>
      <c r="D65" s="18" t="s">
        <v>0</v>
      </c>
      <c r="E65" s="18">
        <v>20</v>
      </c>
      <c r="F65" s="18">
        <v>9</v>
      </c>
      <c r="G65" s="20">
        <f t="shared" si="0"/>
        <v>11</v>
      </c>
      <c r="H65" s="25">
        <v>0</v>
      </c>
      <c r="I65" s="18"/>
      <c r="J65" s="23" t="s">
        <v>177</v>
      </c>
      <c r="K65" s="19">
        <v>3</v>
      </c>
      <c r="L65" s="19"/>
    </row>
    <row r="66" spans="1:12" s="6" customFormat="1" ht="49.5" x14ac:dyDescent="0.25">
      <c r="A66" s="18">
        <v>8</v>
      </c>
      <c r="B66" s="23" t="s">
        <v>114</v>
      </c>
      <c r="C66" s="23" t="s">
        <v>62</v>
      </c>
      <c r="D66" s="18" t="s">
        <v>0</v>
      </c>
      <c r="E66" s="18">
        <v>20</v>
      </c>
      <c r="F66" s="18">
        <v>9</v>
      </c>
      <c r="G66" s="20">
        <f t="shared" si="0"/>
        <v>11</v>
      </c>
      <c r="H66" s="25">
        <v>0</v>
      </c>
      <c r="I66" s="18"/>
      <c r="J66" s="23" t="s">
        <v>210</v>
      </c>
      <c r="K66" s="23">
        <v>0</v>
      </c>
      <c r="L66" s="19" t="s">
        <v>76</v>
      </c>
    </row>
    <row r="67" spans="1:12" s="6" customFormat="1" ht="33" x14ac:dyDescent="0.25">
      <c r="A67" s="18">
        <v>9</v>
      </c>
      <c r="B67" s="23" t="s">
        <v>115</v>
      </c>
      <c r="C67" s="23" t="s">
        <v>423</v>
      </c>
      <c r="D67" s="18" t="s">
        <v>0</v>
      </c>
      <c r="E67" s="18">
        <v>10</v>
      </c>
      <c r="F67" s="18">
        <v>4</v>
      </c>
      <c r="G67" s="20">
        <v>6</v>
      </c>
      <c r="H67" s="25">
        <v>0</v>
      </c>
      <c r="I67" s="18">
        <v>0</v>
      </c>
      <c r="J67" s="23"/>
      <c r="K67" s="23"/>
      <c r="L67" s="19" t="s">
        <v>76</v>
      </c>
    </row>
    <row r="68" spans="1:12" s="6" customFormat="1" ht="49.5" x14ac:dyDescent="0.25">
      <c r="A68" s="18">
        <v>10</v>
      </c>
      <c r="B68" s="23" t="s">
        <v>128</v>
      </c>
      <c r="C68" s="23" t="s">
        <v>63</v>
      </c>
      <c r="D68" s="18" t="s">
        <v>0</v>
      </c>
      <c r="E68" s="18">
        <v>20</v>
      </c>
      <c r="F68" s="18">
        <v>0</v>
      </c>
      <c r="G68" s="20">
        <f t="shared" si="0"/>
        <v>20</v>
      </c>
      <c r="H68" s="25">
        <v>7</v>
      </c>
      <c r="I68" s="18"/>
      <c r="J68" s="23" t="s">
        <v>211</v>
      </c>
      <c r="K68" s="23" t="s">
        <v>180</v>
      </c>
      <c r="L68" s="19" t="s">
        <v>76</v>
      </c>
    </row>
    <row r="69" spans="1:12" s="6" customFormat="1" ht="99" x14ac:dyDescent="0.25">
      <c r="A69" s="18">
        <v>11</v>
      </c>
      <c r="B69" s="23" t="s">
        <v>116</v>
      </c>
      <c r="C69" s="23" t="s">
        <v>64</v>
      </c>
      <c r="D69" s="18" t="s">
        <v>0</v>
      </c>
      <c r="E69" s="18">
        <v>80</v>
      </c>
      <c r="F69" s="18">
        <v>44</v>
      </c>
      <c r="G69" s="20">
        <v>36</v>
      </c>
      <c r="H69" s="25">
        <v>0</v>
      </c>
      <c r="I69" s="18"/>
      <c r="J69" s="23"/>
      <c r="K69" s="23"/>
      <c r="L69" s="19"/>
    </row>
    <row r="70" spans="1:12" s="6" customFormat="1" ht="82.5" x14ac:dyDescent="0.25">
      <c r="A70" s="18">
        <v>12</v>
      </c>
      <c r="B70" s="23" t="s">
        <v>31</v>
      </c>
      <c r="C70" s="23" t="s">
        <v>38</v>
      </c>
      <c r="D70" s="18" t="s">
        <v>0</v>
      </c>
      <c r="E70" s="18">
        <v>148</v>
      </c>
      <c r="F70" s="18">
        <v>100</v>
      </c>
      <c r="G70" s="20">
        <f t="shared" si="0"/>
        <v>48</v>
      </c>
      <c r="H70" s="25">
        <v>30</v>
      </c>
      <c r="I70" s="26"/>
      <c r="J70" s="23" t="s">
        <v>300</v>
      </c>
      <c r="K70" s="19">
        <v>77</v>
      </c>
      <c r="L70" s="19" t="s">
        <v>76</v>
      </c>
    </row>
    <row r="71" spans="1:12" s="6" customFormat="1" ht="82.5" x14ac:dyDescent="0.25">
      <c r="A71" s="18">
        <v>13</v>
      </c>
      <c r="B71" s="23" t="s">
        <v>295</v>
      </c>
      <c r="C71" s="23" t="s">
        <v>296</v>
      </c>
      <c r="D71" s="18" t="s">
        <v>0</v>
      </c>
      <c r="E71" s="18">
        <v>18</v>
      </c>
      <c r="F71" s="18"/>
      <c r="G71" s="20">
        <f t="shared" si="0"/>
        <v>18</v>
      </c>
      <c r="H71" s="24">
        <v>6</v>
      </c>
      <c r="I71" s="26"/>
      <c r="J71" s="23" t="s">
        <v>297</v>
      </c>
      <c r="K71" s="19">
        <v>0</v>
      </c>
      <c r="L71" s="19" t="s">
        <v>88</v>
      </c>
    </row>
    <row r="72" spans="1:12" s="6" customFormat="1" ht="33" x14ac:dyDescent="0.25">
      <c r="A72" s="18">
        <v>14</v>
      </c>
      <c r="B72" s="19" t="s">
        <v>89</v>
      </c>
      <c r="C72" s="23" t="s">
        <v>90</v>
      </c>
      <c r="D72" s="18" t="s">
        <v>0</v>
      </c>
      <c r="E72" s="18">
        <v>80</v>
      </c>
      <c r="F72" s="18">
        <v>0</v>
      </c>
      <c r="G72" s="20">
        <f t="shared" si="0"/>
        <v>80</v>
      </c>
      <c r="H72" s="24">
        <v>6</v>
      </c>
      <c r="I72" s="26"/>
      <c r="J72" s="23" t="s">
        <v>97</v>
      </c>
      <c r="K72" s="19">
        <v>0</v>
      </c>
      <c r="L72" s="19" t="s">
        <v>88</v>
      </c>
    </row>
    <row r="73" spans="1:12" s="6" customFormat="1" ht="165" x14ac:dyDescent="0.25">
      <c r="A73" s="18">
        <v>15</v>
      </c>
      <c r="B73" s="23" t="s">
        <v>91</v>
      </c>
      <c r="C73" s="23" t="s">
        <v>92</v>
      </c>
      <c r="D73" s="18" t="s">
        <v>0</v>
      </c>
      <c r="E73" s="18">
        <v>120</v>
      </c>
      <c r="F73" s="18">
        <v>0</v>
      </c>
      <c r="G73" s="20">
        <f t="shared" si="0"/>
        <v>120</v>
      </c>
      <c r="H73" s="24">
        <v>360</v>
      </c>
      <c r="I73" s="26"/>
      <c r="J73" s="23" t="s">
        <v>98</v>
      </c>
      <c r="K73" s="19">
        <v>289</v>
      </c>
      <c r="L73" s="19" t="s">
        <v>88</v>
      </c>
    </row>
    <row r="74" spans="1:12" s="6" customFormat="1" ht="33" x14ac:dyDescent="0.25">
      <c r="A74" s="18">
        <v>16</v>
      </c>
      <c r="B74" s="23" t="s">
        <v>93</v>
      </c>
      <c r="C74" s="23" t="s">
        <v>94</v>
      </c>
      <c r="D74" s="18" t="s">
        <v>0</v>
      </c>
      <c r="E74" s="18">
        <v>48</v>
      </c>
      <c r="F74" s="18">
        <v>2</v>
      </c>
      <c r="G74" s="20">
        <f t="shared" si="0"/>
        <v>46</v>
      </c>
      <c r="H74" s="24">
        <v>6</v>
      </c>
      <c r="I74" s="26"/>
      <c r="J74" s="23" t="s">
        <v>99</v>
      </c>
      <c r="K74" s="19">
        <v>0</v>
      </c>
      <c r="L74" s="19" t="s">
        <v>88</v>
      </c>
    </row>
    <row r="75" spans="1:12" s="6" customFormat="1" ht="33" x14ac:dyDescent="0.25">
      <c r="A75" s="18">
        <v>17</v>
      </c>
      <c r="B75" s="23" t="s">
        <v>95</v>
      </c>
      <c r="C75" s="23" t="s">
        <v>96</v>
      </c>
      <c r="D75" s="18" t="s">
        <v>0</v>
      </c>
      <c r="E75" s="18">
        <v>96</v>
      </c>
      <c r="F75" s="18">
        <v>0</v>
      </c>
      <c r="G75" s="20">
        <f t="shared" si="0"/>
        <v>96</v>
      </c>
      <c r="H75" s="24">
        <v>6</v>
      </c>
      <c r="I75" s="26"/>
      <c r="J75" s="23" t="s">
        <v>100</v>
      </c>
      <c r="K75" s="19">
        <v>0</v>
      </c>
      <c r="L75" s="19" t="s">
        <v>88</v>
      </c>
    </row>
    <row r="76" spans="1:12" s="6" customFormat="1" ht="49.5" x14ac:dyDescent="0.25">
      <c r="A76" s="18">
        <v>18</v>
      </c>
      <c r="B76" s="23" t="s">
        <v>298</v>
      </c>
      <c r="C76" s="23" t="s">
        <v>299</v>
      </c>
      <c r="D76" s="18" t="s">
        <v>0</v>
      </c>
      <c r="E76" s="18">
        <v>96</v>
      </c>
      <c r="F76" s="18">
        <v>12</v>
      </c>
      <c r="G76" s="20">
        <f t="shared" si="0"/>
        <v>84</v>
      </c>
      <c r="H76" s="24">
        <v>24</v>
      </c>
      <c r="I76" s="26"/>
      <c r="J76" s="23" t="s">
        <v>101</v>
      </c>
      <c r="K76" s="19">
        <v>0</v>
      </c>
      <c r="L76" s="19" t="s">
        <v>88</v>
      </c>
    </row>
    <row r="77" spans="1:12" s="6" customFormat="1" ht="66" x14ac:dyDescent="0.25">
      <c r="A77" s="18">
        <v>19</v>
      </c>
      <c r="B77" s="19" t="s">
        <v>194</v>
      </c>
      <c r="C77" s="23" t="s">
        <v>195</v>
      </c>
      <c r="D77" s="18" t="s">
        <v>0</v>
      </c>
      <c r="E77" s="18">
        <v>0</v>
      </c>
      <c r="F77" s="18">
        <v>0</v>
      </c>
      <c r="G77" s="20">
        <f t="shared" si="0"/>
        <v>0</v>
      </c>
      <c r="H77" s="24">
        <v>2</v>
      </c>
      <c r="I77" s="26"/>
      <c r="J77" s="23" t="s">
        <v>196</v>
      </c>
      <c r="K77" s="19">
        <v>2</v>
      </c>
      <c r="L77" s="19" t="s">
        <v>197</v>
      </c>
    </row>
    <row r="78" spans="1:12" s="6" customFormat="1" ht="33" x14ac:dyDescent="0.25">
      <c r="A78" s="18">
        <v>20</v>
      </c>
      <c r="B78" s="19" t="s">
        <v>188</v>
      </c>
      <c r="C78" s="23" t="s">
        <v>189</v>
      </c>
      <c r="D78" s="18" t="s">
        <v>0</v>
      </c>
      <c r="E78" s="18">
        <v>62</v>
      </c>
      <c r="F78" s="18">
        <v>93</v>
      </c>
      <c r="G78" s="20">
        <v>0</v>
      </c>
      <c r="H78" s="24">
        <v>0</v>
      </c>
      <c r="I78" s="26"/>
      <c r="J78" s="23" t="s">
        <v>192</v>
      </c>
      <c r="K78" s="19">
        <v>3</v>
      </c>
      <c r="L78" s="19" t="s">
        <v>140</v>
      </c>
    </row>
    <row r="79" spans="1:12" s="6" customFormat="1" ht="82.5" x14ac:dyDescent="0.25">
      <c r="A79" s="18">
        <v>21</v>
      </c>
      <c r="B79" s="19" t="s">
        <v>190</v>
      </c>
      <c r="C79" s="23" t="s">
        <v>191</v>
      </c>
      <c r="D79" s="18" t="s">
        <v>0</v>
      </c>
      <c r="E79" s="18">
        <v>62</v>
      </c>
      <c r="F79" s="18">
        <v>31</v>
      </c>
      <c r="G79" s="20">
        <f t="shared" si="0"/>
        <v>31</v>
      </c>
      <c r="H79" s="24">
        <v>0</v>
      </c>
      <c r="I79" s="26"/>
      <c r="J79" s="23" t="s">
        <v>193</v>
      </c>
      <c r="K79" s="19"/>
      <c r="L79" s="19" t="s">
        <v>140</v>
      </c>
    </row>
    <row r="80" spans="1:12" s="6" customFormat="1" ht="66" x14ac:dyDescent="0.25">
      <c r="A80" s="18">
        <v>22</v>
      </c>
      <c r="B80" s="23" t="s">
        <v>28</v>
      </c>
      <c r="C80" s="23" t="s">
        <v>39</v>
      </c>
      <c r="D80" s="18" t="s">
        <v>0</v>
      </c>
      <c r="E80" s="18">
        <v>0</v>
      </c>
      <c r="F80" s="18">
        <v>0</v>
      </c>
      <c r="G80" s="20">
        <f t="shared" si="0"/>
        <v>0</v>
      </c>
      <c r="H80" s="13">
        <v>5</v>
      </c>
      <c r="I80" s="26"/>
      <c r="J80" s="23" t="s">
        <v>21</v>
      </c>
      <c r="K80" s="19" t="s">
        <v>120</v>
      </c>
      <c r="L80" s="19" t="s">
        <v>104</v>
      </c>
    </row>
    <row r="81" spans="1:12" s="6" customFormat="1" ht="82.5" x14ac:dyDescent="0.25">
      <c r="A81" s="18">
        <v>23</v>
      </c>
      <c r="B81" s="23" t="s">
        <v>29</v>
      </c>
      <c r="C81" s="23" t="s">
        <v>37</v>
      </c>
      <c r="D81" s="18" t="s">
        <v>17</v>
      </c>
      <c r="E81" s="18">
        <v>6</v>
      </c>
      <c r="F81" s="18">
        <v>0</v>
      </c>
      <c r="G81" s="20">
        <f t="shared" si="0"/>
        <v>6</v>
      </c>
      <c r="H81" s="24">
        <v>4</v>
      </c>
      <c r="I81" s="26"/>
      <c r="J81" s="23" t="s">
        <v>22</v>
      </c>
      <c r="K81" s="19" t="s">
        <v>121</v>
      </c>
      <c r="L81" s="19" t="s">
        <v>104</v>
      </c>
    </row>
    <row r="82" spans="1:12" s="6" customFormat="1" ht="82.5" x14ac:dyDescent="0.25">
      <c r="A82" s="18">
        <v>24</v>
      </c>
      <c r="B82" s="23" t="s">
        <v>30</v>
      </c>
      <c r="C82" s="23" t="s">
        <v>26</v>
      </c>
      <c r="D82" s="18" t="s">
        <v>17</v>
      </c>
      <c r="E82" s="18">
        <v>0</v>
      </c>
      <c r="F82" s="18">
        <v>0</v>
      </c>
      <c r="G82" s="20">
        <f t="shared" si="0"/>
        <v>0</v>
      </c>
      <c r="H82" s="24">
        <v>2</v>
      </c>
      <c r="I82" s="26"/>
      <c r="J82" s="23" t="s">
        <v>32</v>
      </c>
      <c r="K82" s="23">
        <v>0</v>
      </c>
      <c r="L82" s="19" t="s">
        <v>104</v>
      </c>
    </row>
    <row r="83" spans="1:12" s="6" customFormat="1" ht="82.5" x14ac:dyDescent="0.25">
      <c r="A83" s="18">
        <v>25</v>
      </c>
      <c r="B83" s="23" t="s">
        <v>23</v>
      </c>
      <c r="C83" s="23" t="s">
        <v>27</v>
      </c>
      <c r="D83" s="18" t="s">
        <v>0</v>
      </c>
      <c r="E83" s="18">
        <v>8</v>
      </c>
      <c r="F83" s="18">
        <v>0</v>
      </c>
      <c r="G83" s="20">
        <f t="shared" si="0"/>
        <v>8</v>
      </c>
      <c r="H83" s="24">
        <v>2</v>
      </c>
      <c r="I83" s="26"/>
      <c r="J83" s="23" t="s">
        <v>33</v>
      </c>
      <c r="K83" s="23">
        <v>0</v>
      </c>
      <c r="L83" s="19" t="s">
        <v>104</v>
      </c>
    </row>
    <row r="84" spans="1:12" s="6" customFormat="1" ht="82.5" x14ac:dyDescent="0.25">
      <c r="A84" s="18">
        <v>26</v>
      </c>
      <c r="B84" s="23" t="s">
        <v>122</v>
      </c>
      <c r="C84" s="23" t="s">
        <v>123</v>
      </c>
      <c r="D84" s="18" t="s">
        <v>0</v>
      </c>
      <c r="E84" s="18">
        <v>624</v>
      </c>
      <c r="F84" s="18">
        <v>60</v>
      </c>
      <c r="G84" s="20">
        <f t="shared" si="0"/>
        <v>564</v>
      </c>
      <c r="H84" s="24">
        <v>0</v>
      </c>
      <c r="I84" s="26"/>
      <c r="J84" s="23" t="s">
        <v>34</v>
      </c>
      <c r="K84" s="19" t="s">
        <v>124</v>
      </c>
      <c r="L84" s="19" t="s">
        <v>104</v>
      </c>
    </row>
    <row r="85" spans="1:12" s="6" customFormat="1" ht="82.5" x14ac:dyDescent="0.25">
      <c r="A85" s="18">
        <v>27</v>
      </c>
      <c r="B85" s="23" t="s">
        <v>31</v>
      </c>
      <c r="C85" s="23" t="s">
        <v>38</v>
      </c>
      <c r="D85" s="18" t="s">
        <v>0</v>
      </c>
      <c r="E85" s="18">
        <v>136</v>
      </c>
      <c r="F85" s="18">
        <v>100</v>
      </c>
      <c r="G85" s="20">
        <f t="shared" si="0"/>
        <v>36</v>
      </c>
      <c r="H85" s="24">
        <v>26</v>
      </c>
      <c r="I85" s="26"/>
      <c r="J85" s="23" t="s">
        <v>216</v>
      </c>
      <c r="K85" s="19">
        <v>26</v>
      </c>
      <c r="L85" s="19" t="s">
        <v>104</v>
      </c>
    </row>
    <row r="86" spans="1:12" s="6" customFormat="1" ht="33" x14ac:dyDescent="0.25">
      <c r="A86" s="18">
        <v>28</v>
      </c>
      <c r="B86" s="23" t="s">
        <v>367</v>
      </c>
      <c r="C86" s="23" t="s">
        <v>207</v>
      </c>
      <c r="D86" s="20" t="s">
        <v>0</v>
      </c>
      <c r="E86" s="20">
        <v>10</v>
      </c>
      <c r="F86" s="20">
        <v>2</v>
      </c>
      <c r="G86" s="20">
        <f t="shared" si="0"/>
        <v>8</v>
      </c>
      <c r="H86" s="20">
        <v>4</v>
      </c>
      <c r="I86" s="20"/>
      <c r="J86" s="23" t="s">
        <v>208</v>
      </c>
      <c r="K86" s="23" t="s">
        <v>205</v>
      </c>
      <c r="L86" s="23" t="s">
        <v>206</v>
      </c>
    </row>
    <row r="87" spans="1:12" s="6" customFormat="1" x14ac:dyDescent="0.25">
      <c r="A87" s="18">
        <v>29</v>
      </c>
      <c r="B87" s="23" t="s">
        <v>367</v>
      </c>
      <c r="C87" s="23" t="s">
        <v>301</v>
      </c>
      <c r="D87" s="20" t="s">
        <v>0</v>
      </c>
      <c r="E87" s="20">
        <v>10</v>
      </c>
      <c r="F87" s="20">
        <v>2</v>
      </c>
      <c r="G87" s="20">
        <f t="shared" si="0"/>
        <v>8</v>
      </c>
      <c r="H87" s="20">
        <v>4</v>
      </c>
      <c r="I87" s="20"/>
      <c r="J87" s="23"/>
      <c r="K87" s="23"/>
      <c r="L87" s="19" t="s">
        <v>88</v>
      </c>
    </row>
    <row r="88" spans="1:12" s="6" customFormat="1" x14ac:dyDescent="0.25">
      <c r="A88" s="18">
        <v>30</v>
      </c>
      <c r="B88" s="23" t="s">
        <v>112</v>
      </c>
      <c r="C88" s="23" t="s">
        <v>308</v>
      </c>
      <c r="D88" s="20" t="s">
        <v>0</v>
      </c>
      <c r="E88" s="20">
        <v>20</v>
      </c>
      <c r="F88" s="20">
        <v>6</v>
      </c>
      <c r="G88" s="20">
        <f t="shared" si="0"/>
        <v>14</v>
      </c>
      <c r="H88" s="20">
        <v>0</v>
      </c>
      <c r="I88" s="20"/>
      <c r="J88" s="23"/>
      <c r="K88" s="23"/>
      <c r="L88" s="19" t="s">
        <v>88</v>
      </c>
    </row>
    <row r="89" spans="1:12" s="6" customFormat="1" ht="33" x14ac:dyDescent="0.25">
      <c r="A89" s="18">
        <v>31</v>
      </c>
      <c r="B89" s="23" t="s">
        <v>309</v>
      </c>
      <c r="C89" s="23" t="s">
        <v>310</v>
      </c>
      <c r="D89" s="20" t="s">
        <v>0</v>
      </c>
      <c r="E89" s="20">
        <v>12</v>
      </c>
      <c r="F89" s="20">
        <v>2</v>
      </c>
      <c r="G89" s="20">
        <f t="shared" si="0"/>
        <v>10</v>
      </c>
      <c r="H89" s="20">
        <v>12</v>
      </c>
      <c r="I89" s="20"/>
      <c r="J89" s="23"/>
      <c r="K89" s="23"/>
      <c r="L89" s="19" t="s">
        <v>88</v>
      </c>
    </row>
    <row r="90" spans="1:12" s="6" customFormat="1" ht="82.5" x14ac:dyDescent="0.25">
      <c r="A90" s="18">
        <v>32</v>
      </c>
      <c r="B90" s="23" t="s">
        <v>311</v>
      </c>
      <c r="C90" s="23" t="s">
        <v>312</v>
      </c>
      <c r="D90" s="20" t="s">
        <v>0</v>
      </c>
      <c r="E90" s="20">
        <v>32</v>
      </c>
      <c r="F90" s="20">
        <v>0</v>
      </c>
      <c r="G90" s="20">
        <f t="shared" si="0"/>
        <v>32</v>
      </c>
      <c r="H90" s="20">
        <v>22</v>
      </c>
      <c r="I90" s="20"/>
      <c r="J90" s="23"/>
      <c r="K90" s="23"/>
      <c r="L90" s="19" t="s">
        <v>88</v>
      </c>
    </row>
    <row r="91" spans="1:12" s="6" customFormat="1" ht="82.5" x14ac:dyDescent="0.25">
      <c r="A91" s="18">
        <v>33</v>
      </c>
      <c r="B91" s="23" t="s">
        <v>117</v>
      </c>
      <c r="C91" s="23" t="s">
        <v>313</v>
      </c>
      <c r="D91" s="20" t="s">
        <v>0</v>
      </c>
      <c r="E91" s="20">
        <v>2</v>
      </c>
      <c r="F91" s="20">
        <v>0</v>
      </c>
      <c r="G91" s="20">
        <f t="shared" si="0"/>
        <v>2</v>
      </c>
      <c r="H91" s="20">
        <v>2</v>
      </c>
      <c r="I91" s="20"/>
      <c r="J91" s="23"/>
      <c r="K91" s="23"/>
      <c r="L91" s="19" t="s">
        <v>88</v>
      </c>
    </row>
    <row r="92" spans="1:12" s="6" customFormat="1" ht="82.5" x14ac:dyDescent="0.25">
      <c r="A92" s="18">
        <v>34</v>
      </c>
      <c r="B92" s="23" t="s">
        <v>314</v>
      </c>
      <c r="C92" s="23" t="s">
        <v>315</v>
      </c>
      <c r="D92" s="20" t="s">
        <v>0</v>
      </c>
      <c r="E92" s="20">
        <v>20</v>
      </c>
      <c r="F92" s="20">
        <v>0</v>
      </c>
      <c r="G92" s="20">
        <f t="shared" si="0"/>
        <v>20</v>
      </c>
      <c r="H92" s="20">
        <v>10</v>
      </c>
      <c r="I92" s="20"/>
      <c r="J92" s="23"/>
      <c r="K92" s="23"/>
      <c r="L92" s="19" t="s">
        <v>88</v>
      </c>
    </row>
    <row r="93" spans="1:12" s="6" customFormat="1" ht="49.5" x14ac:dyDescent="0.25">
      <c r="A93" s="18">
        <v>35</v>
      </c>
      <c r="B93" s="23" t="s">
        <v>316</v>
      </c>
      <c r="C93" s="23" t="s">
        <v>317</v>
      </c>
      <c r="D93" s="20" t="s">
        <v>0</v>
      </c>
      <c r="E93" s="20">
        <v>0</v>
      </c>
      <c r="F93" s="20">
        <v>0</v>
      </c>
      <c r="G93" s="20">
        <f t="shared" si="0"/>
        <v>0</v>
      </c>
      <c r="H93" s="20">
        <v>10</v>
      </c>
      <c r="I93" s="20"/>
      <c r="J93" s="23"/>
      <c r="K93" s="23"/>
      <c r="L93" s="19" t="s">
        <v>88</v>
      </c>
    </row>
    <row r="94" spans="1:12" s="6" customFormat="1" ht="82.5" x14ac:dyDescent="0.25">
      <c r="A94" s="18">
        <v>36</v>
      </c>
      <c r="B94" s="23" t="s">
        <v>318</v>
      </c>
      <c r="C94" s="23" t="s">
        <v>319</v>
      </c>
      <c r="D94" s="20" t="s">
        <v>0</v>
      </c>
      <c r="E94" s="20">
        <v>2</v>
      </c>
      <c r="F94" s="20">
        <v>0</v>
      </c>
      <c r="G94" s="20">
        <f t="shared" si="0"/>
        <v>2</v>
      </c>
      <c r="H94" s="20">
        <v>2</v>
      </c>
      <c r="I94" s="20"/>
      <c r="J94" s="23"/>
      <c r="K94" s="23"/>
      <c r="L94" s="19" t="s">
        <v>88</v>
      </c>
    </row>
    <row r="95" spans="1:12" s="6" customFormat="1" ht="82.5" x14ac:dyDescent="0.25">
      <c r="A95" s="18">
        <v>37</v>
      </c>
      <c r="B95" s="23" t="s">
        <v>320</v>
      </c>
      <c r="C95" s="23" t="s">
        <v>321</v>
      </c>
      <c r="D95" s="20" t="s">
        <v>0</v>
      </c>
      <c r="E95" s="20">
        <v>4</v>
      </c>
      <c r="F95" s="20">
        <v>0</v>
      </c>
      <c r="G95" s="20">
        <f t="shared" si="0"/>
        <v>4</v>
      </c>
      <c r="H95" s="20">
        <v>4</v>
      </c>
      <c r="I95" s="20"/>
      <c r="J95" s="23"/>
      <c r="K95" s="23"/>
      <c r="L95" s="19" t="s">
        <v>88</v>
      </c>
    </row>
    <row r="96" spans="1:12" s="6" customFormat="1" ht="82.5" x14ac:dyDescent="0.25">
      <c r="A96" s="18">
        <v>38</v>
      </c>
      <c r="B96" s="23" t="s">
        <v>322</v>
      </c>
      <c r="C96" s="23" t="s">
        <v>323</v>
      </c>
      <c r="D96" s="20" t="s">
        <v>0</v>
      </c>
      <c r="E96" s="20">
        <v>2</v>
      </c>
      <c r="F96" s="20">
        <v>0</v>
      </c>
      <c r="G96" s="20">
        <f t="shared" si="0"/>
        <v>2</v>
      </c>
      <c r="H96" s="20">
        <v>2</v>
      </c>
      <c r="I96" s="20"/>
      <c r="J96" s="23"/>
      <c r="K96" s="23"/>
      <c r="L96" s="19" t="s">
        <v>88</v>
      </c>
    </row>
    <row r="97" spans="1:12" s="6" customFormat="1" ht="49.5" x14ac:dyDescent="0.25">
      <c r="A97" s="18">
        <v>39</v>
      </c>
      <c r="B97" s="23" t="s">
        <v>194</v>
      </c>
      <c r="C97" s="23" t="s">
        <v>324</v>
      </c>
      <c r="D97" s="20" t="s">
        <v>0</v>
      </c>
      <c r="E97" s="20">
        <v>0</v>
      </c>
      <c r="F97" s="20">
        <v>0</v>
      </c>
      <c r="G97" s="20">
        <f t="shared" ref="G97:G172" si="1">E97-F97</f>
        <v>0</v>
      </c>
      <c r="H97" s="20">
        <v>2</v>
      </c>
      <c r="I97" s="20"/>
      <c r="J97" s="23"/>
      <c r="K97" s="23"/>
      <c r="L97" s="19" t="s">
        <v>88</v>
      </c>
    </row>
    <row r="98" spans="1:12" s="6" customFormat="1" ht="49.5" x14ac:dyDescent="0.25">
      <c r="A98" s="18">
        <v>40</v>
      </c>
      <c r="B98" s="23" t="s">
        <v>325</v>
      </c>
      <c r="C98" s="23" t="s">
        <v>326</v>
      </c>
      <c r="D98" s="20" t="s">
        <v>0</v>
      </c>
      <c r="E98" s="20">
        <v>20</v>
      </c>
      <c r="F98" s="20">
        <v>0</v>
      </c>
      <c r="G98" s="20">
        <f t="shared" si="1"/>
        <v>20</v>
      </c>
      <c r="H98" s="20">
        <v>1</v>
      </c>
      <c r="I98" s="20"/>
      <c r="J98" s="23"/>
      <c r="K98" s="23"/>
      <c r="L98" s="19" t="s">
        <v>88</v>
      </c>
    </row>
    <row r="99" spans="1:12" s="6" customFormat="1" ht="33" x14ac:dyDescent="0.25">
      <c r="A99" s="18">
        <v>41</v>
      </c>
      <c r="B99" s="23" t="s">
        <v>327</v>
      </c>
      <c r="C99" s="23" t="s">
        <v>328</v>
      </c>
      <c r="D99" s="20" t="s">
        <v>0</v>
      </c>
      <c r="E99" s="20">
        <v>6</v>
      </c>
      <c r="F99" s="20">
        <v>0</v>
      </c>
      <c r="G99" s="20">
        <f t="shared" si="1"/>
        <v>6</v>
      </c>
      <c r="H99" s="20">
        <v>2</v>
      </c>
      <c r="I99" s="20"/>
      <c r="J99" s="23"/>
      <c r="K99" s="23"/>
      <c r="L99" s="19" t="s">
        <v>88</v>
      </c>
    </row>
    <row r="100" spans="1:12" s="6" customFormat="1" ht="49.5" x14ac:dyDescent="0.25">
      <c r="A100" s="18">
        <v>42</v>
      </c>
      <c r="B100" s="23" t="s">
        <v>329</v>
      </c>
      <c r="C100" s="23" t="s">
        <v>330</v>
      </c>
      <c r="D100" s="20" t="s">
        <v>0</v>
      </c>
      <c r="E100" s="20">
        <v>0</v>
      </c>
      <c r="F100" s="20">
        <v>0</v>
      </c>
      <c r="G100" s="20">
        <f t="shared" si="1"/>
        <v>0</v>
      </c>
      <c r="H100" s="20">
        <v>2</v>
      </c>
      <c r="I100" s="20"/>
      <c r="J100" s="23"/>
      <c r="K100" s="23"/>
      <c r="L100" s="19" t="s">
        <v>88</v>
      </c>
    </row>
    <row r="101" spans="1:12" s="6" customFormat="1" ht="33" x14ac:dyDescent="0.25">
      <c r="A101" s="18">
        <v>43</v>
      </c>
      <c r="B101" s="23" t="s">
        <v>331</v>
      </c>
      <c r="C101" s="23" t="s">
        <v>332</v>
      </c>
      <c r="D101" s="20" t="s">
        <v>0</v>
      </c>
      <c r="E101" s="20">
        <v>4</v>
      </c>
      <c r="F101" s="20">
        <v>0</v>
      </c>
      <c r="G101" s="20">
        <f t="shared" si="1"/>
        <v>4</v>
      </c>
      <c r="H101" s="20">
        <v>2</v>
      </c>
      <c r="I101" s="20"/>
      <c r="J101" s="23"/>
      <c r="K101" s="23"/>
      <c r="L101" s="19" t="s">
        <v>88</v>
      </c>
    </row>
    <row r="102" spans="1:12" s="6" customFormat="1" ht="33" x14ac:dyDescent="0.25">
      <c r="A102" s="18">
        <v>44</v>
      </c>
      <c r="B102" s="23" t="s">
        <v>333</v>
      </c>
      <c r="C102" s="23" t="s">
        <v>334</v>
      </c>
      <c r="D102" s="20" t="s">
        <v>0</v>
      </c>
      <c r="E102" s="20">
        <v>4</v>
      </c>
      <c r="F102" s="20">
        <v>0</v>
      </c>
      <c r="G102" s="20">
        <f t="shared" si="1"/>
        <v>4</v>
      </c>
      <c r="H102" s="20">
        <v>2</v>
      </c>
      <c r="I102" s="20"/>
      <c r="J102" s="23"/>
      <c r="K102" s="23"/>
      <c r="L102" s="19" t="s">
        <v>88</v>
      </c>
    </row>
    <row r="103" spans="1:12" s="6" customFormat="1" ht="49.5" x14ac:dyDescent="0.25">
      <c r="A103" s="18">
        <v>45</v>
      </c>
      <c r="B103" s="23" t="s">
        <v>335</v>
      </c>
      <c r="C103" s="23" t="s">
        <v>336</v>
      </c>
      <c r="D103" s="20" t="s">
        <v>0</v>
      </c>
      <c r="E103" s="20">
        <v>6</v>
      </c>
      <c r="F103" s="20">
        <v>0</v>
      </c>
      <c r="G103" s="20">
        <f t="shared" si="1"/>
        <v>6</v>
      </c>
      <c r="H103" s="20">
        <v>4</v>
      </c>
      <c r="I103" s="20"/>
      <c r="J103" s="23"/>
      <c r="K103" s="23"/>
      <c r="L103" s="19" t="s">
        <v>140</v>
      </c>
    </row>
    <row r="104" spans="1:12" s="6" customFormat="1" ht="33" x14ac:dyDescent="0.25">
      <c r="A104" s="18">
        <v>46</v>
      </c>
      <c r="B104" s="23" t="s">
        <v>459</v>
      </c>
      <c r="C104" s="23" t="s">
        <v>460</v>
      </c>
      <c r="D104" s="18" t="s">
        <v>0</v>
      </c>
      <c r="E104" s="20">
        <v>3</v>
      </c>
      <c r="F104" s="20">
        <v>0</v>
      </c>
      <c r="G104" s="20">
        <f t="shared" si="1"/>
        <v>3</v>
      </c>
      <c r="H104" s="20">
        <v>4</v>
      </c>
      <c r="I104" s="20"/>
      <c r="J104" s="23" t="s">
        <v>461</v>
      </c>
      <c r="K104" s="23"/>
      <c r="L104" s="19" t="s">
        <v>140</v>
      </c>
    </row>
    <row r="105" spans="1:12" s="6" customFormat="1" ht="33" x14ac:dyDescent="0.25">
      <c r="A105" s="18">
        <v>47</v>
      </c>
      <c r="B105" s="23" t="s">
        <v>462</v>
      </c>
      <c r="C105" s="23" t="s">
        <v>463</v>
      </c>
      <c r="D105" s="18" t="s">
        <v>0</v>
      </c>
      <c r="E105" s="20">
        <v>2</v>
      </c>
      <c r="F105" s="20">
        <v>0</v>
      </c>
      <c r="G105" s="20">
        <f t="shared" si="1"/>
        <v>2</v>
      </c>
      <c r="H105" s="20">
        <v>2</v>
      </c>
      <c r="I105" s="20"/>
      <c r="J105" s="23" t="s">
        <v>464</v>
      </c>
      <c r="K105" s="23"/>
      <c r="L105" s="19" t="s">
        <v>140</v>
      </c>
    </row>
    <row r="106" spans="1:12" s="6" customFormat="1" ht="66" x14ac:dyDescent="0.25">
      <c r="A106" s="18">
        <v>48</v>
      </c>
      <c r="B106" s="23" t="s">
        <v>91</v>
      </c>
      <c r="C106" s="23" t="s">
        <v>337</v>
      </c>
      <c r="D106" s="20" t="s">
        <v>0</v>
      </c>
      <c r="E106" s="20">
        <v>120</v>
      </c>
      <c r="F106" s="20">
        <v>0</v>
      </c>
      <c r="G106" s="20">
        <f t="shared" si="1"/>
        <v>120</v>
      </c>
      <c r="H106" s="20">
        <v>289</v>
      </c>
      <c r="I106" s="20"/>
      <c r="J106" s="23"/>
      <c r="K106" s="23"/>
      <c r="L106" s="19" t="s">
        <v>88</v>
      </c>
    </row>
    <row r="107" spans="1:12" s="6" customFormat="1" ht="49.5" x14ac:dyDescent="0.25">
      <c r="A107" s="18">
        <v>49</v>
      </c>
      <c r="B107" s="23" t="s">
        <v>338</v>
      </c>
      <c r="C107" s="23" t="s">
        <v>339</v>
      </c>
      <c r="D107" s="20" t="s">
        <v>0</v>
      </c>
      <c r="E107" s="20">
        <v>60</v>
      </c>
      <c r="F107" s="20">
        <v>0</v>
      </c>
      <c r="G107" s="20">
        <f t="shared" si="1"/>
        <v>60</v>
      </c>
      <c r="H107" s="20">
        <v>0</v>
      </c>
      <c r="I107" s="20"/>
      <c r="J107" s="23"/>
      <c r="K107" s="23"/>
      <c r="L107" s="19" t="s">
        <v>88</v>
      </c>
    </row>
    <row r="108" spans="1:12" s="6" customFormat="1" ht="66" x14ac:dyDescent="0.25">
      <c r="A108" s="18">
        <v>50</v>
      </c>
      <c r="B108" s="23" t="s">
        <v>340</v>
      </c>
      <c r="C108" s="23" t="s">
        <v>341</v>
      </c>
      <c r="D108" s="20" t="s">
        <v>0</v>
      </c>
      <c r="E108" s="20">
        <v>0</v>
      </c>
      <c r="F108" s="20">
        <v>0</v>
      </c>
      <c r="G108" s="20">
        <f t="shared" si="1"/>
        <v>0</v>
      </c>
      <c r="H108" s="20">
        <v>8</v>
      </c>
      <c r="I108" s="20"/>
      <c r="J108" s="23"/>
      <c r="K108" s="23"/>
      <c r="L108" s="19" t="s">
        <v>88</v>
      </c>
    </row>
    <row r="109" spans="1:12" s="6" customFormat="1" ht="82.5" x14ac:dyDescent="0.25">
      <c r="A109" s="18">
        <v>51</v>
      </c>
      <c r="B109" s="23" t="s">
        <v>342</v>
      </c>
      <c r="C109" s="23" t="s">
        <v>343</v>
      </c>
      <c r="D109" s="20" t="s">
        <v>0</v>
      </c>
      <c r="E109" s="20">
        <v>4</v>
      </c>
      <c r="F109" s="20">
        <v>0</v>
      </c>
      <c r="G109" s="20">
        <f t="shared" si="1"/>
        <v>4</v>
      </c>
      <c r="H109" s="20">
        <v>4</v>
      </c>
      <c r="I109" s="20"/>
      <c r="J109" s="23"/>
      <c r="K109" s="23"/>
      <c r="L109" s="19" t="s">
        <v>88</v>
      </c>
    </row>
    <row r="110" spans="1:12" s="6" customFormat="1" ht="99" x14ac:dyDescent="0.25">
      <c r="A110" s="18">
        <v>52</v>
      </c>
      <c r="B110" s="23" t="s">
        <v>65</v>
      </c>
      <c r="C110" s="23" t="s">
        <v>129</v>
      </c>
      <c r="D110" s="20" t="s">
        <v>0</v>
      </c>
      <c r="E110" s="20">
        <v>32</v>
      </c>
      <c r="F110" s="20">
        <v>0</v>
      </c>
      <c r="G110" s="20">
        <f t="shared" si="1"/>
        <v>32</v>
      </c>
      <c r="H110" s="20">
        <v>6</v>
      </c>
      <c r="I110" s="20"/>
      <c r="J110" s="23"/>
      <c r="K110" s="23"/>
      <c r="L110" s="19" t="s">
        <v>88</v>
      </c>
    </row>
    <row r="111" spans="1:12" s="6" customFormat="1" ht="99" x14ac:dyDescent="0.25">
      <c r="A111" s="18">
        <v>53</v>
      </c>
      <c r="B111" s="23" t="s">
        <v>344</v>
      </c>
      <c r="C111" s="23" t="s">
        <v>345</v>
      </c>
      <c r="D111" s="20" t="s">
        <v>0</v>
      </c>
      <c r="E111" s="20">
        <v>8</v>
      </c>
      <c r="F111" s="20">
        <v>0</v>
      </c>
      <c r="G111" s="20">
        <f t="shared" si="1"/>
        <v>8</v>
      </c>
      <c r="H111" s="20">
        <v>12</v>
      </c>
      <c r="I111" s="20"/>
      <c r="J111" s="23"/>
      <c r="K111" s="23"/>
      <c r="L111" s="19" t="s">
        <v>88</v>
      </c>
    </row>
    <row r="112" spans="1:12" s="6" customFormat="1" ht="82.5" x14ac:dyDescent="0.25">
      <c r="A112" s="18">
        <v>54</v>
      </c>
      <c r="B112" s="23" t="s">
        <v>346</v>
      </c>
      <c r="C112" s="23" t="s">
        <v>347</v>
      </c>
      <c r="D112" s="20" t="s">
        <v>0</v>
      </c>
      <c r="E112" s="20">
        <v>8</v>
      </c>
      <c r="F112" s="20">
        <v>0</v>
      </c>
      <c r="G112" s="20">
        <f t="shared" si="1"/>
        <v>8</v>
      </c>
      <c r="H112" s="20">
        <v>12</v>
      </c>
      <c r="I112" s="20"/>
      <c r="J112" s="23"/>
      <c r="K112" s="23"/>
      <c r="L112" s="19" t="s">
        <v>88</v>
      </c>
    </row>
    <row r="113" spans="1:12" s="6" customFormat="1" ht="82.5" x14ac:dyDescent="0.25">
      <c r="A113" s="18">
        <v>55</v>
      </c>
      <c r="B113" s="23" t="s">
        <v>348</v>
      </c>
      <c r="C113" s="23" t="s">
        <v>349</v>
      </c>
      <c r="D113" s="20" t="s">
        <v>0</v>
      </c>
      <c r="E113" s="20">
        <v>0</v>
      </c>
      <c r="F113" s="20">
        <v>0</v>
      </c>
      <c r="G113" s="20">
        <f t="shared" si="1"/>
        <v>0</v>
      </c>
      <c r="H113" s="20">
        <v>2</v>
      </c>
      <c r="I113" s="20"/>
      <c r="J113" s="23"/>
      <c r="K113" s="23"/>
      <c r="L113" s="19" t="s">
        <v>88</v>
      </c>
    </row>
    <row r="114" spans="1:12" s="6" customFormat="1" ht="49.5" x14ac:dyDescent="0.25">
      <c r="A114" s="18">
        <v>56</v>
      </c>
      <c r="B114" s="23" t="s">
        <v>350</v>
      </c>
      <c r="C114" s="23" t="s">
        <v>351</v>
      </c>
      <c r="D114" s="20" t="s">
        <v>0</v>
      </c>
      <c r="E114" s="20">
        <v>8</v>
      </c>
      <c r="F114" s="20">
        <v>0</v>
      </c>
      <c r="G114" s="20">
        <f t="shared" si="1"/>
        <v>8</v>
      </c>
      <c r="H114" s="20">
        <v>2</v>
      </c>
      <c r="I114" s="20"/>
      <c r="J114" s="23"/>
      <c r="K114" s="23"/>
      <c r="L114" s="19" t="s">
        <v>88</v>
      </c>
    </row>
    <row r="115" spans="1:12" s="6" customFormat="1" ht="33" x14ac:dyDescent="0.25">
      <c r="A115" s="18">
        <v>57</v>
      </c>
      <c r="B115" s="23" t="s">
        <v>352</v>
      </c>
      <c r="C115" s="23" t="s">
        <v>353</v>
      </c>
      <c r="D115" s="20" t="s">
        <v>0</v>
      </c>
      <c r="E115" s="20">
        <v>62</v>
      </c>
      <c r="F115" s="20">
        <v>0</v>
      </c>
      <c r="G115" s="20">
        <f t="shared" si="1"/>
        <v>62</v>
      </c>
      <c r="H115" s="20">
        <v>31</v>
      </c>
      <c r="I115" s="20"/>
      <c r="J115" s="23"/>
      <c r="K115" s="23"/>
      <c r="L115" s="19" t="s">
        <v>88</v>
      </c>
    </row>
    <row r="116" spans="1:12" s="6" customFormat="1" ht="49.5" x14ac:dyDescent="0.25">
      <c r="A116" s="18">
        <v>58</v>
      </c>
      <c r="B116" s="23" t="s">
        <v>188</v>
      </c>
      <c r="C116" s="23" t="s">
        <v>354</v>
      </c>
      <c r="D116" s="20" t="s">
        <v>0</v>
      </c>
      <c r="E116" s="20">
        <v>62</v>
      </c>
      <c r="F116" s="20">
        <v>31</v>
      </c>
      <c r="G116" s="20">
        <f t="shared" si="1"/>
        <v>31</v>
      </c>
      <c r="H116" s="20">
        <v>62</v>
      </c>
      <c r="I116" s="20"/>
      <c r="J116" s="23"/>
      <c r="K116" s="23"/>
      <c r="L116" s="19" t="s">
        <v>88</v>
      </c>
    </row>
    <row r="117" spans="1:12" s="6" customFormat="1" ht="66" x14ac:dyDescent="0.25">
      <c r="A117" s="18">
        <v>59</v>
      </c>
      <c r="B117" s="23" t="s">
        <v>155</v>
      </c>
      <c r="C117" s="23" t="s">
        <v>60</v>
      </c>
      <c r="D117" s="20" t="s">
        <v>0</v>
      </c>
      <c r="E117" s="20">
        <v>20</v>
      </c>
      <c r="F117" s="20">
        <v>6</v>
      </c>
      <c r="G117" s="20">
        <f t="shared" si="1"/>
        <v>14</v>
      </c>
      <c r="H117" s="20">
        <v>4</v>
      </c>
      <c r="I117" s="20"/>
      <c r="J117" s="23"/>
      <c r="K117" s="23"/>
      <c r="L117" s="19" t="s">
        <v>88</v>
      </c>
    </row>
    <row r="118" spans="1:12" s="6" customFormat="1" x14ac:dyDescent="0.25">
      <c r="A118" s="18">
        <v>60</v>
      </c>
      <c r="B118" s="23" t="s">
        <v>355</v>
      </c>
      <c r="C118" s="23" t="s">
        <v>356</v>
      </c>
      <c r="D118" s="20" t="s">
        <v>0</v>
      </c>
      <c r="E118" s="20">
        <v>8</v>
      </c>
      <c r="F118" s="20">
        <v>0</v>
      </c>
      <c r="G118" s="20">
        <f t="shared" si="1"/>
        <v>8</v>
      </c>
      <c r="H118" s="20">
        <v>2</v>
      </c>
      <c r="I118" s="20"/>
      <c r="J118" s="23"/>
      <c r="K118" s="23"/>
      <c r="L118" s="19" t="s">
        <v>88</v>
      </c>
    </row>
    <row r="119" spans="1:12" s="6" customFormat="1" ht="49.5" x14ac:dyDescent="0.25">
      <c r="A119" s="18">
        <v>61</v>
      </c>
      <c r="B119" s="23" t="s">
        <v>357</v>
      </c>
      <c r="C119" s="23" t="s">
        <v>358</v>
      </c>
      <c r="D119" s="20" t="s">
        <v>0</v>
      </c>
      <c r="E119" s="20">
        <v>8</v>
      </c>
      <c r="F119" s="20">
        <v>0</v>
      </c>
      <c r="G119" s="20">
        <f t="shared" si="1"/>
        <v>8</v>
      </c>
      <c r="H119" s="20">
        <v>2</v>
      </c>
      <c r="I119" s="20"/>
      <c r="J119" s="23"/>
      <c r="K119" s="23"/>
      <c r="L119" s="19" t="s">
        <v>88</v>
      </c>
    </row>
    <row r="120" spans="1:12" s="6" customFormat="1" ht="82.5" x14ac:dyDescent="0.25">
      <c r="A120" s="18">
        <v>62</v>
      </c>
      <c r="B120" s="23" t="s">
        <v>359</v>
      </c>
      <c r="C120" s="23" t="s">
        <v>360</v>
      </c>
      <c r="D120" s="20" t="s">
        <v>0</v>
      </c>
      <c r="E120" s="20">
        <v>18</v>
      </c>
      <c r="F120" s="20">
        <v>0</v>
      </c>
      <c r="G120" s="20">
        <f t="shared" si="1"/>
        <v>18</v>
      </c>
      <c r="H120" s="20">
        <v>10</v>
      </c>
      <c r="I120" s="20"/>
      <c r="J120" s="23"/>
      <c r="K120" s="23"/>
      <c r="L120" s="19" t="s">
        <v>88</v>
      </c>
    </row>
    <row r="121" spans="1:12" s="6" customFormat="1" ht="82.5" x14ac:dyDescent="0.25">
      <c r="A121" s="18">
        <v>63</v>
      </c>
      <c r="B121" s="23" t="s">
        <v>29</v>
      </c>
      <c r="C121" s="23" t="s">
        <v>37</v>
      </c>
      <c r="D121" s="20" t="s">
        <v>0</v>
      </c>
      <c r="E121" s="20">
        <v>6</v>
      </c>
      <c r="F121" s="20">
        <v>0</v>
      </c>
      <c r="G121" s="20">
        <f t="shared" si="1"/>
        <v>6</v>
      </c>
      <c r="H121" s="20">
        <v>6</v>
      </c>
      <c r="I121" s="20"/>
      <c r="J121" s="23"/>
      <c r="K121" s="23"/>
      <c r="L121" s="19" t="s">
        <v>88</v>
      </c>
    </row>
    <row r="122" spans="1:12" s="6" customFormat="1" ht="82.5" x14ac:dyDescent="0.25">
      <c r="A122" s="18">
        <v>64</v>
      </c>
      <c r="B122" s="23" t="s">
        <v>361</v>
      </c>
      <c r="C122" s="23" t="s">
        <v>362</v>
      </c>
      <c r="D122" s="20" t="s">
        <v>0</v>
      </c>
      <c r="E122" s="20">
        <v>12</v>
      </c>
      <c r="F122" s="20">
        <v>0</v>
      </c>
      <c r="G122" s="20">
        <f t="shared" si="1"/>
        <v>12</v>
      </c>
      <c r="H122" s="20">
        <v>0</v>
      </c>
      <c r="I122" s="20"/>
      <c r="J122" s="23"/>
      <c r="K122" s="23"/>
      <c r="L122" s="19" t="s">
        <v>88</v>
      </c>
    </row>
    <row r="123" spans="1:12" s="6" customFormat="1" ht="66" x14ac:dyDescent="0.25">
      <c r="A123" s="18">
        <v>65</v>
      </c>
      <c r="B123" s="23" t="s">
        <v>363</v>
      </c>
      <c r="C123" s="23" t="s">
        <v>364</v>
      </c>
      <c r="D123" s="20" t="s">
        <v>0</v>
      </c>
      <c r="E123" s="20">
        <v>32</v>
      </c>
      <c r="F123" s="20">
        <v>0</v>
      </c>
      <c r="G123" s="20">
        <f t="shared" si="1"/>
        <v>32</v>
      </c>
      <c r="H123" s="20">
        <v>0</v>
      </c>
      <c r="I123" s="20"/>
      <c r="J123" s="23"/>
      <c r="K123" s="23"/>
      <c r="L123" s="19" t="s">
        <v>88</v>
      </c>
    </row>
    <row r="124" spans="1:12" s="6" customFormat="1" ht="49.5" x14ac:dyDescent="0.25">
      <c r="A124" s="18">
        <v>66</v>
      </c>
      <c r="B124" s="23" t="s">
        <v>365</v>
      </c>
      <c r="C124" s="23" t="s">
        <v>366</v>
      </c>
      <c r="D124" s="20" t="s">
        <v>0</v>
      </c>
      <c r="E124" s="20">
        <v>6</v>
      </c>
      <c r="F124" s="20">
        <v>0</v>
      </c>
      <c r="G124" s="20">
        <f t="shared" si="1"/>
        <v>6</v>
      </c>
      <c r="H124" s="20">
        <v>2</v>
      </c>
      <c r="I124" s="20"/>
      <c r="J124" s="23"/>
      <c r="K124" s="23"/>
      <c r="L124" s="19" t="s">
        <v>88</v>
      </c>
    </row>
    <row r="125" spans="1:12" s="9" customFormat="1" x14ac:dyDescent="0.25">
      <c r="A125" s="61" t="s">
        <v>20</v>
      </c>
      <c r="B125" s="45"/>
      <c r="C125" s="45"/>
      <c r="D125" s="46"/>
      <c r="E125" s="46"/>
      <c r="F125" s="46"/>
      <c r="G125" s="20"/>
      <c r="H125" s="46"/>
      <c r="I125" s="46"/>
      <c r="J125" s="47"/>
      <c r="K125" s="64"/>
      <c r="L125" s="48"/>
    </row>
    <row r="126" spans="1:12" s="6" customFormat="1" ht="66" x14ac:dyDescent="0.25">
      <c r="A126" s="18">
        <v>1</v>
      </c>
      <c r="B126" s="19" t="s">
        <v>49</v>
      </c>
      <c r="C126" s="23" t="s">
        <v>50</v>
      </c>
      <c r="D126" s="18" t="s">
        <v>51</v>
      </c>
      <c r="E126" s="18">
        <v>40</v>
      </c>
      <c r="F126" s="18">
        <v>22</v>
      </c>
      <c r="G126" s="20">
        <f t="shared" si="1"/>
        <v>18</v>
      </c>
      <c r="H126" s="13">
        <v>75</v>
      </c>
      <c r="I126" s="18"/>
      <c r="J126" s="23" t="s">
        <v>181</v>
      </c>
      <c r="K126" s="19">
        <v>0</v>
      </c>
      <c r="L126" s="19" t="s">
        <v>48</v>
      </c>
    </row>
    <row r="127" spans="1:12" s="6" customFormat="1" ht="33" x14ac:dyDescent="0.25">
      <c r="A127" s="18">
        <v>2</v>
      </c>
      <c r="B127" s="19" t="s">
        <v>166</v>
      </c>
      <c r="C127" s="23" t="s">
        <v>167</v>
      </c>
      <c r="D127" s="18" t="s">
        <v>51</v>
      </c>
      <c r="E127" s="18">
        <v>260</v>
      </c>
      <c r="F127" s="18">
        <v>0</v>
      </c>
      <c r="G127" s="20">
        <f t="shared" si="1"/>
        <v>260</v>
      </c>
      <c r="H127" s="13">
        <v>40</v>
      </c>
      <c r="I127" s="18"/>
      <c r="J127" s="23" t="s">
        <v>168</v>
      </c>
      <c r="K127" s="19">
        <v>4</v>
      </c>
      <c r="L127" s="19" t="s">
        <v>140</v>
      </c>
    </row>
    <row r="128" spans="1:12" s="6" customFormat="1" ht="33" x14ac:dyDescent="0.25">
      <c r="A128" s="18">
        <v>3</v>
      </c>
      <c r="B128" s="19" t="s">
        <v>130</v>
      </c>
      <c r="C128" s="19" t="s">
        <v>131</v>
      </c>
      <c r="D128" s="18" t="s">
        <v>66</v>
      </c>
      <c r="E128" s="18">
        <v>210344.50715200003</v>
      </c>
      <c r="F128" s="18">
        <v>88534.94200000001</v>
      </c>
      <c r="G128" s="20">
        <f t="shared" si="1"/>
        <v>121809.56515200002</v>
      </c>
      <c r="H128" s="21">
        <v>15000</v>
      </c>
      <c r="I128" s="20"/>
      <c r="J128" s="22" t="s">
        <v>132</v>
      </c>
      <c r="K128" s="19">
        <v>68058.44</v>
      </c>
      <c r="L128" s="19" t="s">
        <v>76</v>
      </c>
    </row>
    <row r="129" spans="1:12" s="6" customFormat="1" ht="33" x14ac:dyDescent="0.25">
      <c r="A129" s="18">
        <v>4</v>
      </c>
      <c r="B129" s="19" t="s">
        <v>67</v>
      </c>
      <c r="C129" s="23" t="s">
        <v>68</v>
      </c>
      <c r="D129" s="18" t="s">
        <v>66</v>
      </c>
      <c r="E129" s="18">
        <v>70533.213333333304</v>
      </c>
      <c r="F129" s="18">
        <v>32347.45</v>
      </c>
      <c r="G129" s="20">
        <f t="shared" si="1"/>
        <v>38185.763333333307</v>
      </c>
      <c r="H129" s="21">
        <v>6000</v>
      </c>
      <c r="I129" s="20"/>
      <c r="J129" s="23" t="s">
        <v>134</v>
      </c>
      <c r="K129" s="65" t="s">
        <v>135</v>
      </c>
      <c r="L129" s="19" t="s">
        <v>76</v>
      </c>
    </row>
    <row r="130" spans="1:12" s="6" customFormat="1" ht="33" x14ac:dyDescent="0.25">
      <c r="A130" s="18">
        <v>5</v>
      </c>
      <c r="B130" s="19" t="s">
        <v>40</v>
      </c>
      <c r="C130" s="19" t="s">
        <v>1</v>
      </c>
      <c r="D130" s="18" t="s">
        <v>2</v>
      </c>
      <c r="E130" s="18">
        <v>76275.609756097605</v>
      </c>
      <c r="F130" s="18">
        <v>14000</v>
      </c>
      <c r="G130" s="20">
        <f t="shared" si="1"/>
        <v>62275.609756097605</v>
      </c>
      <c r="H130" s="21">
        <v>200</v>
      </c>
      <c r="I130" s="18"/>
      <c r="J130" s="22" t="s">
        <v>215</v>
      </c>
      <c r="K130" s="63">
        <v>11463</v>
      </c>
      <c r="L130" s="19" t="s">
        <v>48</v>
      </c>
    </row>
    <row r="131" spans="1:12" s="6" customFormat="1" ht="49.5" x14ac:dyDescent="0.25">
      <c r="A131" s="18">
        <v>6</v>
      </c>
      <c r="B131" s="19" t="s">
        <v>212</v>
      </c>
      <c r="C131" s="19" t="s">
        <v>213</v>
      </c>
      <c r="D131" s="18" t="s">
        <v>59</v>
      </c>
      <c r="E131" s="18">
        <v>0</v>
      </c>
      <c r="F131" s="18">
        <v>10</v>
      </c>
      <c r="G131" s="20">
        <v>0</v>
      </c>
      <c r="H131" s="21">
        <v>0</v>
      </c>
      <c r="I131" s="18"/>
      <c r="J131" s="22" t="s">
        <v>214</v>
      </c>
      <c r="K131" s="63"/>
      <c r="L131" s="19" t="s">
        <v>76</v>
      </c>
    </row>
    <row r="132" spans="1:12" s="6" customFormat="1" ht="33" x14ac:dyDescent="0.25">
      <c r="A132" s="18">
        <v>7</v>
      </c>
      <c r="B132" s="19" t="s">
        <v>69</v>
      </c>
      <c r="C132" s="23" t="s">
        <v>70</v>
      </c>
      <c r="D132" s="18" t="s">
        <v>66</v>
      </c>
      <c r="E132" s="18">
        <v>5937653.7398247998</v>
      </c>
      <c r="F132" s="18">
        <v>2476777</v>
      </c>
      <c r="G132" s="20">
        <f t="shared" si="1"/>
        <v>3460876.7398247998</v>
      </c>
      <c r="H132" s="21">
        <v>900000</v>
      </c>
      <c r="I132" s="18"/>
      <c r="J132" s="23" t="s">
        <v>71</v>
      </c>
      <c r="K132" s="63">
        <v>139205.71</v>
      </c>
      <c r="L132" s="19" t="s">
        <v>76</v>
      </c>
    </row>
    <row r="133" spans="1:12" s="6" customFormat="1" ht="33" x14ac:dyDescent="0.25">
      <c r="A133" s="18">
        <v>8</v>
      </c>
      <c r="B133" s="19" t="s">
        <v>72</v>
      </c>
      <c r="C133" s="19" t="s">
        <v>73</v>
      </c>
      <c r="D133" s="18" t="s">
        <v>66</v>
      </c>
      <c r="E133" s="18">
        <v>214379.59804920002</v>
      </c>
      <c r="F133" s="18">
        <v>93527.63</v>
      </c>
      <c r="G133" s="20">
        <f t="shared" si="1"/>
        <v>120851.96804920002</v>
      </c>
      <c r="H133" s="21">
        <v>15000</v>
      </c>
      <c r="I133" s="20"/>
      <c r="J133" s="22" t="s">
        <v>126</v>
      </c>
      <c r="K133" s="66">
        <v>79418.679999999993</v>
      </c>
      <c r="L133" s="19" t="s">
        <v>76</v>
      </c>
    </row>
    <row r="134" spans="1:12" s="6" customFormat="1" ht="33" x14ac:dyDescent="0.25">
      <c r="A134" s="18">
        <v>9</v>
      </c>
      <c r="B134" s="4" t="s">
        <v>137</v>
      </c>
      <c r="C134" s="2" t="s">
        <v>138</v>
      </c>
      <c r="D134" s="1" t="s">
        <v>66</v>
      </c>
      <c r="E134" s="1">
        <v>110000</v>
      </c>
      <c r="F134" s="1">
        <v>11773.59</v>
      </c>
      <c r="G134" s="20">
        <f t="shared" si="1"/>
        <v>98226.41</v>
      </c>
      <c r="H134" s="7">
        <v>9000</v>
      </c>
      <c r="I134" s="18"/>
      <c r="J134" s="2" t="s">
        <v>139</v>
      </c>
      <c r="K134" s="63"/>
      <c r="L134" s="19" t="s">
        <v>140</v>
      </c>
    </row>
    <row r="135" spans="1:12" s="6" customFormat="1" ht="33" x14ac:dyDescent="0.25">
      <c r="A135" s="18">
        <v>10</v>
      </c>
      <c r="B135" s="23" t="s">
        <v>144</v>
      </c>
      <c r="C135" s="23" t="s">
        <v>145</v>
      </c>
      <c r="D135" s="1" t="s">
        <v>66</v>
      </c>
      <c r="E135" s="70">
        <v>219684</v>
      </c>
      <c r="F135" s="1">
        <v>46965</v>
      </c>
      <c r="G135" s="20">
        <f t="shared" si="1"/>
        <v>172719</v>
      </c>
      <c r="H135" s="7">
        <v>10000</v>
      </c>
      <c r="I135" s="18"/>
      <c r="J135" s="22" t="s">
        <v>146</v>
      </c>
      <c r="K135" s="63"/>
      <c r="L135" s="19" t="s">
        <v>76</v>
      </c>
    </row>
    <row r="136" spans="1:12" s="6" customFormat="1" ht="66" x14ac:dyDescent="0.25">
      <c r="A136" s="18">
        <v>11</v>
      </c>
      <c r="B136" s="19" t="s">
        <v>133</v>
      </c>
      <c r="C136" s="23" t="s">
        <v>118</v>
      </c>
      <c r="D136" s="18" t="s">
        <v>74</v>
      </c>
      <c r="E136" s="18">
        <v>0</v>
      </c>
      <c r="F136" s="18">
        <v>0</v>
      </c>
      <c r="G136" s="20">
        <f t="shared" si="1"/>
        <v>0</v>
      </c>
      <c r="H136" s="21">
        <v>100</v>
      </c>
      <c r="I136" s="18"/>
      <c r="J136" s="23" t="s">
        <v>75</v>
      </c>
      <c r="K136" s="66" t="s">
        <v>110</v>
      </c>
      <c r="L136" s="19" t="s">
        <v>76</v>
      </c>
    </row>
    <row r="137" spans="1:12" s="6" customFormat="1" x14ac:dyDescent="0.25">
      <c r="A137" s="18">
        <v>12</v>
      </c>
      <c r="B137" s="19" t="s">
        <v>174</v>
      </c>
      <c r="C137" s="19" t="s">
        <v>102</v>
      </c>
      <c r="D137" s="18" t="s">
        <v>66</v>
      </c>
      <c r="E137" s="18">
        <v>815691.33257280034</v>
      </c>
      <c r="F137" s="18">
        <f>324900+11400*3+5700</f>
        <v>364800</v>
      </c>
      <c r="G137" s="20">
        <f t="shared" si="1"/>
        <v>450891.33257280034</v>
      </c>
      <c r="H137" s="21">
        <v>150000</v>
      </c>
      <c r="I137" s="18"/>
      <c r="J137" s="23" t="s">
        <v>103</v>
      </c>
      <c r="K137" s="63">
        <v>239581</v>
      </c>
      <c r="L137" s="19" t="s">
        <v>88</v>
      </c>
    </row>
    <row r="138" spans="1:12" s="6" customFormat="1" x14ac:dyDescent="0.25">
      <c r="A138" s="18">
        <v>13</v>
      </c>
      <c r="B138" s="19" t="s">
        <v>199</v>
      </c>
      <c r="C138" s="19" t="s">
        <v>198</v>
      </c>
      <c r="D138" s="18" t="s">
        <v>2</v>
      </c>
      <c r="E138" s="18">
        <v>0</v>
      </c>
      <c r="F138" s="18">
        <v>70</v>
      </c>
      <c r="G138" s="20">
        <v>0</v>
      </c>
      <c r="H138" s="21">
        <v>0</v>
      </c>
      <c r="I138" s="18"/>
      <c r="J138" s="23" t="s">
        <v>200</v>
      </c>
      <c r="K138" s="63">
        <v>75</v>
      </c>
      <c r="L138" s="19" t="s">
        <v>169</v>
      </c>
    </row>
    <row r="139" spans="1:12" s="6" customFormat="1" ht="33" x14ac:dyDescent="0.25">
      <c r="A139" s="18">
        <v>14</v>
      </c>
      <c r="B139" s="19"/>
      <c r="C139" s="19" t="s">
        <v>41</v>
      </c>
      <c r="D139" s="18" t="s">
        <v>42</v>
      </c>
      <c r="E139" s="18">
        <v>0</v>
      </c>
      <c r="F139" s="18">
        <v>0</v>
      </c>
      <c r="G139" s="20">
        <f t="shared" si="1"/>
        <v>0</v>
      </c>
      <c r="H139" s="24">
        <v>1</v>
      </c>
      <c r="I139" s="18"/>
      <c r="J139" s="22" t="s">
        <v>107</v>
      </c>
      <c r="K139" s="23" t="s">
        <v>125</v>
      </c>
      <c r="L139" s="19" t="s">
        <v>104</v>
      </c>
    </row>
    <row r="140" spans="1:12" s="6" customFormat="1" x14ac:dyDescent="0.25">
      <c r="A140" s="18">
        <v>15</v>
      </c>
      <c r="B140" s="51" t="s">
        <v>147</v>
      </c>
      <c r="C140" s="50" t="s">
        <v>148</v>
      </c>
      <c r="D140" s="52" t="s">
        <v>66</v>
      </c>
      <c r="E140" s="18">
        <v>0</v>
      </c>
      <c r="F140" s="5">
        <f>250+100</f>
        <v>350</v>
      </c>
      <c r="G140" s="20">
        <v>0</v>
      </c>
      <c r="H140" s="53">
        <v>100</v>
      </c>
      <c r="I140" s="54"/>
      <c r="J140" s="55" t="s">
        <v>374</v>
      </c>
      <c r="K140" s="67">
        <v>5379</v>
      </c>
      <c r="L140" s="51"/>
    </row>
    <row r="141" spans="1:12" s="6" customFormat="1" ht="33" x14ac:dyDescent="0.25">
      <c r="A141" s="18">
        <v>16</v>
      </c>
      <c r="B141" s="19" t="s">
        <v>149</v>
      </c>
      <c r="C141" s="23" t="s">
        <v>150</v>
      </c>
      <c r="D141" s="18" t="s">
        <v>0</v>
      </c>
      <c r="E141" s="18">
        <v>30000</v>
      </c>
      <c r="F141" s="18">
        <v>16000</v>
      </c>
      <c r="G141" s="20">
        <f t="shared" si="1"/>
        <v>14000</v>
      </c>
      <c r="H141" s="13">
        <v>4000</v>
      </c>
      <c r="I141" s="20"/>
      <c r="J141" s="22" t="s">
        <v>151</v>
      </c>
      <c r="K141" s="62">
        <v>15000</v>
      </c>
      <c r="L141" s="19"/>
    </row>
    <row r="142" spans="1:12" s="6" customFormat="1" ht="33" x14ac:dyDescent="0.25">
      <c r="A142" s="18">
        <v>17</v>
      </c>
      <c r="B142" s="23" t="s">
        <v>248</v>
      </c>
      <c r="C142" s="23" t="s">
        <v>259</v>
      </c>
      <c r="D142" s="18" t="s">
        <v>0</v>
      </c>
      <c r="E142" s="20">
        <v>0</v>
      </c>
      <c r="F142" s="20">
        <v>120</v>
      </c>
      <c r="G142" s="20">
        <v>0</v>
      </c>
      <c r="H142" s="20">
        <v>0</v>
      </c>
      <c r="I142" s="20"/>
      <c r="J142" s="22" t="s">
        <v>416</v>
      </c>
      <c r="K142" s="62"/>
      <c r="L142" s="56"/>
    </row>
    <row r="143" spans="1:12" s="6" customFormat="1" ht="33" x14ac:dyDescent="0.25">
      <c r="A143" s="18">
        <v>18</v>
      </c>
      <c r="B143" s="23" t="s">
        <v>384</v>
      </c>
      <c r="C143" s="23" t="s">
        <v>383</v>
      </c>
      <c r="D143" s="18" t="s">
        <v>0</v>
      </c>
      <c r="E143" s="20">
        <v>0</v>
      </c>
      <c r="F143" s="20">
        <v>270</v>
      </c>
      <c r="G143" s="20">
        <v>0</v>
      </c>
      <c r="H143" s="20">
        <v>0</v>
      </c>
      <c r="I143" s="20"/>
      <c r="J143" s="22" t="s">
        <v>387</v>
      </c>
      <c r="K143" s="62">
        <v>728</v>
      </c>
      <c r="L143" s="19" t="s">
        <v>385</v>
      </c>
    </row>
    <row r="144" spans="1:12" s="6" customFormat="1" ht="33" x14ac:dyDescent="0.25">
      <c r="A144" s="18">
        <v>19</v>
      </c>
      <c r="B144" s="23" t="s">
        <v>393</v>
      </c>
      <c r="C144" s="23" t="s">
        <v>394</v>
      </c>
      <c r="D144" s="18" t="s">
        <v>386</v>
      </c>
      <c r="E144" s="20">
        <v>0</v>
      </c>
      <c r="F144" s="20">
        <v>6000</v>
      </c>
      <c r="G144" s="20">
        <v>0</v>
      </c>
      <c r="H144" s="20">
        <v>0</v>
      </c>
      <c r="I144" s="20"/>
      <c r="J144" s="22" t="s">
        <v>387</v>
      </c>
      <c r="K144" s="62">
        <v>29673</v>
      </c>
      <c r="L144" s="19" t="s">
        <v>385</v>
      </c>
    </row>
    <row r="145" spans="1:12" s="6" customFormat="1" ht="33" x14ac:dyDescent="0.25">
      <c r="A145" s="18">
        <v>20</v>
      </c>
      <c r="B145" s="19" t="s">
        <v>389</v>
      </c>
      <c r="C145" s="19" t="s">
        <v>388</v>
      </c>
      <c r="D145" s="18" t="s">
        <v>390</v>
      </c>
      <c r="E145" s="20">
        <v>0</v>
      </c>
      <c r="F145" s="20">
        <v>1000</v>
      </c>
      <c r="G145" s="20">
        <v>0</v>
      </c>
      <c r="H145" s="20">
        <v>0</v>
      </c>
      <c r="I145" s="20"/>
      <c r="J145" s="22" t="s">
        <v>391</v>
      </c>
      <c r="K145" s="62">
        <v>2871</v>
      </c>
      <c r="L145" s="19" t="s">
        <v>385</v>
      </c>
    </row>
    <row r="146" spans="1:12" s="6" customFormat="1" x14ac:dyDescent="0.25">
      <c r="A146" s="18">
        <v>21</v>
      </c>
      <c r="B146" s="19" t="s">
        <v>398</v>
      </c>
      <c r="C146" s="19" t="s">
        <v>397</v>
      </c>
      <c r="D146" s="18" t="s">
        <v>0</v>
      </c>
      <c r="E146" s="20">
        <v>0</v>
      </c>
      <c r="F146" s="20">
        <v>974</v>
      </c>
      <c r="G146" s="20">
        <v>0</v>
      </c>
      <c r="H146" s="20">
        <v>0</v>
      </c>
      <c r="I146" s="20"/>
      <c r="J146" s="22" t="s">
        <v>399</v>
      </c>
      <c r="K146" s="62" t="s">
        <v>110</v>
      </c>
      <c r="L146" s="19" t="s">
        <v>385</v>
      </c>
    </row>
    <row r="147" spans="1:12" s="6" customFormat="1" ht="33" x14ac:dyDescent="0.25">
      <c r="A147" s="18">
        <v>22</v>
      </c>
      <c r="B147" s="19" t="s">
        <v>424</v>
      </c>
      <c r="C147" s="19" t="s">
        <v>426</v>
      </c>
      <c r="D147" s="18" t="s">
        <v>386</v>
      </c>
      <c r="E147" s="20">
        <v>0</v>
      </c>
      <c r="F147" s="76">
        <v>255</v>
      </c>
      <c r="G147" s="20">
        <v>0</v>
      </c>
      <c r="H147" s="20">
        <v>0</v>
      </c>
      <c r="I147" s="20"/>
      <c r="J147" s="22" t="s">
        <v>391</v>
      </c>
      <c r="K147" s="62"/>
      <c r="L147" s="19" t="s">
        <v>385</v>
      </c>
    </row>
    <row r="148" spans="1:12" s="6" customFormat="1" ht="33" x14ac:dyDescent="0.25">
      <c r="A148" s="18">
        <v>23</v>
      </c>
      <c r="B148" s="19" t="s">
        <v>425</v>
      </c>
      <c r="C148" s="19" t="s">
        <v>427</v>
      </c>
      <c r="D148" s="18" t="s">
        <v>428</v>
      </c>
      <c r="E148" s="20">
        <v>0</v>
      </c>
      <c r="F148" s="76">
        <v>176</v>
      </c>
      <c r="G148" s="20">
        <v>0</v>
      </c>
      <c r="H148" s="20">
        <v>0</v>
      </c>
      <c r="I148" s="20"/>
      <c r="J148" s="22" t="s">
        <v>391</v>
      </c>
      <c r="K148" s="62"/>
      <c r="L148" s="19" t="s">
        <v>385</v>
      </c>
    </row>
    <row r="149" spans="1:12" s="6" customFormat="1" ht="33" x14ac:dyDescent="0.25">
      <c r="A149" s="18">
        <v>24</v>
      </c>
      <c r="B149" s="68" t="s">
        <v>396</v>
      </c>
      <c r="C149" s="19" t="s">
        <v>395</v>
      </c>
      <c r="D149" s="18" t="s">
        <v>392</v>
      </c>
      <c r="E149" s="20">
        <v>0</v>
      </c>
      <c r="F149" s="20">
        <v>850</v>
      </c>
      <c r="G149" s="20">
        <v>0</v>
      </c>
      <c r="H149" s="20">
        <v>0</v>
      </c>
      <c r="I149" s="20"/>
      <c r="J149" s="22" t="s">
        <v>387</v>
      </c>
      <c r="K149" s="62">
        <v>1412</v>
      </c>
      <c r="L149" s="19" t="s">
        <v>385</v>
      </c>
    </row>
    <row r="150" spans="1:12" s="6" customFormat="1" ht="33" x14ac:dyDescent="0.25">
      <c r="A150" s="18">
        <v>25</v>
      </c>
      <c r="B150" s="68" t="s">
        <v>429</v>
      </c>
      <c r="C150" s="19" t="s">
        <v>430</v>
      </c>
      <c r="D150" s="18" t="s">
        <v>386</v>
      </c>
      <c r="E150" s="20">
        <v>0</v>
      </c>
      <c r="F150" s="20">
        <v>0</v>
      </c>
      <c r="G150" s="20">
        <v>0</v>
      </c>
      <c r="H150" s="20">
        <v>1</v>
      </c>
      <c r="I150" s="20"/>
      <c r="J150" s="22" t="s">
        <v>431</v>
      </c>
      <c r="K150" s="62"/>
      <c r="L150" s="19" t="s">
        <v>76</v>
      </c>
    </row>
    <row r="151" spans="1:12" s="6" customFormat="1" x14ac:dyDescent="0.25">
      <c r="A151" s="18">
        <v>26</v>
      </c>
      <c r="B151" s="68" t="s">
        <v>432</v>
      </c>
      <c r="C151" s="4" t="s">
        <v>434</v>
      </c>
      <c r="D151" s="4" t="s">
        <v>390</v>
      </c>
      <c r="E151" s="20">
        <v>0</v>
      </c>
      <c r="F151" s="20">
        <v>0</v>
      </c>
      <c r="G151" s="20">
        <v>0</v>
      </c>
      <c r="H151" s="20">
        <v>246</v>
      </c>
      <c r="I151" s="20"/>
      <c r="J151" s="22" t="s">
        <v>437</v>
      </c>
      <c r="K151" s="62"/>
      <c r="L151" s="19" t="s">
        <v>385</v>
      </c>
    </row>
    <row r="152" spans="1:12" s="6" customFormat="1" x14ac:dyDescent="0.25">
      <c r="A152" s="18">
        <v>27</v>
      </c>
      <c r="B152" s="77" t="s">
        <v>433</v>
      </c>
      <c r="C152" s="78" t="s">
        <v>435</v>
      </c>
      <c r="D152" s="78" t="s">
        <v>390</v>
      </c>
      <c r="E152" s="54">
        <v>0</v>
      </c>
      <c r="F152" s="54">
        <v>0</v>
      </c>
      <c r="G152" s="54">
        <v>0</v>
      </c>
      <c r="H152" s="54">
        <v>90</v>
      </c>
      <c r="I152" s="54"/>
      <c r="J152" s="22" t="s">
        <v>437</v>
      </c>
      <c r="K152" s="62"/>
      <c r="L152" s="19" t="s">
        <v>385</v>
      </c>
    </row>
    <row r="153" spans="1:12" s="6" customFormat="1" x14ac:dyDescent="0.25">
      <c r="A153" s="18">
        <v>28</v>
      </c>
      <c r="B153" s="68"/>
      <c r="C153" s="19" t="s">
        <v>436</v>
      </c>
      <c r="D153" s="19" t="s">
        <v>411</v>
      </c>
      <c r="E153" s="20">
        <v>0</v>
      </c>
      <c r="F153" s="20">
        <v>0</v>
      </c>
      <c r="G153" s="20">
        <v>0</v>
      </c>
      <c r="H153" s="20">
        <v>100</v>
      </c>
      <c r="I153" s="20"/>
      <c r="J153" s="22" t="s">
        <v>437</v>
      </c>
      <c r="K153" s="62"/>
      <c r="L153" s="19" t="s">
        <v>385</v>
      </c>
    </row>
    <row r="154" spans="1:12" s="6" customFormat="1" x14ac:dyDescent="0.25">
      <c r="A154" s="18">
        <v>29</v>
      </c>
      <c r="B154" s="68"/>
      <c r="C154" s="19" t="s">
        <v>438</v>
      </c>
      <c r="D154" s="19" t="s">
        <v>0</v>
      </c>
      <c r="E154" s="20">
        <v>0</v>
      </c>
      <c r="F154" s="20">
        <v>0</v>
      </c>
      <c r="G154" s="20">
        <v>0</v>
      </c>
      <c r="H154" s="20">
        <v>10</v>
      </c>
      <c r="I154" s="20"/>
      <c r="J154" s="22" t="s">
        <v>437</v>
      </c>
      <c r="K154" s="62"/>
      <c r="L154" s="19" t="s">
        <v>385</v>
      </c>
    </row>
    <row r="155" spans="1:12" s="6" customFormat="1" ht="82.5" x14ac:dyDescent="0.25">
      <c r="A155" s="18">
        <v>30</v>
      </c>
      <c r="B155" s="80"/>
      <c r="C155" s="81" t="s">
        <v>498</v>
      </c>
      <c r="D155" s="18" t="s">
        <v>386</v>
      </c>
      <c r="E155" s="20">
        <v>0</v>
      </c>
      <c r="F155" s="20">
        <v>0</v>
      </c>
      <c r="G155" s="20">
        <v>0</v>
      </c>
      <c r="H155" s="20">
        <v>2</v>
      </c>
      <c r="I155" s="20"/>
      <c r="J155" s="22" t="s">
        <v>503</v>
      </c>
      <c r="K155" s="62"/>
      <c r="L155" s="80" t="s">
        <v>430</v>
      </c>
    </row>
    <row r="156" spans="1:12" s="6" customFormat="1" ht="132" x14ac:dyDescent="0.25">
      <c r="A156" s="18">
        <v>31</v>
      </c>
      <c r="B156" s="80"/>
      <c r="C156" s="81" t="s">
        <v>499</v>
      </c>
      <c r="D156" s="18" t="s">
        <v>0</v>
      </c>
      <c r="E156" s="20">
        <v>0</v>
      </c>
      <c r="F156" s="20">
        <v>0</v>
      </c>
      <c r="G156" s="20">
        <v>0</v>
      </c>
      <c r="H156" s="20">
        <v>4</v>
      </c>
      <c r="I156" s="20"/>
      <c r="J156" s="22" t="s">
        <v>503</v>
      </c>
      <c r="K156" s="62"/>
      <c r="L156" s="80" t="s">
        <v>501</v>
      </c>
    </row>
    <row r="157" spans="1:12" s="6" customFormat="1" ht="49.5" x14ac:dyDescent="0.25">
      <c r="A157" s="18">
        <v>32</v>
      </c>
      <c r="B157" s="80"/>
      <c r="C157" s="81" t="s">
        <v>500</v>
      </c>
      <c r="D157" s="18" t="s">
        <v>0</v>
      </c>
      <c r="E157" s="20">
        <v>0</v>
      </c>
      <c r="F157" s="20">
        <v>0</v>
      </c>
      <c r="G157" s="20">
        <v>0</v>
      </c>
      <c r="H157" s="20">
        <v>4</v>
      </c>
      <c r="I157" s="20"/>
      <c r="J157" s="22" t="s">
        <v>503</v>
      </c>
      <c r="K157" s="62"/>
      <c r="L157" s="80" t="s">
        <v>502</v>
      </c>
    </row>
    <row r="158" spans="1:12" s="6" customFormat="1" x14ac:dyDescent="0.25">
      <c r="A158" s="18">
        <v>33</v>
      </c>
      <c r="B158" s="23" t="s">
        <v>249</v>
      </c>
      <c r="C158" s="23" t="s">
        <v>260</v>
      </c>
      <c r="D158" s="20" t="s">
        <v>271</v>
      </c>
      <c r="E158" s="20">
        <v>0</v>
      </c>
      <c r="F158" s="20">
        <v>150</v>
      </c>
      <c r="G158" s="20">
        <v>0</v>
      </c>
      <c r="H158" s="20">
        <v>0</v>
      </c>
      <c r="I158" s="20"/>
      <c r="J158" s="57" t="s">
        <v>417</v>
      </c>
      <c r="K158" s="62"/>
      <c r="L158" s="19"/>
    </row>
    <row r="159" spans="1:12" s="6" customFormat="1" x14ac:dyDescent="0.25">
      <c r="A159" s="18">
        <v>34</v>
      </c>
      <c r="B159" s="23" t="s">
        <v>250</v>
      </c>
      <c r="C159" s="23" t="s">
        <v>261</v>
      </c>
      <c r="D159" s="20" t="s">
        <v>271</v>
      </c>
      <c r="E159" s="20">
        <v>0</v>
      </c>
      <c r="F159" s="20">
        <v>100</v>
      </c>
      <c r="G159" s="20">
        <v>0</v>
      </c>
      <c r="H159" s="20">
        <v>0</v>
      </c>
      <c r="I159" s="20"/>
      <c r="J159" s="57" t="s">
        <v>417</v>
      </c>
      <c r="K159" s="62"/>
      <c r="L159" s="19"/>
    </row>
    <row r="160" spans="1:12" s="6" customFormat="1" x14ac:dyDescent="0.25">
      <c r="A160" s="18">
        <v>35</v>
      </c>
      <c r="B160" s="23" t="s">
        <v>251</v>
      </c>
      <c r="C160" s="23" t="s">
        <v>262</v>
      </c>
      <c r="D160" s="20" t="s">
        <v>272</v>
      </c>
      <c r="E160" s="20">
        <v>0</v>
      </c>
      <c r="F160" s="20">
        <v>0</v>
      </c>
      <c r="G160" s="20">
        <f t="shared" si="1"/>
        <v>0</v>
      </c>
      <c r="H160" s="20">
        <v>0</v>
      </c>
      <c r="I160" s="20"/>
      <c r="J160" s="57" t="s">
        <v>417</v>
      </c>
      <c r="K160" s="62"/>
      <c r="L160" s="19"/>
    </row>
    <row r="161" spans="1:12" s="6" customFormat="1" x14ac:dyDescent="0.25">
      <c r="A161" s="18">
        <v>36</v>
      </c>
      <c r="B161" s="23" t="s">
        <v>252</v>
      </c>
      <c r="C161" s="23" t="s">
        <v>263</v>
      </c>
      <c r="D161" s="20" t="s">
        <v>272</v>
      </c>
      <c r="E161" s="20">
        <v>0</v>
      </c>
      <c r="F161" s="20">
        <v>70</v>
      </c>
      <c r="G161" s="20">
        <v>0</v>
      </c>
      <c r="H161" s="20">
        <v>0</v>
      </c>
      <c r="I161" s="20"/>
      <c r="J161" s="57" t="s">
        <v>417</v>
      </c>
      <c r="K161" s="62"/>
      <c r="L161" s="19"/>
    </row>
    <row r="162" spans="1:12" s="6" customFormat="1" x14ac:dyDescent="0.25">
      <c r="A162" s="18">
        <v>37</v>
      </c>
      <c r="B162" s="23" t="s">
        <v>253</v>
      </c>
      <c r="C162" s="23" t="s">
        <v>264</v>
      </c>
      <c r="D162" s="20" t="s">
        <v>270</v>
      </c>
      <c r="E162" s="20">
        <v>0</v>
      </c>
      <c r="F162" s="20">
        <v>100</v>
      </c>
      <c r="G162" s="20">
        <v>0</v>
      </c>
      <c r="H162" s="20">
        <v>0</v>
      </c>
      <c r="I162" s="20"/>
      <c r="J162" s="57" t="s">
        <v>418</v>
      </c>
      <c r="K162" s="62"/>
      <c r="L162" s="19"/>
    </row>
    <row r="163" spans="1:12" s="6" customFormat="1" x14ac:dyDescent="0.25">
      <c r="A163" s="18">
        <v>38</v>
      </c>
      <c r="B163" s="23" t="s">
        <v>254</v>
      </c>
      <c r="C163" s="23" t="s">
        <v>265</v>
      </c>
      <c r="D163" s="20" t="s">
        <v>270</v>
      </c>
      <c r="E163" s="20">
        <v>0</v>
      </c>
      <c r="F163" s="20">
        <v>20</v>
      </c>
      <c r="G163" s="20">
        <v>0</v>
      </c>
      <c r="H163" s="20">
        <v>0</v>
      </c>
      <c r="I163" s="20"/>
      <c r="J163" s="57" t="s">
        <v>418</v>
      </c>
      <c r="K163" s="62"/>
      <c r="L163" s="19"/>
    </row>
    <row r="164" spans="1:12" s="6" customFormat="1" x14ac:dyDescent="0.25">
      <c r="A164" s="18">
        <v>39</v>
      </c>
      <c r="B164" s="23" t="s">
        <v>255</v>
      </c>
      <c r="C164" s="23" t="s">
        <v>266</v>
      </c>
      <c r="D164" s="20" t="s">
        <v>270</v>
      </c>
      <c r="E164" s="20">
        <v>0</v>
      </c>
      <c r="F164" s="20">
        <v>200</v>
      </c>
      <c r="G164" s="20">
        <v>0</v>
      </c>
      <c r="H164" s="20">
        <v>0</v>
      </c>
      <c r="I164" s="20"/>
      <c r="J164" s="57" t="s">
        <v>418</v>
      </c>
      <c r="K164" s="62"/>
      <c r="L164" s="19"/>
    </row>
    <row r="165" spans="1:12" s="6" customFormat="1" x14ac:dyDescent="0.25">
      <c r="A165" s="18">
        <v>40</v>
      </c>
      <c r="B165" s="23" t="s">
        <v>253</v>
      </c>
      <c r="C165" s="23" t="s">
        <v>264</v>
      </c>
      <c r="D165" s="20" t="s">
        <v>270</v>
      </c>
      <c r="E165" s="20">
        <v>0</v>
      </c>
      <c r="F165" s="20">
        <v>30</v>
      </c>
      <c r="G165" s="20">
        <v>0</v>
      </c>
      <c r="H165" s="20">
        <v>0</v>
      </c>
      <c r="I165" s="20"/>
      <c r="J165" s="57" t="s">
        <v>418</v>
      </c>
      <c r="K165" s="62"/>
      <c r="L165" s="19"/>
    </row>
    <row r="166" spans="1:12" s="6" customFormat="1" x14ac:dyDescent="0.25">
      <c r="A166" s="18">
        <v>41</v>
      </c>
      <c r="B166" s="23" t="s">
        <v>256</v>
      </c>
      <c r="C166" s="23" t="s">
        <v>267</v>
      </c>
      <c r="D166" s="20" t="s">
        <v>270</v>
      </c>
      <c r="E166" s="20">
        <v>0</v>
      </c>
      <c r="F166" s="20">
        <v>100</v>
      </c>
      <c r="G166" s="20">
        <v>0</v>
      </c>
      <c r="H166" s="20">
        <v>0</v>
      </c>
      <c r="I166" s="20"/>
      <c r="J166" s="57" t="s">
        <v>419</v>
      </c>
      <c r="K166" s="62"/>
      <c r="L166" s="19"/>
    </row>
    <row r="167" spans="1:12" s="6" customFormat="1" x14ac:dyDescent="0.25">
      <c r="A167" s="18">
        <v>42</v>
      </c>
      <c r="B167" s="23" t="s">
        <v>257</v>
      </c>
      <c r="C167" s="23" t="s">
        <v>268</v>
      </c>
      <c r="D167" s="20" t="s">
        <v>270</v>
      </c>
      <c r="E167" s="20">
        <v>0</v>
      </c>
      <c r="F167" s="20">
        <v>50</v>
      </c>
      <c r="G167" s="20">
        <v>0</v>
      </c>
      <c r="H167" s="20">
        <v>0</v>
      </c>
      <c r="I167" s="20"/>
      <c r="J167" s="57" t="s">
        <v>419</v>
      </c>
      <c r="K167" s="62"/>
      <c r="L167" s="19"/>
    </row>
    <row r="168" spans="1:12" s="6" customFormat="1" x14ac:dyDescent="0.25">
      <c r="A168" s="18">
        <v>43</v>
      </c>
      <c r="B168" s="23" t="s">
        <v>258</v>
      </c>
      <c r="C168" s="23" t="s">
        <v>269</v>
      </c>
      <c r="D168" s="20" t="s">
        <v>270</v>
      </c>
      <c r="E168" s="20">
        <v>0</v>
      </c>
      <c r="F168" s="20">
        <v>50</v>
      </c>
      <c r="G168" s="20">
        <v>0</v>
      </c>
      <c r="H168" s="20">
        <v>0</v>
      </c>
      <c r="I168" s="20"/>
      <c r="J168" s="57" t="s">
        <v>419</v>
      </c>
      <c r="K168" s="62"/>
      <c r="L168" s="19"/>
    </row>
    <row r="169" spans="1:12" s="6" customFormat="1" x14ac:dyDescent="0.25">
      <c r="A169" s="18">
        <v>44</v>
      </c>
      <c r="B169" s="23" t="s">
        <v>273</v>
      </c>
      <c r="C169" s="23" t="s">
        <v>274</v>
      </c>
      <c r="D169" s="20" t="s">
        <v>275</v>
      </c>
      <c r="E169" s="20">
        <v>0</v>
      </c>
      <c r="F169" s="20">
        <v>10</v>
      </c>
      <c r="G169" s="20">
        <v>0</v>
      </c>
      <c r="H169" s="20">
        <v>0</v>
      </c>
      <c r="I169" s="20"/>
      <c r="J169" s="22" t="s">
        <v>302</v>
      </c>
      <c r="K169" s="62"/>
      <c r="L169" s="19"/>
    </row>
    <row r="170" spans="1:12" s="6" customFormat="1" x14ac:dyDescent="0.25">
      <c r="A170" s="18">
        <v>45</v>
      </c>
      <c r="B170" s="23" t="s">
        <v>276</v>
      </c>
      <c r="C170" s="23" t="s">
        <v>277</v>
      </c>
      <c r="D170" s="20" t="s">
        <v>275</v>
      </c>
      <c r="E170" s="20">
        <v>0</v>
      </c>
      <c r="F170" s="20">
        <v>0</v>
      </c>
      <c r="G170" s="20">
        <f t="shared" si="1"/>
        <v>0</v>
      </c>
      <c r="H170" s="20">
        <v>0</v>
      </c>
      <c r="I170" s="20"/>
      <c r="J170" s="22" t="s">
        <v>303</v>
      </c>
      <c r="K170" s="62"/>
      <c r="L170" s="19"/>
    </row>
    <row r="171" spans="1:12" s="6" customFormat="1" x14ac:dyDescent="0.25">
      <c r="A171" s="18">
        <v>46</v>
      </c>
      <c r="B171" s="23" t="s">
        <v>278</v>
      </c>
      <c r="C171" s="23" t="s">
        <v>279</v>
      </c>
      <c r="D171" s="20" t="s">
        <v>270</v>
      </c>
      <c r="E171" s="20">
        <v>0</v>
      </c>
      <c r="F171" s="20">
        <v>15</v>
      </c>
      <c r="G171" s="20">
        <v>0</v>
      </c>
      <c r="H171" s="20">
        <v>0</v>
      </c>
      <c r="I171" s="20"/>
      <c r="J171" s="22" t="s">
        <v>304</v>
      </c>
      <c r="K171" s="62"/>
      <c r="L171" s="19"/>
    </row>
    <row r="172" spans="1:12" s="6" customFormat="1" x14ac:dyDescent="0.25">
      <c r="A172" s="18">
        <v>47</v>
      </c>
      <c r="B172" s="23" t="s">
        <v>280</v>
      </c>
      <c r="C172" s="23" t="s">
        <v>281</v>
      </c>
      <c r="D172" s="20" t="s">
        <v>270</v>
      </c>
      <c r="E172" s="20">
        <v>0</v>
      </c>
      <c r="F172" s="20">
        <v>0</v>
      </c>
      <c r="G172" s="20">
        <f t="shared" si="1"/>
        <v>0</v>
      </c>
      <c r="H172" s="20">
        <v>0</v>
      </c>
      <c r="I172" s="20"/>
      <c r="J172" s="22" t="s">
        <v>305</v>
      </c>
      <c r="K172" s="62"/>
      <c r="L172" s="19"/>
    </row>
    <row r="173" spans="1:12" s="6" customFormat="1" x14ac:dyDescent="0.25">
      <c r="A173" s="18">
        <v>48</v>
      </c>
      <c r="B173" s="23" t="s">
        <v>282</v>
      </c>
      <c r="C173" s="23" t="s">
        <v>283</v>
      </c>
      <c r="D173" s="20" t="s">
        <v>66</v>
      </c>
      <c r="E173" s="20">
        <v>0</v>
      </c>
      <c r="F173" s="20">
        <v>100</v>
      </c>
      <c r="G173" s="20">
        <v>0</v>
      </c>
      <c r="H173" s="20">
        <v>0</v>
      </c>
      <c r="I173" s="20"/>
      <c r="J173" s="22" t="s">
        <v>304</v>
      </c>
      <c r="K173" s="62"/>
      <c r="L173" s="19"/>
    </row>
    <row r="174" spans="1:12" s="6" customFormat="1" ht="33" x14ac:dyDescent="0.25">
      <c r="A174" s="18">
        <v>49</v>
      </c>
      <c r="B174" s="23" t="s">
        <v>284</v>
      </c>
      <c r="C174" s="23" t="s">
        <v>285</v>
      </c>
      <c r="D174" s="20" t="s">
        <v>66</v>
      </c>
      <c r="E174" s="20">
        <v>0</v>
      </c>
      <c r="F174" s="20">
        <v>100</v>
      </c>
      <c r="G174" s="20">
        <v>0</v>
      </c>
      <c r="H174" s="20">
        <v>0</v>
      </c>
      <c r="I174" s="20"/>
      <c r="J174" s="22" t="s">
        <v>306</v>
      </c>
      <c r="K174" s="62"/>
      <c r="L174" s="19"/>
    </row>
    <row r="175" spans="1:12" s="6" customFormat="1" x14ac:dyDescent="0.25">
      <c r="A175" s="18">
        <v>50</v>
      </c>
      <c r="B175" s="19" t="s">
        <v>413</v>
      </c>
      <c r="C175" s="23" t="s">
        <v>412</v>
      </c>
      <c r="D175" s="18" t="s">
        <v>411</v>
      </c>
      <c r="E175" s="18">
        <v>0</v>
      </c>
      <c r="F175" s="18">
        <v>1</v>
      </c>
      <c r="G175" s="20">
        <v>0</v>
      </c>
      <c r="H175" s="13">
        <v>0</v>
      </c>
      <c r="I175" s="20"/>
      <c r="J175" s="49" t="s">
        <v>409</v>
      </c>
      <c r="K175" s="62"/>
      <c r="L175" s="22" t="s">
        <v>104</v>
      </c>
    </row>
    <row r="176" spans="1:12" s="6" customFormat="1" ht="49.5" x14ac:dyDescent="0.25">
      <c r="A176" s="18">
        <v>51</v>
      </c>
      <c r="B176" s="27" t="s">
        <v>221</v>
      </c>
      <c r="C176" s="27" t="s">
        <v>222</v>
      </c>
      <c r="D176" s="28" t="s">
        <v>172</v>
      </c>
      <c r="E176" s="28">
        <v>0</v>
      </c>
      <c r="F176" s="28">
        <v>0</v>
      </c>
      <c r="G176" s="20">
        <f t="shared" ref="G176:G180" si="2">E176-F176</f>
        <v>0</v>
      </c>
      <c r="H176" s="28">
        <v>1</v>
      </c>
      <c r="I176" s="20"/>
      <c r="J176" s="29" t="s">
        <v>241</v>
      </c>
      <c r="K176" s="19">
        <v>7</v>
      </c>
      <c r="L176" s="19" t="s">
        <v>136</v>
      </c>
    </row>
    <row r="177" spans="1:12" s="6" customFormat="1" ht="66" x14ac:dyDescent="0.25">
      <c r="A177" s="18">
        <v>52</v>
      </c>
      <c r="B177" s="27" t="s">
        <v>223</v>
      </c>
      <c r="C177" s="27" t="s">
        <v>224</v>
      </c>
      <c r="D177" s="28" t="s">
        <v>172</v>
      </c>
      <c r="E177" s="28">
        <v>0</v>
      </c>
      <c r="F177" s="28">
        <v>0</v>
      </c>
      <c r="G177" s="20">
        <f t="shared" si="2"/>
        <v>0</v>
      </c>
      <c r="H177" s="28">
        <v>1</v>
      </c>
      <c r="I177" s="20"/>
      <c r="J177" s="29" t="s">
        <v>242</v>
      </c>
      <c r="K177" s="19">
        <v>1</v>
      </c>
      <c r="L177" s="19" t="s">
        <v>136</v>
      </c>
    </row>
    <row r="178" spans="1:12" s="6" customFormat="1" ht="33" x14ac:dyDescent="0.25">
      <c r="A178" s="18">
        <v>53</v>
      </c>
      <c r="B178" s="27" t="s">
        <v>225</v>
      </c>
      <c r="C178" s="27" t="s">
        <v>226</v>
      </c>
      <c r="D178" s="28" t="s">
        <v>172</v>
      </c>
      <c r="E178" s="28">
        <v>0</v>
      </c>
      <c r="F178" s="28">
        <v>0</v>
      </c>
      <c r="G178" s="20">
        <f t="shared" si="2"/>
        <v>0</v>
      </c>
      <c r="H178" s="28">
        <v>1</v>
      </c>
      <c r="I178" s="20"/>
      <c r="J178" s="29" t="s">
        <v>243</v>
      </c>
      <c r="K178" s="19">
        <v>150</v>
      </c>
      <c r="L178" s="19" t="s">
        <v>136</v>
      </c>
    </row>
    <row r="179" spans="1:12" s="6" customFormat="1" ht="49.5" x14ac:dyDescent="0.25">
      <c r="A179" s="18">
        <v>54</v>
      </c>
      <c r="B179" s="27" t="s">
        <v>227</v>
      </c>
      <c r="C179" s="27" t="s">
        <v>228</v>
      </c>
      <c r="D179" s="28" t="s">
        <v>172</v>
      </c>
      <c r="E179" s="28">
        <v>0</v>
      </c>
      <c r="F179" s="28">
        <v>0</v>
      </c>
      <c r="G179" s="20">
        <f t="shared" si="2"/>
        <v>0</v>
      </c>
      <c r="H179" s="28">
        <v>1</v>
      </c>
      <c r="I179" s="20"/>
      <c r="J179" s="29" t="s">
        <v>243</v>
      </c>
      <c r="K179" s="19">
        <v>1</v>
      </c>
      <c r="L179" s="19" t="s">
        <v>136</v>
      </c>
    </row>
    <row r="180" spans="1:12" s="6" customFormat="1" ht="99" x14ac:dyDescent="0.25">
      <c r="A180" s="18">
        <v>55</v>
      </c>
      <c r="B180" s="27" t="s">
        <v>229</v>
      </c>
      <c r="C180" s="27" t="s">
        <v>230</v>
      </c>
      <c r="D180" s="28" t="s">
        <v>172</v>
      </c>
      <c r="E180" s="28">
        <v>0</v>
      </c>
      <c r="F180" s="28">
        <v>0</v>
      </c>
      <c r="G180" s="20">
        <f t="shared" si="2"/>
        <v>0</v>
      </c>
      <c r="H180" s="28">
        <v>1</v>
      </c>
      <c r="I180" s="20"/>
      <c r="J180" s="29" t="s">
        <v>243</v>
      </c>
      <c r="K180" s="19">
        <v>1</v>
      </c>
      <c r="L180" s="19" t="s">
        <v>136</v>
      </c>
    </row>
    <row r="181" spans="1:12" s="6" customFormat="1" x14ac:dyDescent="0.25">
      <c r="A181" s="18">
        <v>56</v>
      </c>
      <c r="B181" s="27" t="s">
        <v>231</v>
      </c>
      <c r="C181" s="27" t="s">
        <v>232</v>
      </c>
      <c r="D181" s="28" t="s">
        <v>172</v>
      </c>
      <c r="E181" s="28">
        <v>0</v>
      </c>
      <c r="F181" s="28">
        <v>1</v>
      </c>
      <c r="G181" s="20">
        <v>0</v>
      </c>
      <c r="H181" s="28">
        <v>0</v>
      </c>
      <c r="I181" s="20"/>
      <c r="J181" s="29" t="s">
        <v>307</v>
      </c>
      <c r="K181" s="19">
        <v>1</v>
      </c>
      <c r="L181" s="19" t="s">
        <v>136</v>
      </c>
    </row>
    <row r="182" spans="1:12" s="6" customFormat="1" ht="33" x14ac:dyDescent="0.25">
      <c r="A182" s="18">
        <v>57</v>
      </c>
      <c r="B182" s="27" t="s">
        <v>233</v>
      </c>
      <c r="C182" s="27" t="s">
        <v>234</v>
      </c>
      <c r="D182" s="28" t="s">
        <v>172</v>
      </c>
      <c r="E182" s="28">
        <v>0</v>
      </c>
      <c r="F182" s="28">
        <v>2</v>
      </c>
      <c r="G182" s="20">
        <v>0</v>
      </c>
      <c r="H182" s="28">
        <v>0</v>
      </c>
      <c r="I182" s="20"/>
      <c r="J182" s="27" t="s">
        <v>494</v>
      </c>
      <c r="K182" s="19">
        <v>4</v>
      </c>
      <c r="L182" s="19" t="s">
        <v>136</v>
      </c>
    </row>
    <row r="183" spans="1:12" s="6" customFormat="1" ht="33" x14ac:dyDescent="0.25">
      <c r="A183" s="18">
        <v>58</v>
      </c>
      <c r="B183" s="27" t="s">
        <v>235</v>
      </c>
      <c r="C183" s="27" t="s">
        <v>236</v>
      </c>
      <c r="D183" s="28" t="s">
        <v>172</v>
      </c>
      <c r="E183" s="28">
        <v>0</v>
      </c>
      <c r="F183" s="28">
        <v>2</v>
      </c>
      <c r="G183" s="20">
        <v>0</v>
      </c>
      <c r="H183" s="28">
        <v>0</v>
      </c>
      <c r="I183" s="20"/>
      <c r="J183" s="27" t="s">
        <v>494</v>
      </c>
      <c r="K183" s="19">
        <v>22</v>
      </c>
      <c r="L183" s="19" t="s">
        <v>136</v>
      </c>
    </row>
    <row r="184" spans="1:12" s="6" customFormat="1" ht="33" x14ac:dyDescent="0.25">
      <c r="A184" s="18">
        <v>59</v>
      </c>
      <c r="B184" s="23" t="s">
        <v>465</v>
      </c>
      <c r="C184" s="23" t="s">
        <v>466</v>
      </c>
      <c r="D184" s="28" t="s">
        <v>0</v>
      </c>
      <c r="E184" s="28">
        <v>25</v>
      </c>
      <c r="F184" s="28">
        <v>0</v>
      </c>
      <c r="G184" s="20">
        <v>25</v>
      </c>
      <c r="H184" s="28">
        <v>25</v>
      </c>
      <c r="I184" s="20"/>
      <c r="J184" s="29" t="s">
        <v>491</v>
      </c>
      <c r="K184" s="19">
        <v>25</v>
      </c>
      <c r="L184" s="19" t="s">
        <v>136</v>
      </c>
    </row>
    <row r="185" spans="1:12" s="6" customFormat="1" ht="33" x14ac:dyDescent="0.25">
      <c r="A185" s="18">
        <v>60</v>
      </c>
      <c r="B185" s="23" t="s">
        <v>467</v>
      </c>
      <c r="C185" s="23" t="s">
        <v>468</v>
      </c>
      <c r="D185" s="28" t="s">
        <v>0</v>
      </c>
      <c r="E185" s="28">
        <v>20</v>
      </c>
      <c r="F185" s="28">
        <v>0</v>
      </c>
      <c r="G185" s="20">
        <v>20</v>
      </c>
      <c r="H185" s="28">
        <v>20</v>
      </c>
      <c r="I185" s="20"/>
      <c r="J185" s="29" t="s">
        <v>491</v>
      </c>
      <c r="K185" s="19">
        <v>20</v>
      </c>
      <c r="L185" s="19" t="s">
        <v>136</v>
      </c>
    </row>
    <row r="186" spans="1:12" s="6" customFormat="1" ht="33" x14ac:dyDescent="0.25">
      <c r="A186" s="18">
        <v>61</v>
      </c>
      <c r="B186" s="23" t="s">
        <v>469</v>
      </c>
      <c r="C186" s="23" t="s">
        <v>470</v>
      </c>
      <c r="D186" s="28" t="s">
        <v>0</v>
      </c>
      <c r="E186" s="28">
        <v>200</v>
      </c>
      <c r="F186" s="28">
        <v>0</v>
      </c>
      <c r="G186" s="20">
        <v>200</v>
      </c>
      <c r="H186" s="28">
        <v>200</v>
      </c>
      <c r="I186" s="20"/>
      <c r="J186" s="29" t="s">
        <v>491</v>
      </c>
      <c r="K186" s="19">
        <v>200</v>
      </c>
      <c r="L186" s="19" t="s">
        <v>136</v>
      </c>
    </row>
    <row r="187" spans="1:12" s="6" customFormat="1" ht="33" x14ac:dyDescent="0.25">
      <c r="A187" s="18">
        <v>62</v>
      </c>
      <c r="B187" s="30" t="s">
        <v>471</v>
      </c>
      <c r="C187" s="30" t="s">
        <v>472</v>
      </c>
      <c r="D187" s="58" t="s">
        <v>0</v>
      </c>
      <c r="E187" s="58">
        <v>100</v>
      </c>
      <c r="F187" s="28">
        <v>0</v>
      </c>
      <c r="G187" s="20">
        <v>100</v>
      </c>
      <c r="H187" s="58">
        <v>100</v>
      </c>
      <c r="I187" s="20"/>
      <c r="J187" s="30" t="s">
        <v>491</v>
      </c>
      <c r="K187" s="19">
        <v>100</v>
      </c>
      <c r="L187" s="19" t="s">
        <v>136</v>
      </c>
    </row>
    <row r="188" spans="1:12" s="6" customFormat="1" ht="49.5" x14ac:dyDescent="0.25">
      <c r="A188" s="18">
        <v>63</v>
      </c>
      <c r="B188" s="30" t="s">
        <v>473</v>
      </c>
      <c r="C188" s="30" t="s">
        <v>474</v>
      </c>
      <c r="D188" s="58" t="s">
        <v>0</v>
      </c>
      <c r="E188" s="58">
        <v>20</v>
      </c>
      <c r="F188" s="28">
        <v>0</v>
      </c>
      <c r="G188" s="20">
        <v>20</v>
      </c>
      <c r="H188" s="58">
        <v>20</v>
      </c>
      <c r="I188" s="20"/>
      <c r="J188" s="30" t="s">
        <v>491</v>
      </c>
      <c r="K188" s="19">
        <v>20</v>
      </c>
      <c r="L188" s="19" t="s">
        <v>136</v>
      </c>
    </row>
    <row r="189" spans="1:12" s="6" customFormat="1" x14ac:dyDescent="0.25">
      <c r="A189" s="18">
        <v>64</v>
      </c>
      <c r="B189" s="30" t="s">
        <v>475</v>
      </c>
      <c r="C189" s="30" t="s">
        <v>476</v>
      </c>
      <c r="D189" s="58" t="s">
        <v>0</v>
      </c>
      <c r="E189" s="58">
        <v>100</v>
      </c>
      <c r="F189" s="28">
        <v>0</v>
      </c>
      <c r="G189" s="20">
        <v>100</v>
      </c>
      <c r="H189" s="58">
        <v>100</v>
      </c>
      <c r="I189" s="20"/>
      <c r="J189" s="30" t="s">
        <v>491</v>
      </c>
      <c r="K189" s="19">
        <v>100</v>
      </c>
      <c r="L189" s="19" t="s">
        <v>136</v>
      </c>
    </row>
    <row r="190" spans="1:12" s="6" customFormat="1" ht="33" x14ac:dyDescent="0.25">
      <c r="A190" s="18">
        <v>65</v>
      </c>
      <c r="B190" s="30" t="s">
        <v>477</v>
      </c>
      <c r="C190" s="30" t="s">
        <v>478</v>
      </c>
      <c r="D190" s="58" t="s">
        <v>0</v>
      </c>
      <c r="E190" s="58">
        <v>1</v>
      </c>
      <c r="F190" s="28">
        <v>0</v>
      </c>
      <c r="G190" s="20">
        <v>1</v>
      </c>
      <c r="H190" s="58">
        <v>1</v>
      </c>
      <c r="I190" s="20"/>
      <c r="J190" s="30" t="s">
        <v>492</v>
      </c>
      <c r="K190" s="19">
        <v>1</v>
      </c>
      <c r="L190" s="19" t="s">
        <v>136</v>
      </c>
    </row>
    <row r="191" spans="1:12" s="6" customFormat="1" ht="49.5" x14ac:dyDescent="0.25">
      <c r="A191" s="18">
        <v>66</v>
      </c>
      <c r="B191" s="30" t="s">
        <v>479</v>
      </c>
      <c r="C191" s="30" t="s">
        <v>480</v>
      </c>
      <c r="D191" s="58" t="s">
        <v>428</v>
      </c>
      <c r="E191" s="58">
        <v>1</v>
      </c>
      <c r="F191" s="28">
        <v>0</v>
      </c>
      <c r="G191" s="20">
        <v>1</v>
      </c>
      <c r="H191" s="58">
        <v>1</v>
      </c>
      <c r="I191" s="20"/>
      <c r="J191" s="30" t="s">
        <v>493</v>
      </c>
      <c r="K191" s="19">
        <v>1</v>
      </c>
      <c r="L191" s="19" t="s">
        <v>136</v>
      </c>
    </row>
    <row r="192" spans="1:12" s="6" customFormat="1" ht="33" x14ac:dyDescent="0.25">
      <c r="A192" s="18">
        <v>67</v>
      </c>
      <c r="B192" s="30" t="s">
        <v>481</v>
      </c>
      <c r="C192" s="30" t="s">
        <v>482</v>
      </c>
      <c r="D192" s="58" t="s">
        <v>0</v>
      </c>
      <c r="E192" s="58">
        <v>2</v>
      </c>
      <c r="F192" s="28">
        <v>0</v>
      </c>
      <c r="G192" s="20">
        <v>2</v>
      </c>
      <c r="H192" s="58">
        <v>2</v>
      </c>
      <c r="I192" s="20"/>
      <c r="J192" s="30" t="s">
        <v>493</v>
      </c>
      <c r="K192" s="19">
        <v>2</v>
      </c>
      <c r="L192" s="19" t="s">
        <v>136</v>
      </c>
    </row>
    <row r="193" spans="1:12" s="6" customFormat="1" ht="49.5" x14ac:dyDescent="0.25">
      <c r="A193" s="18">
        <v>68</v>
      </c>
      <c r="B193" s="30" t="s">
        <v>483</v>
      </c>
      <c r="C193" s="30" t="s">
        <v>484</v>
      </c>
      <c r="D193" s="58" t="s">
        <v>428</v>
      </c>
      <c r="E193" s="58">
        <v>1</v>
      </c>
      <c r="F193" s="28">
        <v>0</v>
      </c>
      <c r="G193" s="20">
        <v>1</v>
      </c>
      <c r="H193" s="58">
        <v>1</v>
      </c>
      <c r="I193" s="20"/>
      <c r="J193" s="30" t="s">
        <v>491</v>
      </c>
      <c r="K193" s="19">
        <v>1</v>
      </c>
      <c r="L193" s="19" t="s">
        <v>136</v>
      </c>
    </row>
    <row r="194" spans="1:12" s="6" customFormat="1" x14ac:dyDescent="0.25">
      <c r="A194" s="18">
        <v>69</v>
      </c>
      <c r="B194" s="30" t="s">
        <v>485</v>
      </c>
      <c r="C194" s="30" t="s">
        <v>486</v>
      </c>
      <c r="D194" s="58" t="s">
        <v>172</v>
      </c>
      <c r="E194" s="58">
        <v>2</v>
      </c>
      <c r="F194" s="28">
        <v>0</v>
      </c>
      <c r="G194" s="20">
        <v>2</v>
      </c>
      <c r="H194" s="58">
        <v>2</v>
      </c>
      <c r="I194" s="20"/>
      <c r="J194" s="30" t="s">
        <v>491</v>
      </c>
      <c r="K194" s="19">
        <v>2</v>
      </c>
      <c r="L194" s="19" t="s">
        <v>136</v>
      </c>
    </row>
    <row r="195" spans="1:12" s="6" customFormat="1" ht="33" x14ac:dyDescent="0.25">
      <c r="A195" s="18">
        <v>70</v>
      </c>
      <c r="B195" s="30" t="s">
        <v>487</v>
      </c>
      <c r="C195" s="30" t="s">
        <v>488</v>
      </c>
      <c r="D195" s="58" t="s">
        <v>172</v>
      </c>
      <c r="E195" s="58">
        <v>2</v>
      </c>
      <c r="F195" s="28">
        <v>0</v>
      </c>
      <c r="G195" s="20">
        <v>2</v>
      </c>
      <c r="H195" s="58">
        <v>2</v>
      </c>
      <c r="I195" s="20"/>
      <c r="J195" s="30" t="s">
        <v>491</v>
      </c>
      <c r="K195" s="19">
        <v>2</v>
      </c>
      <c r="L195" s="19" t="s">
        <v>136</v>
      </c>
    </row>
    <row r="196" spans="1:12" s="6" customFormat="1" ht="49.5" x14ac:dyDescent="0.25">
      <c r="A196" s="18">
        <v>71</v>
      </c>
      <c r="B196" s="30" t="s">
        <v>489</v>
      </c>
      <c r="C196" s="30" t="s">
        <v>490</v>
      </c>
      <c r="D196" s="58" t="s">
        <v>172</v>
      </c>
      <c r="E196" s="58">
        <v>2</v>
      </c>
      <c r="F196" s="28">
        <v>0</v>
      </c>
      <c r="G196" s="20">
        <v>2</v>
      </c>
      <c r="H196" s="58">
        <v>2</v>
      </c>
      <c r="I196" s="20"/>
      <c r="J196" s="30" t="s">
        <v>491</v>
      </c>
      <c r="K196" s="19">
        <v>2</v>
      </c>
      <c r="L196" s="19" t="s">
        <v>136</v>
      </c>
    </row>
    <row r="1046592" spans="3:11" s="31" customFormat="1" ht="26.25" customHeight="1" x14ac:dyDescent="0.25">
      <c r="C1046592" s="10"/>
      <c r="H1046592" s="59"/>
      <c r="J1046592" s="60"/>
      <c r="K1046592" s="37"/>
    </row>
  </sheetData>
  <autoFilter ref="A21:X196" xr:uid="{00000000-0009-0000-0000-00000B000000}"/>
  <mergeCells count="6">
    <mergeCell ref="B15:J15"/>
    <mergeCell ref="A10:B10"/>
    <mergeCell ref="A11:B11"/>
    <mergeCell ref="A12:B12"/>
    <mergeCell ref="H12:I12"/>
    <mergeCell ref="B14:J14"/>
  </mergeCells>
  <conditionalFormatting sqref="B135">
    <cfRule type="duplicateValues" dxfId="1" priority="1"/>
  </conditionalFormatting>
  <printOptions horizontalCentered="1"/>
  <pageMargins left="0" right="0" top="0.25" bottom="0.25" header="0.3" footer="0.3"/>
  <pageSetup scale="5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1046564"/>
  <sheetViews>
    <sheetView topLeftCell="A10" zoomScale="55" zoomScaleNormal="55" workbookViewId="0">
      <pane ySplit="12" topLeftCell="A36" activePane="bottomLeft" state="frozen"/>
      <selection activeCell="A10" sqref="A10"/>
      <selection pane="bottomLeft" activeCell="F52" sqref="F52"/>
    </sheetView>
  </sheetViews>
  <sheetFormatPr defaultColWidth="9.140625" defaultRowHeight="16.5" x14ac:dyDescent="0.25"/>
  <cols>
    <col min="1" max="1" width="7" style="31" customWidth="1"/>
    <col min="2" max="2" width="28.5703125" style="31" customWidth="1"/>
    <col min="3" max="3" width="38.5703125" style="60" customWidth="1"/>
    <col min="4" max="4" width="11.7109375" style="31" customWidth="1"/>
    <col min="5" max="5" width="14" style="31" customWidth="1"/>
    <col min="6" max="7" width="11.7109375" style="31" customWidth="1"/>
    <col min="8" max="8" width="11.42578125" style="59" customWidth="1"/>
    <col min="9" max="9" width="9.5703125" style="31" customWidth="1"/>
    <col min="10" max="10" width="47.140625" style="60" customWidth="1"/>
    <col min="11" max="11" width="26.7109375" style="37" hidden="1" customWidth="1"/>
    <col min="12" max="12" width="26.42578125" style="12" hidden="1" customWidth="1"/>
    <col min="13" max="16384" width="9.140625" style="12"/>
  </cols>
  <sheetData>
    <row r="1" spans="1:12" ht="28.5" hidden="1" customHeight="1" x14ac:dyDescent="0.25">
      <c r="A1" s="31" t="s">
        <v>8</v>
      </c>
      <c r="C1" s="32"/>
      <c r="D1" s="33"/>
      <c r="E1" s="33"/>
      <c r="F1" s="33"/>
      <c r="G1" s="33"/>
      <c r="H1" s="33"/>
      <c r="I1" s="33"/>
      <c r="J1" s="32"/>
      <c r="K1" s="34"/>
      <c r="L1" s="34"/>
    </row>
    <row r="2" spans="1:12" ht="28.5" hidden="1" customHeight="1" x14ac:dyDescent="0.25">
      <c r="A2" s="35" t="s">
        <v>9</v>
      </c>
      <c r="B2" s="35"/>
      <c r="C2" s="32"/>
      <c r="D2" s="33"/>
      <c r="E2" s="33"/>
      <c r="F2" s="33"/>
      <c r="G2" s="33"/>
      <c r="H2" s="33"/>
      <c r="I2" s="33"/>
      <c r="J2" s="32"/>
      <c r="K2" s="34"/>
      <c r="L2" s="34"/>
    </row>
    <row r="3" spans="1:12" ht="19.5" hidden="1" customHeight="1" x14ac:dyDescent="0.25">
      <c r="C3" s="32"/>
      <c r="D3" s="33"/>
      <c r="E3" s="33"/>
      <c r="F3" s="33"/>
      <c r="G3" s="33"/>
      <c r="H3" s="33"/>
      <c r="I3" s="33"/>
      <c r="J3" s="32"/>
      <c r="K3" s="34"/>
      <c r="L3" s="34"/>
    </row>
    <row r="4" spans="1:12" ht="14.25" hidden="1" customHeight="1" x14ac:dyDescent="0.25">
      <c r="C4" s="32"/>
      <c r="D4" s="33"/>
      <c r="E4" s="33"/>
      <c r="F4" s="33"/>
      <c r="G4" s="33"/>
      <c r="H4" s="33"/>
      <c r="I4" s="33"/>
      <c r="J4" s="32"/>
      <c r="K4" s="34"/>
      <c r="L4" s="34"/>
    </row>
    <row r="5" spans="1:12" ht="14.25" hidden="1" customHeight="1" x14ac:dyDescent="0.25">
      <c r="B5" s="31" t="s">
        <v>14</v>
      </c>
      <c r="C5" s="32"/>
      <c r="D5" s="33"/>
      <c r="E5" s="33"/>
      <c r="F5" s="33"/>
      <c r="G5" s="33"/>
      <c r="H5" s="33"/>
      <c r="I5" s="33"/>
      <c r="J5" s="32"/>
      <c r="K5" s="34"/>
      <c r="L5" s="34"/>
    </row>
    <row r="6" spans="1:12" ht="14.25" hidden="1" customHeight="1" x14ac:dyDescent="0.25">
      <c r="B6" s="31" t="s">
        <v>12</v>
      </c>
      <c r="C6" s="32"/>
      <c r="D6" s="33"/>
      <c r="E6" s="33"/>
      <c r="F6" s="33"/>
      <c r="G6" s="33"/>
      <c r="H6" s="33"/>
      <c r="I6" s="33"/>
      <c r="J6" s="32"/>
      <c r="K6" s="34"/>
      <c r="L6" s="34"/>
    </row>
    <row r="7" spans="1:12" ht="14.25" hidden="1" customHeight="1" x14ac:dyDescent="0.25">
      <c r="B7" s="31" t="s">
        <v>15</v>
      </c>
      <c r="C7" s="32"/>
      <c r="D7" s="33"/>
      <c r="E7" s="33"/>
      <c r="F7" s="33"/>
      <c r="G7" s="33"/>
      <c r="H7" s="33"/>
      <c r="I7" s="33"/>
      <c r="J7" s="32"/>
      <c r="K7" s="34"/>
      <c r="L7" s="34"/>
    </row>
    <row r="8" spans="1:12" ht="14.25" hidden="1" customHeight="1" x14ac:dyDescent="0.25">
      <c r="B8" s="31" t="s">
        <v>13</v>
      </c>
      <c r="C8" s="32"/>
      <c r="D8" s="33"/>
      <c r="E8" s="33"/>
      <c r="F8" s="33"/>
      <c r="G8" s="33"/>
      <c r="H8" s="33"/>
      <c r="I8" s="33"/>
      <c r="J8" s="32"/>
      <c r="K8" s="34"/>
      <c r="L8" s="34"/>
    </row>
    <row r="9" spans="1:12" ht="14.25" hidden="1" customHeight="1" x14ac:dyDescent="0.25">
      <c r="C9" s="32"/>
      <c r="D9" s="33"/>
      <c r="E9" s="33"/>
      <c r="F9" s="33"/>
      <c r="G9" s="33"/>
      <c r="H9" s="33"/>
      <c r="I9" s="33"/>
      <c r="J9" s="32"/>
      <c r="K9" s="34"/>
      <c r="L9" s="34"/>
    </row>
    <row r="10" spans="1:12" ht="45" customHeight="1" x14ac:dyDescent="0.25">
      <c r="A10" s="505" t="s">
        <v>109</v>
      </c>
      <c r="B10" s="505"/>
      <c r="C10" s="32"/>
      <c r="D10" s="33"/>
      <c r="E10" s="33"/>
      <c r="F10" s="33"/>
      <c r="G10" s="33"/>
      <c r="H10" s="33"/>
      <c r="I10" s="33"/>
      <c r="J10" s="36" t="s">
        <v>371</v>
      </c>
      <c r="L10" s="34"/>
    </row>
    <row r="11" spans="1:12" ht="18.75" x14ac:dyDescent="0.25">
      <c r="A11" s="506" t="s">
        <v>9</v>
      </c>
      <c r="B11" s="506"/>
      <c r="C11" s="38"/>
      <c r="D11" s="69"/>
      <c r="E11" s="69"/>
      <c r="F11" s="69"/>
      <c r="G11" s="69"/>
      <c r="H11" s="69"/>
      <c r="I11" s="69"/>
      <c r="J11" s="38"/>
      <c r="K11" s="38"/>
      <c r="L11" s="38"/>
    </row>
    <row r="12" spans="1:12" x14ac:dyDescent="0.25">
      <c r="A12" s="504" t="s">
        <v>372</v>
      </c>
      <c r="B12" s="504"/>
      <c r="C12" s="11"/>
      <c r="H12" s="507"/>
      <c r="I12" s="507"/>
      <c r="J12" s="37"/>
    </row>
    <row r="13" spans="1:12" x14ac:dyDescent="0.25">
      <c r="B13" s="12"/>
      <c r="C13" s="11"/>
      <c r="H13" s="31"/>
      <c r="J13" s="11"/>
    </row>
    <row r="14" spans="1:12" s="39" customFormat="1" ht="25.5" x14ac:dyDescent="0.25">
      <c r="A14" s="40"/>
      <c r="B14" s="508" t="s">
        <v>368</v>
      </c>
      <c r="C14" s="508"/>
      <c r="D14" s="508"/>
      <c r="E14" s="508"/>
      <c r="F14" s="508"/>
      <c r="G14" s="508"/>
      <c r="H14" s="508"/>
      <c r="I14" s="508"/>
      <c r="J14" s="508"/>
    </row>
    <row r="15" spans="1:12" x14ac:dyDescent="0.25">
      <c r="B15" s="504" t="s">
        <v>369</v>
      </c>
      <c r="C15" s="504"/>
      <c r="D15" s="504"/>
      <c r="E15" s="504"/>
      <c r="F15" s="504"/>
      <c r="G15" s="504"/>
      <c r="H15" s="504"/>
      <c r="I15" s="504"/>
      <c r="J15" s="504"/>
      <c r="K15" s="12"/>
    </row>
    <row r="16" spans="1:12" x14ac:dyDescent="0.25">
      <c r="B16" s="12"/>
      <c r="C16" s="11"/>
      <c r="H16" s="31"/>
      <c r="J16" s="11"/>
      <c r="K16" s="12"/>
    </row>
    <row r="17" spans="1:12" x14ac:dyDescent="0.25">
      <c r="B17" s="12" t="s">
        <v>220</v>
      </c>
      <c r="C17" s="11"/>
      <c r="H17" s="31"/>
      <c r="J17" s="11"/>
      <c r="K17" s="12"/>
    </row>
    <row r="18" spans="1:12" x14ac:dyDescent="0.25">
      <c r="B18" s="12" t="s">
        <v>370</v>
      </c>
      <c r="C18" s="11"/>
      <c r="H18" s="31"/>
      <c r="J18" s="11"/>
      <c r="K18" s="12"/>
    </row>
    <row r="19" spans="1:12" x14ac:dyDescent="0.25">
      <c r="B19" s="12"/>
      <c r="C19" s="11"/>
      <c r="H19" s="31"/>
      <c r="J19" s="11"/>
      <c r="K19" s="12"/>
    </row>
    <row r="20" spans="1:12" x14ac:dyDescent="0.25">
      <c r="A20" s="43"/>
      <c r="B20" s="41"/>
      <c r="C20" s="42"/>
      <c r="D20" s="43"/>
      <c r="E20" s="43"/>
      <c r="F20" s="43"/>
      <c r="G20" s="43"/>
      <c r="H20" s="43"/>
      <c r="I20" s="43"/>
      <c r="J20" s="42"/>
      <c r="K20" s="41"/>
      <c r="L20" s="41"/>
    </row>
    <row r="21" spans="1:12" s="11" customFormat="1" ht="75" customHeight="1" x14ac:dyDescent="0.25">
      <c r="A21" s="44" t="s">
        <v>5</v>
      </c>
      <c r="B21" s="44" t="s">
        <v>10</v>
      </c>
      <c r="C21" s="44" t="s">
        <v>11</v>
      </c>
      <c r="D21" s="44" t="s">
        <v>6</v>
      </c>
      <c r="E21" s="44" t="s">
        <v>373</v>
      </c>
      <c r="F21" s="44" t="s">
        <v>404</v>
      </c>
      <c r="G21" s="44" t="s">
        <v>405</v>
      </c>
      <c r="H21" s="17" t="s">
        <v>406</v>
      </c>
      <c r="I21" s="15" t="s">
        <v>407</v>
      </c>
      <c r="J21" s="44" t="s">
        <v>408</v>
      </c>
      <c r="K21" s="16" t="s">
        <v>35</v>
      </c>
      <c r="L21" s="14" t="s">
        <v>108</v>
      </c>
    </row>
    <row r="22" spans="1:12" s="9" customFormat="1" ht="42" customHeight="1" x14ac:dyDescent="0.25">
      <c r="A22" s="61" t="s">
        <v>18</v>
      </c>
      <c r="B22" s="45"/>
      <c r="C22" s="45"/>
      <c r="D22" s="46"/>
      <c r="E22" s="46"/>
      <c r="F22" s="46"/>
      <c r="G22" s="46"/>
      <c r="H22" s="46"/>
      <c r="I22" s="46"/>
      <c r="J22" s="47"/>
      <c r="K22" s="48"/>
      <c r="L22" s="48"/>
    </row>
    <row r="23" spans="1:12" s="6" customFormat="1" ht="59.25" customHeight="1" x14ac:dyDescent="0.25">
      <c r="A23" s="18">
        <v>1</v>
      </c>
      <c r="B23" s="19" t="s">
        <v>153</v>
      </c>
      <c r="C23" s="19" t="s">
        <v>54</v>
      </c>
      <c r="D23" s="20" t="s">
        <v>2</v>
      </c>
      <c r="E23" s="20">
        <v>1256</v>
      </c>
      <c r="F23" s="20"/>
      <c r="G23" s="20">
        <f>E23-F23</f>
        <v>1256</v>
      </c>
      <c r="H23" s="21">
        <v>15</v>
      </c>
      <c r="I23" s="18"/>
      <c r="J23" s="22" t="s">
        <v>55</v>
      </c>
      <c r="K23" s="23" t="s">
        <v>110</v>
      </c>
      <c r="L23" s="19" t="s">
        <v>76</v>
      </c>
    </row>
    <row r="24" spans="1:12" s="6" customFormat="1" ht="39" customHeight="1" x14ac:dyDescent="0.25">
      <c r="A24" s="18">
        <v>2</v>
      </c>
      <c r="B24" s="19" t="s">
        <v>153</v>
      </c>
      <c r="C24" s="19" t="s">
        <v>54</v>
      </c>
      <c r="D24" s="18" t="s">
        <v>2</v>
      </c>
      <c r="E24" s="18">
        <v>1256</v>
      </c>
      <c r="F24" s="18"/>
      <c r="G24" s="20">
        <f t="shared" ref="G24:G87" si="0">E24-F24</f>
        <v>1256</v>
      </c>
      <c r="H24" s="21">
        <v>60</v>
      </c>
      <c r="I24" s="18"/>
      <c r="J24" s="22" t="s">
        <v>161</v>
      </c>
      <c r="K24" s="23">
        <v>0</v>
      </c>
      <c r="L24" s="19" t="s">
        <v>140</v>
      </c>
    </row>
    <row r="25" spans="1:12" s="6" customFormat="1" ht="39" customHeight="1" x14ac:dyDescent="0.25">
      <c r="A25" s="18">
        <v>3</v>
      </c>
      <c r="B25" s="23" t="s">
        <v>141</v>
      </c>
      <c r="C25" s="23" t="s">
        <v>142</v>
      </c>
      <c r="D25" s="18" t="s">
        <v>2</v>
      </c>
      <c r="E25" s="18">
        <v>6245</v>
      </c>
      <c r="F25" s="18">
        <v>1248</v>
      </c>
      <c r="G25" s="20">
        <f t="shared" si="0"/>
        <v>4997</v>
      </c>
      <c r="H25" s="13">
        <f>208*4</f>
        <v>832</v>
      </c>
      <c r="I25" s="18"/>
      <c r="J25" s="23" t="s">
        <v>143</v>
      </c>
      <c r="K25" s="19">
        <v>0</v>
      </c>
      <c r="L25" s="19" t="s">
        <v>140</v>
      </c>
    </row>
    <row r="26" spans="1:12" s="6" customFormat="1" ht="48" customHeight="1" x14ac:dyDescent="0.25">
      <c r="A26" s="18">
        <v>4</v>
      </c>
      <c r="B26" s="23" t="s">
        <v>141</v>
      </c>
      <c r="C26" s="23" t="s">
        <v>142</v>
      </c>
      <c r="D26" s="18" t="s">
        <v>2</v>
      </c>
      <c r="E26" s="18">
        <v>6245</v>
      </c>
      <c r="F26" s="18">
        <v>1248</v>
      </c>
      <c r="G26" s="20">
        <f t="shared" si="0"/>
        <v>4997</v>
      </c>
      <c r="H26" s="13">
        <v>1268</v>
      </c>
      <c r="I26" s="18"/>
      <c r="J26" s="23" t="s">
        <v>414</v>
      </c>
      <c r="K26" s="19">
        <v>0</v>
      </c>
      <c r="L26" s="19" t="s">
        <v>140</v>
      </c>
    </row>
    <row r="27" spans="1:12" s="6" customFormat="1" ht="39" customHeight="1" x14ac:dyDescent="0.25">
      <c r="A27" s="18">
        <v>5</v>
      </c>
      <c r="B27" s="23" t="s">
        <v>158</v>
      </c>
      <c r="C27" s="23" t="s">
        <v>159</v>
      </c>
      <c r="D27" s="18" t="s">
        <v>2</v>
      </c>
      <c r="E27" s="18">
        <v>260</v>
      </c>
      <c r="F27" s="18">
        <v>0</v>
      </c>
      <c r="G27" s="20">
        <f t="shared" si="0"/>
        <v>260</v>
      </c>
      <c r="H27" s="13">
        <v>60</v>
      </c>
      <c r="I27" s="18"/>
      <c r="J27" s="23" t="s">
        <v>160</v>
      </c>
      <c r="K27" s="19">
        <v>559</v>
      </c>
      <c r="L27" s="19" t="s">
        <v>140</v>
      </c>
    </row>
    <row r="28" spans="1:12" s="6" customFormat="1" ht="55.5" customHeight="1" x14ac:dyDescent="0.25">
      <c r="A28" s="18">
        <v>6</v>
      </c>
      <c r="B28" s="23" t="s">
        <v>162</v>
      </c>
      <c r="C28" s="23" t="s">
        <v>163</v>
      </c>
      <c r="D28" s="20" t="s">
        <v>66</v>
      </c>
      <c r="E28" s="20">
        <v>690</v>
      </c>
      <c r="F28" s="20">
        <v>1813</v>
      </c>
      <c r="G28" s="20">
        <v>0</v>
      </c>
      <c r="H28" s="13">
        <v>460</v>
      </c>
      <c r="I28" s="18"/>
      <c r="J28" s="23" t="s">
        <v>183</v>
      </c>
      <c r="K28" s="19" t="s">
        <v>110</v>
      </c>
      <c r="L28" s="19" t="s">
        <v>140</v>
      </c>
    </row>
    <row r="29" spans="1:12" s="6" customFormat="1" ht="43.5" customHeight="1" x14ac:dyDescent="0.25">
      <c r="A29" s="18">
        <v>7</v>
      </c>
      <c r="B29" s="23" t="s">
        <v>162</v>
      </c>
      <c r="C29" s="23" t="s">
        <v>163</v>
      </c>
      <c r="D29" s="20" t="s">
        <v>66</v>
      </c>
      <c r="E29" s="20">
        <v>690</v>
      </c>
      <c r="F29" s="20">
        <v>1813</v>
      </c>
      <c r="G29" s="20">
        <v>0</v>
      </c>
      <c r="H29" s="13">
        <v>203</v>
      </c>
      <c r="I29" s="18"/>
      <c r="J29" s="23" t="s">
        <v>403</v>
      </c>
      <c r="K29" s="19" t="s">
        <v>110</v>
      </c>
      <c r="L29" s="19" t="s">
        <v>140</v>
      </c>
    </row>
    <row r="30" spans="1:12" s="6" customFormat="1" ht="33" x14ac:dyDescent="0.25">
      <c r="A30" s="18">
        <v>8</v>
      </c>
      <c r="B30" s="23" t="s">
        <v>185</v>
      </c>
      <c r="C30" s="23" t="s">
        <v>186</v>
      </c>
      <c r="D30" s="20" t="s">
        <v>2</v>
      </c>
      <c r="E30" s="20">
        <v>209</v>
      </c>
      <c r="F30" s="20">
        <v>0</v>
      </c>
      <c r="G30" s="20">
        <f t="shared" si="0"/>
        <v>209</v>
      </c>
      <c r="H30" s="13">
        <v>1000</v>
      </c>
      <c r="I30" s="18"/>
      <c r="J30" s="23" t="s">
        <v>187</v>
      </c>
      <c r="K30" s="19">
        <v>7076</v>
      </c>
      <c r="L30" s="19" t="s">
        <v>140</v>
      </c>
    </row>
    <row r="31" spans="1:12" s="6" customFormat="1" ht="40.5" customHeight="1" x14ac:dyDescent="0.25">
      <c r="A31" s="18">
        <v>9</v>
      </c>
      <c r="B31" s="23" t="s">
        <v>185</v>
      </c>
      <c r="C31" s="23" t="s">
        <v>186</v>
      </c>
      <c r="D31" s="18" t="s">
        <v>2</v>
      </c>
      <c r="E31" s="18">
        <v>209</v>
      </c>
      <c r="F31" s="18">
        <v>0</v>
      </c>
      <c r="G31" s="20">
        <f t="shared" si="0"/>
        <v>209</v>
      </c>
      <c r="H31" s="20">
        <v>650</v>
      </c>
      <c r="I31" s="18"/>
      <c r="J31" s="23" t="s">
        <v>294</v>
      </c>
      <c r="K31" s="23">
        <v>491</v>
      </c>
      <c r="L31" s="23" t="s">
        <v>88</v>
      </c>
    </row>
    <row r="32" spans="1:12" s="6" customFormat="1" ht="39" customHeight="1" x14ac:dyDescent="0.25">
      <c r="A32" s="18">
        <v>10</v>
      </c>
      <c r="B32" s="23" t="s">
        <v>77</v>
      </c>
      <c r="C32" s="23" t="s">
        <v>78</v>
      </c>
      <c r="D32" s="20" t="s">
        <v>2</v>
      </c>
      <c r="E32" s="20">
        <v>1008</v>
      </c>
      <c r="F32" s="20">
        <v>0</v>
      </c>
      <c r="G32" s="20">
        <f t="shared" si="0"/>
        <v>1008</v>
      </c>
      <c r="H32" s="13">
        <v>1000</v>
      </c>
      <c r="I32" s="18"/>
      <c r="J32" s="23" t="s">
        <v>288</v>
      </c>
      <c r="K32" s="62">
        <v>1076</v>
      </c>
      <c r="L32" s="19" t="s">
        <v>88</v>
      </c>
    </row>
    <row r="33" spans="1:12" s="6" customFormat="1" ht="57.75" customHeight="1" x14ac:dyDescent="0.25">
      <c r="A33" s="18">
        <v>11</v>
      </c>
      <c r="B33" s="23" t="s">
        <v>3</v>
      </c>
      <c r="C33" s="23" t="s">
        <v>4</v>
      </c>
      <c r="D33" s="18" t="s">
        <v>2</v>
      </c>
      <c r="E33" s="18">
        <v>978</v>
      </c>
      <c r="F33" s="18">
        <v>0</v>
      </c>
      <c r="G33" s="20">
        <f t="shared" si="0"/>
        <v>978</v>
      </c>
      <c r="H33" s="13">
        <v>200</v>
      </c>
      <c r="I33" s="18"/>
      <c r="J33" s="23" t="s">
        <v>287</v>
      </c>
      <c r="K33" s="19">
        <v>2703</v>
      </c>
      <c r="L33" s="19" t="s">
        <v>88</v>
      </c>
    </row>
    <row r="34" spans="1:12" s="6" customFormat="1" ht="57.75" customHeight="1" x14ac:dyDescent="0.25">
      <c r="A34" s="18">
        <v>12</v>
      </c>
      <c r="B34" s="23" t="s">
        <v>3</v>
      </c>
      <c r="C34" s="23" t="s">
        <v>4</v>
      </c>
      <c r="D34" s="18" t="s">
        <v>2</v>
      </c>
      <c r="E34" s="18">
        <v>978</v>
      </c>
      <c r="F34" s="18">
        <v>0</v>
      </c>
      <c r="G34" s="20">
        <f t="shared" si="0"/>
        <v>978</v>
      </c>
      <c r="H34" s="13">
        <v>500</v>
      </c>
      <c r="I34" s="18"/>
      <c r="J34" s="23" t="s">
        <v>36</v>
      </c>
      <c r="K34" s="19">
        <v>2703</v>
      </c>
      <c r="L34" s="19" t="s">
        <v>104</v>
      </c>
    </row>
    <row r="35" spans="1:12" s="6" customFormat="1" ht="39" customHeight="1" x14ac:dyDescent="0.25">
      <c r="A35" s="18">
        <v>13</v>
      </c>
      <c r="B35" s="23" t="s">
        <v>16</v>
      </c>
      <c r="C35" s="23" t="s">
        <v>164</v>
      </c>
      <c r="D35" s="18" t="s">
        <v>2</v>
      </c>
      <c r="E35" s="18">
        <v>550</v>
      </c>
      <c r="F35" s="18">
        <v>0</v>
      </c>
      <c r="G35" s="20">
        <f t="shared" si="0"/>
        <v>550</v>
      </c>
      <c r="H35" s="13">
        <v>50</v>
      </c>
      <c r="I35" s="18"/>
      <c r="J35" s="23" t="s">
        <v>165</v>
      </c>
      <c r="K35" s="19">
        <v>0</v>
      </c>
      <c r="L35" s="19" t="s">
        <v>140</v>
      </c>
    </row>
    <row r="36" spans="1:12" s="6" customFormat="1" ht="77.25" customHeight="1" x14ac:dyDescent="0.25">
      <c r="A36" s="18">
        <v>14</v>
      </c>
      <c r="B36" s="23" t="s">
        <v>85</v>
      </c>
      <c r="C36" s="23" t="s">
        <v>86</v>
      </c>
      <c r="D36" s="18" t="s">
        <v>2</v>
      </c>
      <c r="E36" s="18">
        <v>2046</v>
      </c>
      <c r="F36" s="18">
        <v>860</v>
      </c>
      <c r="G36" s="20">
        <f t="shared" si="0"/>
        <v>1186</v>
      </c>
      <c r="H36" s="24">
        <v>200</v>
      </c>
      <c r="I36" s="18"/>
      <c r="J36" s="23" t="s">
        <v>219</v>
      </c>
      <c r="K36" s="19">
        <v>6843</v>
      </c>
      <c r="L36" s="19" t="s">
        <v>88</v>
      </c>
    </row>
    <row r="37" spans="1:12" s="6" customFormat="1" ht="39" customHeight="1" x14ac:dyDescent="0.25">
      <c r="A37" s="18">
        <v>15</v>
      </c>
      <c r="B37" s="23" t="s">
        <v>83</v>
      </c>
      <c r="C37" s="23" t="s">
        <v>84</v>
      </c>
      <c r="D37" s="18" t="s">
        <v>2</v>
      </c>
      <c r="E37" s="18">
        <v>2000</v>
      </c>
      <c r="F37" s="18">
        <v>80</v>
      </c>
      <c r="G37" s="20">
        <f t="shared" si="0"/>
        <v>1920</v>
      </c>
      <c r="H37" s="13">
        <v>500</v>
      </c>
      <c r="I37" s="18"/>
      <c r="J37" s="23" t="s">
        <v>286</v>
      </c>
      <c r="K37" s="19">
        <v>0</v>
      </c>
      <c r="L37" s="19" t="s">
        <v>88</v>
      </c>
    </row>
    <row r="38" spans="1:12" s="6" customFormat="1" ht="39" customHeight="1" x14ac:dyDescent="0.25">
      <c r="A38" s="18">
        <v>16</v>
      </c>
      <c r="B38" s="23" t="s">
        <v>83</v>
      </c>
      <c r="C38" s="23" t="s">
        <v>84</v>
      </c>
      <c r="D38" s="18" t="s">
        <v>2</v>
      </c>
      <c r="E38" s="18">
        <v>2000</v>
      </c>
      <c r="F38" s="18">
        <v>80</v>
      </c>
      <c r="G38" s="20">
        <f t="shared" si="0"/>
        <v>1920</v>
      </c>
      <c r="H38" s="13">
        <v>1200</v>
      </c>
      <c r="I38" s="18"/>
      <c r="J38" s="23" t="s">
        <v>402</v>
      </c>
      <c r="K38" s="19"/>
      <c r="L38" s="19"/>
    </row>
    <row r="39" spans="1:12" s="6" customFormat="1" ht="91.5" customHeight="1" x14ac:dyDescent="0.25">
      <c r="A39" s="18">
        <v>17</v>
      </c>
      <c r="B39" s="23" t="s">
        <v>56</v>
      </c>
      <c r="C39" s="23" t="s">
        <v>57</v>
      </c>
      <c r="D39" s="20" t="s">
        <v>2</v>
      </c>
      <c r="E39" s="20">
        <v>1662</v>
      </c>
      <c r="F39" s="20">
        <v>207</v>
      </c>
      <c r="G39" s="20">
        <f t="shared" si="0"/>
        <v>1455</v>
      </c>
      <c r="H39" s="13">
        <v>200</v>
      </c>
      <c r="I39" s="18"/>
      <c r="J39" s="23" t="s">
        <v>217</v>
      </c>
      <c r="K39" s="19">
        <v>2436</v>
      </c>
      <c r="L39" s="23" t="s">
        <v>88</v>
      </c>
    </row>
    <row r="40" spans="1:12" s="6" customFormat="1" ht="91.5" customHeight="1" x14ac:dyDescent="0.25">
      <c r="A40" s="18">
        <v>18</v>
      </c>
      <c r="B40" s="23" t="s">
        <v>56</v>
      </c>
      <c r="C40" s="23" t="s">
        <v>57</v>
      </c>
      <c r="D40" s="20" t="s">
        <v>2</v>
      </c>
      <c r="E40" s="20">
        <v>1662</v>
      </c>
      <c r="F40" s="20">
        <v>207</v>
      </c>
      <c r="G40" s="20">
        <f t="shared" si="0"/>
        <v>1455</v>
      </c>
      <c r="H40" s="13">
        <v>0</v>
      </c>
      <c r="I40" s="18"/>
      <c r="J40" s="23" t="s">
        <v>182</v>
      </c>
      <c r="K40" s="19">
        <v>2436</v>
      </c>
      <c r="L40" s="23" t="s">
        <v>157</v>
      </c>
    </row>
    <row r="41" spans="1:12" s="6" customFormat="1" ht="40.5" customHeight="1" x14ac:dyDescent="0.25">
      <c r="A41" s="18">
        <v>19</v>
      </c>
      <c r="B41" s="23" t="s">
        <v>415</v>
      </c>
      <c r="C41" s="23" t="s">
        <v>175</v>
      </c>
      <c r="D41" s="18" t="s">
        <v>66</v>
      </c>
      <c r="E41" s="18">
        <v>4963</v>
      </c>
      <c r="F41" s="18"/>
      <c r="G41" s="20">
        <f t="shared" si="0"/>
        <v>4963</v>
      </c>
      <c r="H41" s="20">
        <v>2890</v>
      </c>
      <c r="I41" s="18"/>
      <c r="J41" s="71" t="s">
        <v>400</v>
      </c>
      <c r="K41" s="19"/>
      <c r="L41" s="23" t="s">
        <v>176</v>
      </c>
    </row>
    <row r="42" spans="1:12" s="6" customFormat="1" ht="40.5" customHeight="1" x14ac:dyDescent="0.25">
      <c r="A42" s="18">
        <v>20</v>
      </c>
      <c r="B42" s="23" t="s">
        <v>415</v>
      </c>
      <c r="C42" s="23" t="s">
        <v>175</v>
      </c>
      <c r="D42" s="18" t="s">
        <v>66</v>
      </c>
      <c r="E42" s="18">
        <v>4963</v>
      </c>
      <c r="F42" s="18"/>
      <c r="G42" s="20">
        <f t="shared" si="0"/>
        <v>4963</v>
      </c>
      <c r="H42" s="20">
        <v>340</v>
      </c>
      <c r="I42" s="18"/>
      <c r="J42" s="23" t="s">
        <v>401</v>
      </c>
      <c r="K42" s="19"/>
      <c r="L42" s="23"/>
    </row>
    <row r="43" spans="1:12" s="6" customFormat="1" ht="40.5" customHeight="1" x14ac:dyDescent="0.25">
      <c r="A43" s="18">
        <v>21</v>
      </c>
      <c r="B43" s="23" t="s">
        <v>201</v>
      </c>
      <c r="C43" s="23" t="s">
        <v>202</v>
      </c>
      <c r="D43" s="18" t="s">
        <v>2</v>
      </c>
      <c r="E43" s="18">
        <v>168</v>
      </c>
      <c r="F43" s="18">
        <v>0</v>
      </c>
      <c r="G43" s="20">
        <f t="shared" si="0"/>
        <v>168</v>
      </c>
      <c r="H43" s="20">
        <v>65</v>
      </c>
      <c r="I43" s="18"/>
      <c r="J43" s="23" t="s">
        <v>289</v>
      </c>
      <c r="K43" s="23">
        <v>65</v>
      </c>
      <c r="L43" s="23" t="s">
        <v>76</v>
      </c>
    </row>
    <row r="44" spans="1:12" s="6" customFormat="1" ht="40.5" customHeight="1" x14ac:dyDescent="0.25">
      <c r="A44" s="18">
        <v>22</v>
      </c>
      <c r="B44" s="23" t="s">
        <v>292</v>
      </c>
      <c r="C44" s="23" t="s">
        <v>293</v>
      </c>
      <c r="D44" s="18" t="s">
        <v>2</v>
      </c>
      <c r="E44" s="18">
        <v>0</v>
      </c>
      <c r="F44" s="18">
        <v>0</v>
      </c>
      <c r="G44" s="20">
        <f t="shared" si="0"/>
        <v>0</v>
      </c>
      <c r="H44" s="20">
        <v>100</v>
      </c>
      <c r="I44" s="18"/>
      <c r="J44" s="23" t="s">
        <v>290</v>
      </c>
      <c r="K44" s="23">
        <v>82</v>
      </c>
      <c r="L44" s="23" t="s">
        <v>76</v>
      </c>
    </row>
    <row r="45" spans="1:12" s="6" customFormat="1" ht="40.5" customHeight="1" x14ac:dyDescent="0.25">
      <c r="A45" s="18">
        <v>23</v>
      </c>
      <c r="B45" s="23" t="s">
        <v>203</v>
      </c>
      <c r="C45" s="23" t="s">
        <v>204</v>
      </c>
      <c r="D45" s="18" t="s">
        <v>2</v>
      </c>
      <c r="E45" s="18">
        <v>412</v>
      </c>
      <c r="F45" s="18">
        <v>0</v>
      </c>
      <c r="G45" s="20">
        <f t="shared" si="0"/>
        <v>412</v>
      </c>
      <c r="H45" s="20">
        <v>800</v>
      </c>
      <c r="I45" s="18"/>
      <c r="J45" s="23" t="s">
        <v>291</v>
      </c>
      <c r="K45" s="23">
        <v>1210</v>
      </c>
      <c r="L45" s="23" t="s">
        <v>88</v>
      </c>
    </row>
    <row r="46" spans="1:12" s="6" customFormat="1" ht="52.5" customHeight="1" x14ac:dyDescent="0.25">
      <c r="A46" s="18">
        <v>24</v>
      </c>
      <c r="B46" s="23" t="s">
        <v>79</v>
      </c>
      <c r="C46" s="23" t="s">
        <v>80</v>
      </c>
      <c r="D46" s="18" t="s">
        <v>2</v>
      </c>
      <c r="E46" s="18">
        <v>1662</v>
      </c>
      <c r="F46" s="18">
        <v>20</v>
      </c>
      <c r="G46" s="20">
        <f t="shared" si="0"/>
        <v>1642</v>
      </c>
      <c r="H46" s="13">
        <v>200</v>
      </c>
      <c r="I46" s="18"/>
      <c r="J46" s="23" t="s">
        <v>218</v>
      </c>
      <c r="K46" s="19">
        <v>500</v>
      </c>
      <c r="L46" s="19" t="s">
        <v>88</v>
      </c>
    </row>
    <row r="47" spans="1:12" s="6" customFormat="1" ht="67.5" customHeight="1" x14ac:dyDescent="0.25">
      <c r="A47" s="18">
        <v>25</v>
      </c>
      <c r="B47" s="23" t="s">
        <v>25</v>
      </c>
      <c r="C47" s="19" t="s">
        <v>43</v>
      </c>
      <c r="D47" s="18" t="s">
        <v>2</v>
      </c>
      <c r="E47" s="18">
        <v>92</v>
      </c>
      <c r="F47" s="18">
        <v>32</v>
      </c>
      <c r="G47" s="20">
        <f t="shared" si="0"/>
        <v>60</v>
      </c>
      <c r="H47" s="13">
        <v>50</v>
      </c>
      <c r="I47" s="18"/>
      <c r="J47" s="22" t="s">
        <v>45</v>
      </c>
      <c r="K47" s="19">
        <v>229</v>
      </c>
      <c r="L47" s="19" t="s">
        <v>104</v>
      </c>
    </row>
    <row r="48" spans="1:12" s="6" customFormat="1" ht="67.5" customHeight="1" x14ac:dyDescent="0.25">
      <c r="A48" s="18">
        <v>26</v>
      </c>
      <c r="B48" s="23" t="s">
        <v>25</v>
      </c>
      <c r="C48" s="19" t="s">
        <v>43</v>
      </c>
      <c r="D48" s="18" t="s">
        <v>2</v>
      </c>
      <c r="E48" s="18">
        <v>92</v>
      </c>
      <c r="F48" s="18">
        <v>32</v>
      </c>
      <c r="G48" s="20">
        <f t="shared" si="0"/>
        <v>60</v>
      </c>
      <c r="H48" s="13">
        <v>50</v>
      </c>
      <c r="I48" s="18"/>
      <c r="J48" s="22" t="s">
        <v>184</v>
      </c>
      <c r="K48" s="19">
        <v>229</v>
      </c>
      <c r="L48" s="23" t="s">
        <v>88</v>
      </c>
    </row>
    <row r="49" spans="1:12" s="6" customFormat="1" ht="57.75" customHeight="1" x14ac:dyDescent="0.25">
      <c r="A49" s="18">
        <v>27</v>
      </c>
      <c r="B49" s="23" t="s">
        <v>24</v>
      </c>
      <c r="C49" s="23" t="s">
        <v>7</v>
      </c>
      <c r="D49" s="18" t="s">
        <v>2</v>
      </c>
      <c r="E49" s="18">
        <v>418</v>
      </c>
      <c r="F49" s="18">
        <v>30</v>
      </c>
      <c r="G49" s="20">
        <f t="shared" si="0"/>
        <v>388</v>
      </c>
      <c r="H49" s="13">
        <v>100</v>
      </c>
      <c r="I49" s="18"/>
      <c r="J49" s="22" t="s">
        <v>105</v>
      </c>
      <c r="K49" s="19">
        <v>190</v>
      </c>
      <c r="L49" s="19" t="s">
        <v>104</v>
      </c>
    </row>
    <row r="50" spans="1:12" s="6" customFormat="1" ht="39" customHeight="1" x14ac:dyDescent="0.25">
      <c r="A50" s="18">
        <v>28</v>
      </c>
      <c r="B50" s="23" t="s">
        <v>16</v>
      </c>
      <c r="C50" s="23" t="s">
        <v>44</v>
      </c>
      <c r="D50" s="18" t="s">
        <v>2</v>
      </c>
      <c r="E50" s="18">
        <v>360</v>
      </c>
      <c r="F50" s="18">
        <v>0</v>
      </c>
      <c r="G50" s="20">
        <f t="shared" si="0"/>
        <v>360</v>
      </c>
      <c r="H50" s="13">
        <v>0</v>
      </c>
      <c r="I50" s="18"/>
      <c r="J50" s="22" t="s">
        <v>106</v>
      </c>
      <c r="K50" s="19" t="s">
        <v>127</v>
      </c>
      <c r="L50" s="19" t="s">
        <v>104</v>
      </c>
    </row>
    <row r="51" spans="1:12" s="6" customFormat="1" ht="60" customHeight="1" x14ac:dyDescent="0.25">
      <c r="A51" s="18">
        <v>29</v>
      </c>
      <c r="B51" s="23" t="s">
        <v>46</v>
      </c>
      <c r="C51" s="23" t="s">
        <v>47</v>
      </c>
      <c r="D51" s="18" t="s">
        <v>2</v>
      </c>
      <c r="E51" s="18">
        <v>209</v>
      </c>
      <c r="F51" s="18">
        <v>0</v>
      </c>
      <c r="G51" s="20">
        <f t="shared" si="0"/>
        <v>209</v>
      </c>
      <c r="H51" s="21">
        <v>600</v>
      </c>
      <c r="I51" s="18"/>
      <c r="J51" s="22" t="s">
        <v>247</v>
      </c>
      <c r="K51" s="23" t="s">
        <v>110</v>
      </c>
      <c r="L51" s="19" t="s">
        <v>246</v>
      </c>
    </row>
    <row r="52" spans="1:12" s="6" customFormat="1" ht="72.75" customHeight="1" x14ac:dyDescent="0.25">
      <c r="A52" s="18">
        <v>30</v>
      </c>
      <c r="B52" s="19" t="s">
        <v>52</v>
      </c>
      <c r="C52" s="23" t="s">
        <v>53</v>
      </c>
      <c r="D52" s="20" t="s">
        <v>2</v>
      </c>
      <c r="E52" s="20">
        <v>2762</v>
      </c>
      <c r="F52" s="20">
        <v>940</v>
      </c>
      <c r="G52" s="20">
        <f t="shared" si="0"/>
        <v>1822</v>
      </c>
      <c r="H52" s="21">
        <v>400</v>
      </c>
      <c r="I52" s="18"/>
      <c r="J52" s="23" t="s">
        <v>152</v>
      </c>
      <c r="K52" s="63">
        <v>400</v>
      </c>
      <c r="L52" s="19" t="s">
        <v>76</v>
      </c>
    </row>
    <row r="53" spans="1:12" s="6" customFormat="1" ht="127.5" customHeight="1" x14ac:dyDescent="0.25">
      <c r="A53" s="18">
        <v>31</v>
      </c>
      <c r="B53" s="23" t="s">
        <v>81</v>
      </c>
      <c r="C53" s="23" t="s">
        <v>82</v>
      </c>
      <c r="D53" s="18" t="s">
        <v>66</v>
      </c>
      <c r="E53" s="18">
        <v>22078</v>
      </c>
      <c r="F53" s="18">
        <v>11975</v>
      </c>
      <c r="G53" s="20">
        <f t="shared" si="0"/>
        <v>10103</v>
      </c>
      <c r="H53" s="24">
        <v>3000</v>
      </c>
      <c r="I53" s="18"/>
      <c r="J53" s="23" t="s">
        <v>87</v>
      </c>
      <c r="K53" s="19">
        <v>9385</v>
      </c>
      <c r="L53" s="19" t="s">
        <v>88</v>
      </c>
    </row>
    <row r="54" spans="1:12" s="9" customFormat="1" ht="39" customHeight="1" x14ac:dyDescent="0.25">
      <c r="A54" s="61" t="s">
        <v>19</v>
      </c>
      <c r="B54" s="45"/>
      <c r="C54" s="45"/>
      <c r="D54" s="46"/>
      <c r="E54" s="46"/>
      <c r="F54" s="46"/>
      <c r="G54" s="20"/>
      <c r="H54" s="46"/>
      <c r="I54" s="46"/>
      <c r="J54" s="47"/>
      <c r="K54" s="48"/>
      <c r="L54" s="48"/>
    </row>
    <row r="55" spans="1:12" s="6" customFormat="1" ht="102" customHeight="1" x14ac:dyDescent="0.25">
      <c r="A55" s="18">
        <v>1</v>
      </c>
      <c r="B55" s="23" t="s">
        <v>111</v>
      </c>
      <c r="C55" s="23" t="s">
        <v>58</v>
      </c>
      <c r="D55" s="18" t="s">
        <v>0</v>
      </c>
      <c r="E55" s="18">
        <v>32</v>
      </c>
      <c r="F55" s="18">
        <v>22</v>
      </c>
      <c r="G55" s="20">
        <f t="shared" si="0"/>
        <v>10</v>
      </c>
      <c r="H55" s="25">
        <v>2</v>
      </c>
      <c r="I55" s="18"/>
      <c r="J55" s="23" t="s">
        <v>154</v>
      </c>
      <c r="K55" s="23">
        <v>2</v>
      </c>
      <c r="L55" s="19" t="s">
        <v>178</v>
      </c>
    </row>
    <row r="56" spans="1:12" s="6" customFormat="1" ht="88.5" customHeight="1" x14ac:dyDescent="0.25">
      <c r="A56" s="18">
        <v>2</v>
      </c>
      <c r="B56" s="23" t="s">
        <v>113</v>
      </c>
      <c r="C56" s="23" t="s">
        <v>61</v>
      </c>
      <c r="D56" s="18" t="s">
        <v>0</v>
      </c>
      <c r="E56" s="18">
        <v>8</v>
      </c>
      <c r="F56" s="18"/>
      <c r="G56" s="20">
        <v>0</v>
      </c>
      <c r="H56" s="25">
        <v>1</v>
      </c>
      <c r="I56" s="18"/>
      <c r="J56" s="23" t="s">
        <v>209</v>
      </c>
      <c r="K56" s="19"/>
      <c r="L56" s="19" t="s">
        <v>76</v>
      </c>
    </row>
    <row r="57" spans="1:12" s="6" customFormat="1" ht="88.5" customHeight="1" x14ac:dyDescent="0.25">
      <c r="A57" s="18">
        <v>3</v>
      </c>
      <c r="B57" s="23" t="s">
        <v>113</v>
      </c>
      <c r="C57" s="23" t="s">
        <v>170</v>
      </c>
      <c r="D57" s="18" t="s">
        <v>172</v>
      </c>
      <c r="E57" s="18">
        <v>20</v>
      </c>
      <c r="F57" s="18">
        <v>11</v>
      </c>
      <c r="G57" s="20">
        <f t="shared" si="0"/>
        <v>9</v>
      </c>
      <c r="H57" s="25">
        <v>3</v>
      </c>
      <c r="I57" s="18"/>
      <c r="J57" s="23" t="s">
        <v>173</v>
      </c>
      <c r="K57" s="19">
        <v>8</v>
      </c>
      <c r="L57" s="19"/>
    </row>
    <row r="58" spans="1:12" s="6" customFormat="1" ht="88.5" customHeight="1" x14ac:dyDescent="0.25">
      <c r="A58" s="18">
        <v>4</v>
      </c>
      <c r="B58" s="23" t="s">
        <v>114</v>
      </c>
      <c r="C58" s="23" t="s">
        <v>171</v>
      </c>
      <c r="D58" s="18" t="s">
        <v>0</v>
      </c>
      <c r="E58" s="18">
        <v>20</v>
      </c>
      <c r="F58" s="18">
        <v>11</v>
      </c>
      <c r="G58" s="20">
        <f t="shared" si="0"/>
        <v>9</v>
      </c>
      <c r="H58" s="25">
        <v>4</v>
      </c>
      <c r="I58" s="18"/>
      <c r="J58" s="23" t="s">
        <v>177</v>
      </c>
      <c r="K58" s="19">
        <v>3</v>
      </c>
      <c r="L58" s="19"/>
    </row>
    <row r="59" spans="1:12" s="6" customFormat="1" ht="92.25" customHeight="1" x14ac:dyDescent="0.25">
      <c r="A59" s="18">
        <v>5</v>
      </c>
      <c r="B59" s="23" t="s">
        <v>114</v>
      </c>
      <c r="C59" s="23" t="s">
        <v>62</v>
      </c>
      <c r="D59" s="18" t="s">
        <v>0</v>
      </c>
      <c r="E59" s="18">
        <v>0</v>
      </c>
      <c r="F59" s="18">
        <v>0</v>
      </c>
      <c r="G59" s="20">
        <f t="shared" si="0"/>
        <v>0</v>
      </c>
      <c r="H59" s="25">
        <v>2</v>
      </c>
      <c r="I59" s="18"/>
      <c r="J59" s="23" t="s">
        <v>210</v>
      </c>
      <c r="K59" s="23">
        <v>0</v>
      </c>
      <c r="L59" s="19" t="s">
        <v>76</v>
      </c>
    </row>
    <row r="60" spans="1:12" s="6" customFormat="1" ht="92.25" customHeight="1" x14ac:dyDescent="0.25">
      <c r="A60" s="18">
        <v>6</v>
      </c>
      <c r="B60" s="23" t="s">
        <v>128</v>
      </c>
      <c r="C60" s="23" t="s">
        <v>63</v>
      </c>
      <c r="D60" s="18" t="s">
        <v>0</v>
      </c>
      <c r="E60" s="18">
        <v>20</v>
      </c>
      <c r="F60" s="18">
        <v>0</v>
      </c>
      <c r="G60" s="20">
        <f t="shared" si="0"/>
        <v>20</v>
      </c>
      <c r="H60" s="25">
        <v>7</v>
      </c>
      <c r="I60" s="18"/>
      <c r="J60" s="23" t="s">
        <v>211</v>
      </c>
      <c r="K60" s="23" t="s">
        <v>180</v>
      </c>
      <c r="L60" s="19" t="s">
        <v>76</v>
      </c>
    </row>
    <row r="61" spans="1:12" s="6" customFormat="1" ht="97.5" customHeight="1" x14ac:dyDescent="0.25">
      <c r="A61" s="18">
        <v>7</v>
      </c>
      <c r="B61" s="23" t="s">
        <v>31</v>
      </c>
      <c r="C61" s="23" t="s">
        <v>38</v>
      </c>
      <c r="D61" s="18" t="s">
        <v>0</v>
      </c>
      <c r="E61" s="18">
        <v>136</v>
      </c>
      <c r="F61" s="18">
        <v>100</v>
      </c>
      <c r="G61" s="20">
        <f t="shared" si="0"/>
        <v>36</v>
      </c>
      <c r="H61" s="25">
        <v>30</v>
      </c>
      <c r="I61" s="26"/>
      <c r="J61" s="23" t="s">
        <v>300</v>
      </c>
      <c r="K61" s="19">
        <v>77</v>
      </c>
      <c r="L61" s="19" t="s">
        <v>76</v>
      </c>
    </row>
    <row r="62" spans="1:12" s="6" customFormat="1" ht="108" customHeight="1" x14ac:dyDescent="0.25">
      <c r="A62" s="18">
        <v>8</v>
      </c>
      <c r="B62" s="23" t="s">
        <v>295</v>
      </c>
      <c r="C62" s="23" t="s">
        <v>296</v>
      </c>
      <c r="D62" s="18" t="s">
        <v>0</v>
      </c>
      <c r="E62" s="18">
        <v>18</v>
      </c>
      <c r="F62" s="18"/>
      <c r="G62" s="20">
        <f t="shared" si="0"/>
        <v>18</v>
      </c>
      <c r="H62" s="24">
        <v>18</v>
      </c>
      <c r="I62" s="26"/>
      <c r="J62" s="23" t="s">
        <v>297</v>
      </c>
      <c r="K62" s="19">
        <v>0</v>
      </c>
      <c r="L62" s="19" t="s">
        <v>88</v>
      </c>
    </row>
    <row r="63" spans="1:12" s="6" customFormat="1" ht="64.5" customHeight="1" x14ac:dyDescent="0.25">
      <c r="A63" s="18">
        <v>9</v>
      </c>
      <c r="B63" s="19" t="s">
        <v>89</v>
      </c>
      <c r="C63" s="23" t="s">
        <v>90</v>
      </c>
      <c r="D63" s="18" t="s">
        <v>0</v>
      </c>
      <c r="E63" s="18">
        <v>0</v>
      </c>
      <c r="F63" s="18">
        <v>0</v>
      </c>
      <c r="G63" s="20">
        <f t="shared" si="0"/>
        <v>0</v>
      </c>
      <c r="H63" s="24">
        <v>6</v>
      </c>
      <c r="I63" s="26"/>
      <c r="J63" s="23" t="s">
        <v>97</v>
      </c>
      <c r="K63" s="19">
        <v>0</v>
      </c>
      <c r="L63" s="19" t="s">
        <v>88</v>
      </c>
    </row>
    <row r="64" spans="1:12" s="6" customFormat="1" ht="178.5" customHeight="1" x14ac:dyDescent="0.25">
      <c r="A64" s="18">
        <v>10</v>
      </c>
      <c r="B64" s="23" t="s">
        <v>91</v>
      </c>
      <c r="C64" s="23" t="s">
        <v>92</v>
      </c>
      <c r="D64" s="18" t="s">
        <v>0</v>
      </c>
      <c r="E64" s="18">
        <v>120</v>
      </c>
      <c r="F64" s="18">
        <v>0</v>
      </c>
      <c r="G64" s="20">
        <f t="shared" si="0"/>
        <v>120</v>
      </c>
      <c r="H64" s="24">
        <v>289</v>
      </c>
      <c r="I64" s="26"/>
      <c r="J64" s="23" t="s">
        <v>98</v>
      </c>
      <c r="K64" s="19">
        <v>289</v>
      </c>
      <c r="L64" s="19" t="s">
        <v>88</v>
      </c>
    </row>
    <row r="65" spans="1:12" s="6" customFormat="1" ht="69.75" customHeight="1" x14ac:dyDescent="0.25">
      <c r="A65" s="18">
        <v>11</v>
      </c>
      <c r="B65" s="23" t="s">
        <v>93</v>
      </c>
      <c r="C65" s="23" t="s">
        <v>94</v>
      </c>
      <c r="D65" s="18" t="s">
        <v>0</v>
      </c>
      <c r="E65" s="18">
        <v>12</v>
      </c>
      <c r="F65" s="18">
        <v>2</v>
      </c>
      <c r="G65" s="20">
        <f t="shared" si="0"/>
        <v>10</v>
      </c>
      <c r="H65" s="24">
        <v>6</v>
      </c>
      <c r="I65" s="26"/>
      <c r="J65" s="23" t="s">
        <v>99</v>
      </c>
      <c r="K65" s="19">
        <v>0</v>
      </c>
      <c r="L65" s="19" t="s">
        <v>88</v>
      </c>
    </row>
    <row r="66" spans="1:12" s="6" customFormat="1" ht="57.75" customHeight="1" x14ac:dyDescent="0.25">
      <c r="A66" s="18">
        <v>12</v>
      </c>
      <c r="B66" s="23" t="s">
        <v>95</v>
      </c>
      <c r="C66" s="23" t="s">
        <v>96</v>
      </c>
      <c r="D66" s="18" t="s">
        <v>0</v>
      </c>
      <c r="E66" s="18">
        <v>24</v>
      </c>
      <c r="F66" s="18">
        <v>0</v>
      </c>
      <c r="G66" s="20">
        <f t="shared" si="0"/>
        <v>24</v>
      </c>
      <c r="H66" s="24">
        <v>6</v>
      </c>
      <c r="I66" s="26"/>
      <c r="J66" s="23" t="s">
        <v>100</v>
      </c>
      <c r="K66" s="19">
        <v>0</v>
      </c>
      <c r="L66" s="19" t="s">
        <v>88</v>
      </c>
    </row>
    <row r="67" spans="1:12" s="6" customFormat="1" ht="73.5" customHeight="1" x14ac:dyDescent="0.25">
      <c r="A67" s="18">
        <v>13</v>
      </c>
      <c r="B67" s="23" t="s">
        <v>298</v>
      </c>
      <c r="C67" s="23" t="s">
        <v>299</v>
      </c>
      <c r="D67" s="18" t="s">
        <v>0</v>
      </c>
      <c r="E67" s="18">
        <v>36</v>
      </c>
      <c r="F67" s="18">
        <v>12</v>
      </c>
      <c r="G67" s="20">
        <f t="shared" si="0"/>
        <v>24</v>
      </c>
      <c r="H67" s="24">
        <v>24</v>
      </c>
      <c r="I67" s="26"/>
      <c r="J67" s="23" t="s">
        <v>101</v>
      </c>
      <c r="K67" s="19">
        <v>0</v>
      </c>
      <c r="L67" s="19" t="s">
        <v>88</v>
      </c>
    </row>
    <row r="68" spans="1:12" s="6" customFormat="1" ht="53.25" customHeight="1" x14ac:dyDescent="0.25">
      <c r="A68" s="18">
        <v>14</v>
      </c>
      <c r="B68" s="19" t="s">
        <v>194</v>
      </c>
      <c r="C68" s="23" t="s">
        <v>195</v>
      </c>
      <c r="D68" s="18" t="s">
        <v>0</v>
      </c>
      <c r="E68" s="18">
        <v>0</v>
      </c>
      <c r="F68" s="18">
        <v>0</v>
      </c>
      <c r="G68" s="20">
        <f t="shared" si="0"/>
        <v>0</v>
      </c>
      <c r="H68" s="24">
        <v>2</v>
      </c>
      <c r="I68" s="26"/>
      <c r="J68" s="23" t="s">
        <v>196</v>
      </c>
      <c r="K68" s="19">
        <v>2</v>
      </c>
      <c r="L68" s="19" t="s">
        <v>197</v>
      </c>
    </row>
    <row r="69" spans="1:12" s="6" customFormat="1" ht="53.25" customHeight="1" x14ac:dyDescent="0.25">
      <c r="A69" s="18">
        <v>15</v>
      </c>
      <c r="B69" s="19" t="s">
        <v>188</v>
      </c>
      <c r="C69" s="23" t="s">
        <v>189</v>
      </c>
      <c r="D69" s="18" t="s">
        <v>0</v>
      </c>
      <c r="E69" s="18">
        <v>62</v>
      </c>
      <c r="F69" s="18">
        <v>93</v>
      </c>
      <c r="G69" s="20">
        <v>0</v>
      </c>
      <c r="H69" s="24">
        <v>0</v>
      </c>
      <c r="I69" s="26"/>
      <c r="J69" s="23" t="s">
        <v>192</v>
      </c>
      <c r="K69" s="19">
        <v>3</v>
      </c>
      <c r="L69" s="19" t="s">
        <v>140</v>
      </c>
    </row>
    <row r="70" spans="1:12" s="6" customFormat="1" ht="53.25" customHeight="1" x14ac:dyDescent="0.25">
      <c r="A70" s="18">
        <v>16</v>
      </c>
      <c r="B70" s="19" t="s">
        <v>190</v>
      </c>
      <c r="C70" s="23" t="s">
        <v>191</v>
      </c>
      <c r="D70" s="18" t="s">
        <v>0</v>
      </c>
      <c r="E70" s="18">
        <v>62</v>
      </c>
      <c r="F70" s="18">
        <v>31</v>
      </c>
      <c r="G70" s="20">
        <f t="shared" si="0"/>
        <v>31</v>
      </c>
      <c r="H70" s="24">
        <v>0</v>
      </c>
      <c r="I70" s="26"/>
      <c r="J70" s="23" t="s">
        <v>193</v>
      </c>
      <c r="K70" s="19"/>
      <c r="L70" s="19" t="s">
        <v>140</v>
      </c>
    </row>
    <row r="71" spans="1:12" s="6" customFormat="1" ht="69" customHeight="1" x14ac:dyDescent="0.25">
      <c r="A71" s="18">
        <v>17</v>
      </c>
      <c r="B71" s="23" t="s">
        <v>28</v>
      </c>
      <c r="C71" s="23" t="s">
        <v>39</v>
      </c>
      <c r="D71" s="18" t="s">
        <v>0</v>
      </c>
      <c r="E71" s="18">
        <v>0</v>
      </c>
      <c r="F71" s="18">
        <v>0</v>
      </c>
      <c r="G71" s="20">
        <f t="shared" si="0"/>
        <v>0</v>
      </c>
      <c r="H71" s="13">
        <v>5</v>
      </c>
      <c r="I71" s="26"/>
      <c r="J71" s="23" t="s">
        <v>21</v>
      </c>
      <c r="K71" s="19" t="s">
        <v>120</v>
      </c>
      <c r="L71" s="19" t="s">
        <v>104</v>
      </c>
    </row>
    <row r="72" spans="1:12" s="6" customFormat="1" ht="69" customHeight="1" x14ac:dyDescent="0.25">
      <c r="A72" s="18">
        <v>18</v>
      </c>
      <c r="B72" s="23" t="s">
        <v>29</v>
      </c>
      <c r="C72" s="23" t="s">
        <v>37</v>
      </c>
      <c r="D72" s="18" t="s">
        <v>17</v>
      </c>
      <c r="E72" s="18">
        <v>6</v>
      </c>
      <c r="F72" s="18">
        <v>0</v>
      </c>
      <c r="G72" s="20">
        <f t="shared" si="0"/>
        <v>6</v>
      </c>
      <c r="H72" s="24">
        <v>4</v>
      </c>
      <c r="I72" s="26"/>
      <c r="J72" s="23" t="s">
        <v>22</v>
      </c>
      <c r="K72" s="19" t="s">
        <v>121</v>
      </c>
      <c r="L72" s="19" t="s">
        <v>104</v>
      </c>
    </row>
    <row r="73" spans="1:12" s="6" customFormat="1" ht="92.25" customHeight="1" x14ac:dyDescent="0.25">
      <c r="A73" s="18">
        <v>19</v>
      </c>
      <c r="B73" s="23" t="s">
        <v>30</v>
      </c>
      <c r="C73" s="23" t="s">
        <v>26</v>
      </c>
      <c r="D73" s="18" t="s">
        <v>17</v>
      </c>
      <c r="E73" s="18">
        <v>0</v>
      </c>
      <c r="F73" s="18">
        <v>0</v>
      </c>
      <c r="G73" s="20">
        <f t="shared" si="0"/>
        <v>0</v>
      </c>
      <c r="H73" s="24">
        <v>2</v>
      </c>
      <c r="I73" s="26"/>
      <c r="J73" s="23" t="s">
        <v>32</v>
      </c>
      <c r="K73" s="23">
        <v>0</v>
      </c>
      <c r="L73" s="19" t="s">
        <v>104</v>
      </c>
    </row>
    <row r="74" spans="1:12" s="6" customFormat="1" ht="87.75" customHeight="1" x14ac:dyDescent="0.25">
      <c r="A74" s="18">
        <v>20</v>
      </c>
      <c r="B74" s="23" t="s">
        <v>23</v>
      </c>
      <c r="C74" s="23" t="s">
        <v>27</v>
      </c>
      <c r="D74" s="18" t="s">
        <v>0</v>
      </c>
      <c r="E74" s="18">
        <v>8</v>
      </c>
      <c r="F74" s="18">
        <v>0</v>
      </c>
      <c r="G74" s="20">
        <f t="shared" si="0"/>
        <v>8</v>
      </c>
      <c r="H74" s="24">
        <v>2</v>
      </c>
      <c r="I74" s="26"/>
      <c r="J74" s="23" t="s">
        <v>33</v>
      </c>
      <c r="K74" s="23">
        <v>0</v>
      </c>
      <c r="L74" s="19" t="s">
        <v>104</v>
      </c>
    </row>
    <row r="75" spans="1:12" s="6" customFormat="1" ht="108.75" customHeight="1" x14ac:dyDescent="0.25">
      <c r="A75" s="18">
        <v>21</v>
      </c>
      <c r="B75" s="23" t="s">
        <v>122</v>
      </c>
      <c r="C75" s="23" t="s">
        <v>123</v>
      </c>
      <c r="D75" s="18" t="s">
        <v>0</v>
      </c>
      <c r="E75" s="18">
        <v>624</v>
      </c>
      <c r="F75" s="18">
        <v>60</v>
      </c>
      <c r="G75" s="20">
        <f t="shared" si="0"/>
        <v>564</v>
      </c>
      <c r="H75" s="24">
        <v>0</v>
      </c>
      <c r="I75" s="26"/>
      <c r="J75" s="23" t="s">
        <v>34</v>
      </c>
      <c r="K75" s="19" t="s">
        <v>124</v>
      </c>
      <c r="L75" s="19" t="s">
        <v>104</v>
      </c>
    </row>
    <row r="76" spans="1:12" s="6" customFormat="1" ht="108.75" customHeight="1" x14ac:dyDescent="0.25">
      <c r="A76" s="18">
        <v>22</v>
      </c>
      <c r="B76" s="23" t="s">
        <v>31</v>
      </c>
      <c r="C76" s="23" t="s">
        <v>38</v>
      </c>
      <c r="D76" s="18" t="s">
        <v>0</v>
      </c>
      <c r="E76" s="18">
        <v>136</v>
      </c>
      <c r="F76" s="18">
        <v>100</v>
      </c>
      <c r="G76" s="20">
        <f t="shared" si="0"/>
        <v>36</v>
      </c>
      <c r="H76" s="24">
        <v>30</v>
      </c>
      <c r="I76" s="26"/>
      <c r="J76" s="23" t="s">
        <v>216</v>
      </c>
      <c r="K76" s="19">
        <v>126</v>
      </c>
      <c r="L76" s="19" t="s">
        <v>104</v>
      </c>
    </row>
    <row r="77" spans="1:12" s="6" customFormat="1" ht="90.75" customHeight="1" x14ac:dyDescent="0.25">
      <c r="A77" s="18">
        <v>23</v>
      </c>
      <c r="B77" s="23" t="s">
        <v>367</v>
      </c>
      <c r="C77" s="23" t="s">
        <v>207</v>
      </c>
      <c r="D77" s="20" t="s">
        <v>0</v>
      </c>
      <c r="E77" s="20">
        <v>10</v>
      </c>
      <c r="F77" s="20">
        <v>2</v>
      </c>
      <c r="G77" s="20">
        <f t="shared" si="0"/>
        <v>8</v>
      </c>
      <c r="H77" s="20">
        <v>4</v>
      </c>
      <c r="I77" s="20"/>
      <c r="J77" s="23" t="s">
        <v>208</v>
      </c>
      <c r="K77" s="23" t="s">
        <v>205</v>
      </c>
      <c r="L77" s="23" t="s">
        <v>206</v>
      </c>
    </row>
    <row r="78" spans="1:12" s="6" customFormat="1" ht="90.75" customHeight="1" x14ac:dyDescent="0.25">
      <c r="A78" s="18">
        <v>24</v>
      </c>
      <c r="B78" s="23" t="s">
        <v>367</v>
      </c>
      <c r="C78" s="23" t="s">
        <v>301</v>
      </c>
      <c r="D78" s="20" t="s">
        <v>0</v>
      </c>
      <c r="E78" s="20">
        <v>10</v>
      </c>
      <c r="F78" s="20">
        <v>2</v>
      </c>
      <c r="G78" s="20">
        <f t="shared" si="0"/>
        <v>8</v>
      </c>
      <c r="H78" s="20">
        <v>4</v>
      </c>
      <c r="I78" s="20"/>
      <c r="J78" s="23"/>
      <c r="K78" s="23"/>
      <c r="L78" s="19" t="s">
        <v>88</v>
      </c>
    </row>
    <row r="79" spans="1:12" s="6" customFormat="1" ht="90.75" customHeight="1" x14ac:dyDescent="0.25">
      <c r="A79" s="18">
        <v>25</v>
      </c>
      <c r="B79" s="23" t="s">
        <v>112</v>
      </c>
      <c r="C79" s="23" t="s">
        <v>308</v>
      </c>
      <c r="D79" s="20" t="s">
        <v>0</v>
      </c>
      <c r="E79" s="20">
        <v>20</v>
      </c>
      <c r="F79" s="20">
        <v>6</v>
      </c>
      <c r="G79" s="20">
        <f t="shared" si="0"/>
        <v>14</v>
      </c>
      <c r="H79" s="20">
        <v>10</v>
      </c>
      <c r="I79" s="20"/>
      <c r="J79" s="23"/>
      <c r="K79" s="23"/>
      <c r="L79" s="19" t="s">
        <v>88</v>
      </c>
    </row>
    <row r="80" spans="1:12" s="6" customFormat="1" ht="90.75" customHeight="1" x14ac:dyDescent="0.25">
      <c r="A80" s="18">
        <v>26</v>
      </c>
      <c r="B80" s="23" t="s">
        <v>309</v>
      </c>
      <c r="C80" s="23" t="s">
        <v>310</v>
      </c>
      <c r="D80" s="20" t="s">
        <v>0</v>
      </c>
      <c r="E80" s="20">
        <v>12</v>
      </c>
      <c r="F80" s="20">
        <v>2</v>
      </c>
      <c r="G80" s="20">
        <f t="shared" si="0"/>
        <v>10</v>
      </c>
      <c r="H80" s="20">
        <v>12</v>
      </c>
      <c r="I80" s="20"/>
      <c r="J80" s="23"/>
      <c r="K80" s="23"/>
      <c r="L80" s="19" t="s">
        <v>88</v>
      </c>
    </row>
    <row r="81" spans="1:12" s="6" customFormat="1" ht="90.75" customHeight="1" x14ac:dyDescent="0.25">
      <c r="A81" s="18">
        <v>27</v>
      </c>
      <c r="B81" s="23" t="s">
        <v>311</v>
      </c>
      <c r="C81" s="23" t="s">
        <v>312</v>
      </c>
      <c r="D81" s="20" t="s">
        <v>0</v>
      </c>
      <c r="E81" s="20">
        <v>32</v>
      </c>
      <c r="F81" s="20">
        <v>0</v>
      </c>
      <c r="G81" s="20">
        <f t="shared" si="0"/>
        <v>32</v>
      </c>
      <c r="H81" s="20">
        <v>22</v>
      </c>
      <c r="I81" s="20"/>
      <c r="J81" s="23"/>
      <c r="K81" s="23"/>
      <c r="L81" s="19" t="s">
        <v>88</v>
      </c>
    </row>
    <row r="82" spans="1:12" s="6" customFormat="1" ht="90.75" customHeight="1" x14ac:dyDescent="0.25">
      <c r="A82" s="18">
        <v>28</v>
      </c>
      <c r="B82" s="23" t="s">
        <v>117</v>
      </c>
      <c r="C82" s="23" t="s">
        <v>313</v>
      </c>
      <c r="D82" s="20" t="s">
        <v>0</v>
      </c>
      <c r="E82" s="20">
        <v>2</v>
      </c>
      <c r="F82" s="20">
        <v>0</v>
      </c>
      <c r="G82" s="20">
        <f t="shared" si="0"/>
        <v>2</v>
      </c>
      <c r="H82" s="20">
        <v>2</v>
      </c>
      <c r="I82" s="20"/>
      <c r="J82" s="23"/>
      <c r="K82" s="23"/>
      <c r="L82" s="19" t="s">
        <v>88</v>
      </c>
    </row>
    <row r="83" spans="1:12" s="6" customFormat="1" ht="90.75" customHeight="1" x14ac:dyDescent="0.25">
      <c r="A83" s="18">
        <v>29</v>
      </c>
      <c r="B83" s="23" t="s">
        <v>314</v>
      </c>
      <c r="C83" s="23" t="s">
        <v>315</v>
      </c>
      <c r="D83" s="20" t="s">
        <v>0</v>
      </c>
      <c r="E83" s="20">
        <v>20</v>
      </c>
      <c r="F83" s="20">
        <v>0</v>
      </c>
      <c r="G83" s="20">
        <f t="shared" si="0"/>
        <v>20</v>
      </c>
      <c r="H83" s="20">
        <v>10</v>
      </c>
      <c r="I83" s="20"/>
      <c r="J83" s="23"/>
      <c r="K83" s="23"/>
      <c r="L83" s="19" t="s">
        <v>88</v>
      </c>
    </row>
    <row r="84" spans="1:12" s="6" customFormat="1" ht="90.75" customHeight="1" x14ac:dyDescent="0.25">
      <c r="A84" s="18">
        <v>30</v>
      </c>
      <c r="B84" s="23" t="s">
        <v>316</v>
      </c>
      <c r="C84" s="23" t="s">
        <v>317</v>
      </c>
      <c r="D84" s="20" t="s">
        <v>0</v>
      </c>
      <c r="E84" s="20">
        <v>0</v>
      </c>
      <c r="F84" s="20">
        <v>0</v>
      </c>
      <c r="G84" s="20">
        <f t="shared" si="0"/>
        <v>0</v>
      </c>
      <c r="H84" s="20">
        <v>10</v>
      </c>
      <c r="I84" s="20"/>
      <c r="J84" s="23"/>
      <c r="K84" s="23"/>
      <c r="L84" s="19" t="s">
        <v>88</v>
      </c>
    </row>
    <row r="85" spans="1:12" s="6" customFormat="1" ht="90.75" customHeight="1" x14ac:dyDescent="0.25">
      <c r="A85" s="18">
        <v>31</v>
      </c>
      <c r="B85" s="23" t="s">
        <v>318</v>
      </c>
      <c r="C85" s="23" t="s">
        <v>319</v>
      </c>
      <c r="D85" s="20" t="s">
        <v>0</v>
      </c>
      <c r="E85" s="20">
        <v>2</v>
      </c>
      <c r="F85" s="20">
        <v>0</v>
      </c>
      <c r="G85" s="20">
        <f t="shared" si="0"/>
        <v>2</v>
      </c>
      <c r="H85" s="20">
        <v>2</v>
      </c>
      <c r="I85" s="20"/>
      <c r="J85" s="23"/>
      <c r="K85" s="23"/>
      <c r="L85" s="19" t="s">
        <v>88</v>
      </c>
    </row>
    <row r="86" spans="1:12" s="6" customFormat="1" ht="90.75" customHeight="1" x14ac:dyDescent="0.25">
      <c r="A86" s="18">
        <v>32</v>
      </c>
      <c r="B86" s="23" t="s">
        <v>320</v>
      </c>
      <c r="C86" s="23" t="s">
        <v>321</v>
      </c>
      <c r="D86" s="20" t="s">
        <v>0</v>
      </c>
      <c r="E86" s="20">
        <v>4</v>
      </c>
      <c r="F86" s="20">
        <v>0</v>
      </c>
      <c r="G86" s="20">
        <f t="shared" si="0"/>
        <v>4</v>
      </c>
      <c r="H86" s="20">
        <v>4</v>
      </c>
      <c r="I86" s="20"/>
      <c r="J86" s="23"/>
      <c r="K86" s="23"/>
      <c r="L86" s="19" t="s">
        <v>88</v>
      </c>
    </row>
    <row r="87" spans="1:12" s="6" customFormat="1" ht="90.75" customHeight="1" x14ac:dyDescent="0.25">
      <c r="A87" s="18">
        <v>33</v>
      </c>
      <c r="B87" s="23" t="s">
        <v>322</v>
      </c>
      <c r="C87" s="23" t="s">
        <v>323</v>
      </c>
      <c r="D87" s="20" t="s">
        <v>0</v>
      </c>
      <c r="E87" s="20">
        <v>2</v>
      </c>
      <c r="F87" s="20">
        <v>0</v>
      </c>
      <c r="G87" s="20">
        <f t="shared" si="0"/>
        <v>2</v>
      </c>
      <c r="H87" s="20">
        <v>2</v>
      </c>
      <c r="I87" s="20"/>
      <c r="J87" s="23"/>
      <c r="K87" s="23"/>
      <c r="L87" s="19" t="s">
        <v>88</v>
      </c>
    </row>
    <row r="88" spans="1:12" s="6" customFormat="1" ht="90.75" customHeight="1" x14ac:dyDescent="0.25">
      <c r="A88" s="18">
        <v>34</v>
      </c>
      <c r="B88" s="23" t="s">
        <v>194</v>
      </c>
      <c r="C88" s="23" t="s">
        <v>324</v>
      </c>
      <c r="D88" s="20" t="s">
        <v>0</v>
      </c>
      <c r="E88" s="20">
        <v>0</v>
      </c>
      <c r="F88" s="20">
        <v>0</v>
      </c>
      <c r="G88" s="20">
        <f t="shared" ref="G88:G150" si="1">E88-F88</f>
        <v>0</v>
      </c>
      <c r="H88" s="20">
        <v>2</v>
      </c>
      <c r="I88" s="20"/>
      <c r="J88" s="23"/>
      <c r="K88" s="23"/>
      <c r="L88" s="19" t="s">
        <v>88</v>
      </c>
    </row>
    <row r="89" spans="1:12" s="6" customFormat="1" ht="90.75" customHeight="1" x14ac:dyDescent="0.25">
      <c r="A89" s="18">
        <v>35</v>
      </c>
      <c r="B89" s="23" t="s">
        <v>325</v>
      </c>
      <c r="C89" s="23" t="s">
        <v>326</v>
      </c>
      <c r="D89" s="20" t="s">
        <v>0</v>
      </c>
      <c r="E89" s="20">
        <v>20</v>
      </c>
      <c r="F89" s="20">
        <v>0</v>
      </c>
      <c r="G89" s="20">
        <f t="shared" si="1"/>
        <v>20</v>
      </c>
      <c r="H89" s="20">
        <v>1</v>
      </c>
      <c r="I89" s="20"/>
      <c r="J89" s="23"/>
      <c r="K89" s="23"/>
      <c r="L89" s="19" t="s">
        <v>88</v>
      </c>
    </row>
    <row r="90" spans="1:12" s="6" customFormat="1" ht="90.75" customHeight="1" x14ac:dyDescent="0.25">
      <c r="A90" s="18">
        <v>36</v>
      </c>
      <c r="B90" s="23" t="s">
        <v>327</v>
      </c>
      <c r="C90" s="23" t="s">
        <v>328</v>
      </c>
      <c r="D90" s="20" t="s">
        <v>0</v>
      </c>
      <c r="E90" s="20"/>
      <c r="F90" s="20">
        <v>0</v>
      </c>
      <c r="G90" s="20">
        <f t="shared" si="1"/>
        <v>0</v>
      </c>
      <c r="H90" s="20">
        <v>2</v>
      </c>
      <c r="I90" s="20"/>
      <c r="J90" s="23"/>
      <c r="K90" s="23"/>
      <c r="L90" s="19" t="s">
        <v>88</v>
      </c>
    </row>
    <row r="91" spans="1:12" s="6" customFormat="1" ht="90.75" customHeight="1" x14ac:dyDescent="0.25">
      <c r="A91" s="18">
        <v>37</v>
      </c>
      <c r="B91" s="23" t="s">
        <v>329</v>
      </c>
      <c r="C91" s="23" t="s">
        <v>330</v>
      </c>
      <c r="D91" s="20" t="s">
        <v>0</v>
      </c>
      <c r="E91" s="20"/>
      <c r="F91" s="20">
        <v>0</v>
      </c>
      <c r="G91" s="20">
        <f t="shared" si="1"/>
        <v>0</v>
      </c>
      <c r="H91" s="20">
        <v>2</v>
      </c>
      <c r="I91" s="20"/>
      <c r="J91" s="23"/>
      <c r="K91" s="23"/>
      <c r="L91" s="19" t="s">
        <v>88</v>
      </c>
    </row>
    <row r="92" spans="1:12" s="6" customFormat="1" ht="90.75" customHeight="1" x14ac:dyDescent="0.25">
      <c r="A92" s="18">
        <v>38</v>
      </c>
      <c r="B92" s="23" t="s">
        <v>331</v>
      </c>
      <c r="C92" s="23" t="s">
        <v>332</v>
      </c>
      <c r="D92" s="20" t="s">
        <v>0</v>
      </c>
      <c r="E92" s="20">
        <v>4</v>
      </c>
      <c r="F92" s="20">
        <v>0</v>
      </c>
      <c r="G92" s="20">
        <f t="shared" si="1"/>
        <v>4</v>
      </c>
      <c r="H92" s="20">
        <v>2</v>
      </c>
      <c r="I92" s="20"/>
      <c r="J92" s="23"/>
      <c r="K92" s="23"/>
      <c r="L92" s="19" t="s">
        <v>88</v>
      </c>
    </row>
    <row r="93" spans="1:12" s="6" customFormat="1" ht="90.75" customHeight="1" x14ac:dyDescent="0.25">
      <c r="A93" s="18">
        <v>39</v>
      </c>
      <c r="B93" s="23" t="s">
        <v>333</v>
      </c>
      <c r="C93" s="23" t="s">
        <v>334</v>
      </c>
      <c r="D93" s="20" t="s">
        <v>0</v>
      </c>
      <c r="E93" s="20">
        <v>4</v>
      </c>
      <c r="F93" s="20">
        <v>0</v>
      </c>
      <c r="G93" s="20">
        <f t="shared" si="1"/>
        <v>4</v>
      </c>
      <c r="H93" s="20">
        <v>2</v>
      </c>
      <c r="I93" s="20"/>
      <c r="J93" s="23"/>
      <c r="K93" s="23"/>
      <c r="L93" s="19" t="s">
        <v>88</v>
      </c>
    </row>
    <row r="94" spans="1:12" s="6" customFormat="1" ht="90.75" customHeight="1" x14ac:dyDescent="0.25">
      <c r="A94" s="18">
        <v>40</v>
      </c>
      <c r="B94" s="23" t="s">
        <v>335</v>
      </c>
      <c r="C94" s="23" t="s">
        <v>336</v>
      </c>
      <c r="D94" s="20" t="s">
        <v>0</v>
      </c>
      <c r="E94" s="20">
        <v>6</v>
      </c>
      <c r="F94" s="20">
        <v>0</v>
      </c>
      <c r="G94" s="20">
        <f t="shared" si="1"/>
        <v>6</v>
      </c>
      <c r="H94" s="20">
        <v>3</v>
      </c>
      <c r="I94" s="20"/>
      <c r="J94" s="23"/>
      <c r="K94" s="23"/>
      <c r="L94" s="19" t="s">
        <v>88</v>
      </c>
    </row>
    <row r="95" spans="1:12" s="6" customFormat="1" ht="90.75" customHeight="1" x14ac:dyDescent="0.25">
      <c r="A95" s="18">
        <v>41</v>
      </c>
      <c r="B95" s="23" t="s">
        <v>91</v>
      </c>
      <c r="C95" s="23" t="s">
        <v>337</v>
      </c>
      <c r="D95" s="20" t="s">
        <v>0</v>
      </c>
      <c r="E95" s="20">
        <v>120</v>
      </c>
      <c r="F95" s="20">
        <v>0</v>
      </c>
      <c r="G95" s="20">
        <f t="shared" si="1"/>
        <v>120</v>
      </c>
      <c r="H95" s="20">
        <v>289</v>
      </c>
      <c r="I95" s="20"/>
      <c r="J95" s="23"/>
      <c r="K95" s="23"/>
      <c r="L95" s="19" t="s">
        <v>88</v>
      </c>
    </row>
    <row r="96" spans="1:12" s="6" customFormat="1" ht="90.75" customHeight="1" x14ac:dyDescent="0.25">
      <c r="A96" s="18">
        <v>42</v>
      </c>
      <c r="B96" s="23" t="s">
        <v>338</v>
      </c>
      <c r="C96" s="23" t="s">
        <v>339</v>
      </c>
      <c r="D96" s="20" t="s">
        <v>0</v>
      </c>
      <c r="E96" s="20">
        <v>60</v>
      </c>
      <c r="F96" s="20">
        <v>0</v>
      </c>
      <c r="G96" s="20">
        <f t="shared" si="1"/>
        <v>60</v>
      </c>
      <c r="H96" s="20">
        <v>466</v>
      </c>
      <c r="I96" s="20"/>
      <c r="J96" s="23"/>
      <c r="K96" s="23"/>
      <c r="L96" s="19" t="s">
        <v>88</v>
      </c>
    </row>
    <row r="97" spans="1:12" s="6" customFormat="1" ht="90.75" customHeight="1" x14ac:dyDescent="0.25">
      <c r="A97" s="18">
        <v>43</v>
      </c>
      <c r="B97" s="23" t="s">
        <v>340</v>
      </c>
      <c r="C97" s="23" t="s">
        <v>341</v>
      </c>
      <c r="D97" s="20" t="s">
        <v>0</v>
      </c>
      <c r="E97" s="20">
        <v>0</v>
      </c>
      <c r="F97" s="20">
        <v>0</v>
      </c>
      <c r="G97" s="20">
        <f t="shared" si="1"/>
        <v>0</v>
      </c>
      <c r="H97" s="20">
        <v>8</v>
      </c>
      <c r="I97" s="20"/>
      <c r="J97" s="23"/>
      <c r="K97" s="23"/>
      <c r="L97" s="19" t="s">
        <v>88</v>
      </c>
    </row>
    <row r="98" spans="1:12" s="6" customFormat="1" ht="90.75" customHeight="1" x14ac:dyDescent="0.25">
      <c r="A98" s="18">
        <v>44</v>
      </c>
      <c r="B98" s="23" t="s">
        <v>342</v>
      </c>
      <c r="C98" s="23" t="s">
        <v>343</v>
      </c>
      <c r="D98" s="20" t="s">
        <v>0</v>
      </c>
      <c r="E98" s="20">
        <v>4</v>
      </c>
      <c r="F98" s="20">
        <v>0</v>
      </c>
      <c r="G98" s="20">
        <f t="shared" si="1"/>
        <v>4</v>
      </c>
      <c r="H98" s="20">
        <v>4</v>
      </c>
      <c r="I98" s="20"/>
      <c r="J98" s="23"/>
      <c r="K98" s="23"/>
      <c r="L98" s="19" t="s">
        <v>88</v>
      </c>
    </row>
    <row r="99" spans="1:12" s="6" customFormat="1" ht="90.75" customHeight="1" x14ac:dyDescent="0.25">
      <c r="A99" s="18">
        <v>45</v>
      </c>
      <c r="B99" s="23" t="s">
        <v>65</v>
      </c>
      <c r="C99" s="23" t="s">
        <v>129</v>
      </c>
      <c r="D99" s="20" t="s">
        <v>0</v>
      </c>
      <c r="E99" s="20">
        <v>32</v>
      </c>
      <c r="F99" s="20">
        <v>0</v>
      </c>
      <c r="G99" s="20">
        <f t="shared" si="1"/>
        <v>32</v>
      </c>
      <c r="H99" s="20">
        <v>6</v>
      </c>
      <c r="I99" s="20"/>
      <c r="J99" s="23"/>
      <c r="K99" s="23"/>
      <c r="L99" s="19" t="s">
        <v>88</v>
      </c>
    </row>
    <row r="100" spans="1:12" s="6" customFormat="1" ht="90.75" customHeight="1" x14ac:dyDescent="0.25">
      <c r="A100" s="18">
        <v>46</v>
      </c>
      <c r="B100" s="23" t="s">
        <v>344</v>
      </c>
      <c r="C100" s="23" t="s">
        <v>345</v>
      </c>
      <c r="D100" s="20" t="s">
        <v>0</v>
      </c>
      <c r="E100" s="20">
        <v>8</v>
      </c>
      <c r="F100" s="20">
        <v>0</v>
      </c>
      <c r="G100" s="20">
        <f t="shared" si="1"/>
        <v>8</v>
      </c>
      <c r="H100" s="20">
        <v>12</v>
      </c>
      <c r="I100" s="20"/>
      <c r="J100" s="23"/>
      <c r="K100" s="23"/>
      <c r="L100" s="19" t="s">
        <v>88</v>
      </c>
    </row>
    <row r="101" spans="1:12" s="6" customFormat="1" ht="90.75" customHeight="1" x14ac:dyDescent="0.25">
      <c r="A101" s="18">
        <v>47</v>
      </c>
      <c r="B101" s="23" t="s">
        <v>346</v>
      </c>
      <c r="C101" s="23" t="s">
        <v>347</v>
      </c>
      <c r="D101" s="20" t="s">
        <v>0</v>
      </c>
      <c r="E101" s="20">
        <v>8</v>
      </c>
      <c r="F101" s="20">
        <v>0</v>
      </c>
      <c r="G101" s="20">
        <f t="shared" si="1"/>
        <v>8</v>
      </c>
      <c r="H101" s="20">
        <v>12</v>
      </c>
      <c r="I101" s="20"/>
      <c r="J101" s="23"/>
      <c r="K101" s="23"/>
      <c r="L101" s="19" t="s">
        <v>88</v>
      </c>
    </row>
    <row r="102" spans="1:12" s="6" customFormat="1" ht="90.75" customHeight="1" x14ac:dyDescent="0.25">
      <c r="A102" s="18">
        <v>48</v>
      </c>
      <c r="B102" s="23" t="s">
        <v>348</v>
      </c>
      <c r="C102" s="23" t="s">
        <v>349</v>
      </c>
      <c r="D102" s="20" t="s">
        <v>0</v>
      </c>
      <c r="E102" s="20">
        <v>0</v>
      </c>
      <c r="F102" s="20">
        <v>0</v>
      </c>
      <c r="G102" s="20">
        <f t="shared" si="1"/>
        <v>0</v>
      </c>
      <c r="H102" s="20">
        <v>2</v>
      </c>
      <c r="I102" s="20"/>
      <c r="J102" s="23"/>
      <c r="K102" s="23"/>
      <c r="L102" s="19" t="s">
        <v>88</v>
      </c>
    </row>
    <row r="103" spans="1:12" s="6" customFormat="1" ht="90.75" customHeight="1" x14ac:dyDescent="0.25">
      <c r="A103" s="18">
        <v>49</v>
      </c>
      <c r="B103" s="23" t="s">
        <v>350</v>
      </c>
      <c r="C103" s="23" t="s">
        <v>351</v>
      </c>
      <c r="D103" s="20" t="s">
        <v>0</v>
      </c>
      <c r="E103" s="20">
        <v>8</v>
      </c>
      <c r="F103" s="20">
        <v>0</v>
      </c>
      <c r="G103" s="20">
        <f t="shared" si="1"/>
        <v>8</v>
      </c>
      <c r="H103" s="20">
        <v>2</v>
      </c>
      <c r="I103" s="20"/>
      <c r="J103" s="23"/>
      <c r="K103" s="23"/>
      <c r="L103" s="19" t="s">
        <v>88</v>
      </c>
    </row>
    <row r="104" spans="1:12" s="6" customFormat="1" ht="90.75" customHeight="1" x14ac:dyDescent="0.25">
      <c r="A104" s="18">
        <v>50</v>
      </c>
      <c r="B104" s="23" t="s">
        <v>352</v>
      </c>
      <c r="C104" s="23" t="s">
        <v>353</v>
      </c>
      <c r="D104" s="20" t="s">
        <v>0</v>
      </c>
      <c r="E104" s="20">
        <v>62</v>
      </c>
      <c r="F104" s="20">
        <v>0</v>
      </c>
      <c r="G104" s="20">
        <f t="shared" si="1"/>
        <v>62</v>
      </c>
      <c r="H104" s="20">
        <v>31</v>
      </c>
      <c r="I104" s="20"/>
      <c r="J104" s="23"/>
      <c r="K104" s="23"/>
      <c r="L104" s="19" t="s">
        <v>88</v>
      </c>
    </row>
    <row r="105" spans="1:12" s="6" customFormat="1" ht="90.75" customHeight="1" x14ac:dyDescent="0.25">
      <c r="A105" s="18">
        <v>51</v>
      </c>
      <c r="B105" s="23" t="s">
        <v>188</v>
      </c>
      <c r="C105" s="23" t="s">
        <v>354</v>
      </c>
      <c r="D105" s="20" t="s">
        <v>0</v>
      </c>
      <c r="E105" s="20">
        <v>62</v>
      </c>
      <c r="F105" s="20">
        <v>31</v>
      </c>
      <c r="G105" s="20">
        <f t="shared" si="1"/>
        <v>31</v>
      </c>
      <c r="H105" s="20">
        <v>62</v>
      </c>
      <c r="I105" s="20"/>
      <c r="J105" s="23"/>
      <c r="K105" s="23"/>
      <c r="L105" s="19" t="s">
        <v>88</v>
      </c>
    </row>
    <row r="106" spans="1:12" s="6" customFormat="1" ht="90.75" customHeight="1" x14ac:dyDescent="0.25">
      <c r="A106" s="18">
        <v>52</v>
      </c>
      <c r="B106" s="23" t="s">
        <v>155</v>
      </c>
      <c r="C106" s="23" t="s">
        <v>60</v>
      </c>
      <c r="D106" s="20" t="s">
        <v>0</v>
      </c>
      <c r="E106" s="20">
        <v>20</v>
      </c>
      <c r="F106" s="20">
        <v>6</v>
      </c>
      <c r="G106" s="20">
        <f t="shared" si="1"/>
        <v>14</v>
      </c>
      <c r="H106" s="20">
        <v>4</v>
      </c>
      <c r="I106" s="20"/>
      <c r="J106" s="23"/>
      <c r="K106" s="23"/>
      <c r="L106" s="19" t="s">
        <v>88</v>
      </c>
    </row>
    <row r="107" spans="1:12" s="6" customFormat="1" ht="90.75" customHeight="1" x14ac:dyDescent="0.25">
      <c r="A107" s="18">
        <v>53</v>
      </c>
      <c r="B107" s="23" t="s">
        <v>355</v>
      </c>
      <c r="C107" s="23" t="s">
        <v>356</v>
      </c>
      <c r="D107" s="20" t="s">
        <v>0</v>
      </c>
      <c r="E107" s="20">
        <v>8</v>
      </c>
      <c r="F107" s="20">
        <v>0</v>
      </c>
      <c r="G107" s="20">
        <f t="shared" si="1"/>
        <v>8</v>
      </c>
      <c r="H107" s="20">
        <v>2</v>
      </c>
      <c r="I107" s="20"/>
      <c r="J107" s="23"/>
      <c r="K107" s="23"/>
      <c r="L107" s="19" t="s">
        <v>88</v>
      </c>
    </row>
    <row r="108" spans="1:12" s="6" customFormat="1" ht="90.75" customHeight="1" x14ac:dyDescent="0.25">
      <c r="A108" s="18">
        <v>54</v>
      </c>
      <c r="B108" s="23" t="s">
        <v>357</v>
      </c>
      <c r="C108" s="23" t="s">
        <v>358</v>
      </c>
      <c r="D108" s="20" t="s">
        <v>0</v>
      </c>
      <c r="E108" s="20">
        <v>8</v>
      </c>
      <c r="F108" s="20">
        <v>0</v>
      </c>
      <c r="G108" s="20">
        <f t="shared" si="1"/>
        <v>8</v>
      </c>
      <c r="H108" s="20">
        <v>2</v>
      </c>
      <c r="I108" s="20"/>
      <c r="J108" s="23"/>
      <c r="K108" s="23"/>
      <c r="L108" s="19" t="s">
        <v>88</v>
      </c>
    </row>
    <row r="109" spans="1:12" s="6" customFormat="1" ht="90.75" customHeight="1" x14ac:dyDescent="0.25">
      <c r="A109" s="18">
        <v>55</v>
      </c>
      <c r="B109" s="23" t="s">
        <v>359</v>
      </c>
      <c r="C109" s="23" t="s">
        <v>360</v>
      </c>
      <c r="D109" s="20" t="s">
        <v>0</v>
      </c>
      <c r="E109" s="20">
        <v>18</v>
      </c>
      <c r="F109" s="20">
        <v>0</v>
      </c>
      <c r="G109" s="20">
        <f t="shared" si="1"/>
        <v>18</v>
      </c>
      <c r="H109" s="20">
        <v>10</v>
      </c>
      <c r="I109" s="20"/>
      <c r="J109" s="23"/>
      <c r="K109" s="23"/>
      <c r="L109" s="19" t="s">
        <v>88</v>
      </c>
    </row>
    <row r="110" spans="1:12" s="6" customFormat="1" ht="90.75" customHeight="1" x14ac:dyDescent="0.25">
      <c r="A110" s="18">
        <v>56</v>
      </c>
      <c r="B110" s="23" t="s">
        <v>29</v>
      </c>
      <c r="C110" s="23" t="s">
        <v>37</v>
      </c>
      <c r="D110" s="20" t="s">
        <v>0</v>
      </c>
      <c r="E110" s="20">
        <v>6</v>
      </c>
      <c r="F110" s="20">
        <v>0</v>
      </c>
      <c r="G110" s="20">
        <f t="shared" si="1"/>
        <v>6</v>
      </c>
      <c r="H110" s="20">
        <v>6</v>
      </c>
      <c r="I110" s="20"/>
      <c r="J110" s="23"/>
      <c r="K110" s="23"/>
      <c r="L110" s="19" t="s">
        <v>88</v>
      </c>
    </row>
    <row r="111" spans="1:12" s="6" customFormat="1" ht="90.75" customHeight="1" x14ac:dyDescent="0.25">
      <c r="A111" s="18">
        <v>57</v>
      </c>
      <c r="B111" s="23" t="s">
        <v>361</v>
      </c>
      <c r="C111" s="23" t="s">
        <v>362</v>
      </c>
      <c r="D111" s="20" t="s">
        <v>0</v>
      </c>
      <c r="E111" s="20">
        <v>12</v>
      </c>
      <c r="F111" s="20">
        <v>0</v>
      </c>
      <c r="G111" s="20">
        <f t="shared" si="1"/>
        <v>12</v>
      </c>
      <c r="H111" s="20">
        <v>16</v>
      </c>
      <c r="I111" s="20"/>
      <c r="J111" s="23"/>
      <c r="K111" s="23"/>
      <c r="L111" s="19" t="s">
        <v>88</v>
      </c>
    </row>
    <row r="112" spans="1:12" s="6" customFormat="1" ht="90.75" customHeight="1" x14ac:dyDescent="0.25">
      <c r="A112" s="18">
        <v>58</v>
      </c>
      <c r="B112" s="23" t="s">
        <v>363</v>
      </c>
      <c r="C112" s="23" t="s">
        <v>364</v>
      </c>
      <c r="D112" s="20" t="s">
        <v>0</v>
      </c>
      <c r="E112" s="20">
        <v>32</v>
      </c>
      <c r="F112" s="20">
        <v>0</v>
      </c>
      <c r="G112" s="20">
        <f t="shared" si="1"/>
        <v>32</v>
      </c>
      <c r="H112" s="20">
        <v>20</v>
      </c>
      <c r="I112" s="20"/>
      <c r="J112" s="23"/>
      <c r="K112" s="23"/>
      <c r="L112" s="19" t="s">
        <v>88</v>
      </c>
    </row>
    <row r="113" spans="1:12" s="6" customFormat="1" ht="90.75" customHeight="1" x14ac:dyDescent="0.25">
      <c r="A113" s="18">
        <v>59</v>
      </c>
      <c r="B113" s="23" t="s">
        <v>365</v>
      </c>
      <c r="C113" s="23" t="s">
        <v>366</v>
      </c>
      <c r="D113" s="20" t="s">
        <v>0</v>
      </c>
      <c r="E113" s="20">
        <v>6</v>
      </c>
      <c r="F113" s="20">
        <v>0</v>
      </c>
      <c r="G113" s="20">
        <f t="shared" si="1"/>
        <v>6</v>
      </c>
      <c r="H113" s="20">
        <v>2</v>
      </c>
      <c r="I113" s="20"/>
      <c r="J113" s="23"/>
      <c r="K113" s="23"/>
      <c r="L113" s="19" t="s">
        <v>88</v>
      </c>
    </row>
    <row r="114" spans="1:12" s="9" customFormat="1" ht="39" customHeight="1" x14ac:dyDescent="0.25">
      <c r="A114" s="61" t="s">
        <v>20</v>
      </c>
      <c r="B114" s="45"/>
      <c r="C114" s="45"/>
      <c r="D114" s="46"/>
      <c r="E114" s="46"/>
      <c r="F114" s="46"/>
      <c r="G114" s="20"/>
      <c r="H114" s="46"/>
      <c r="I114" s="46"/>
      <c r="J114" s="47"/>
      <c r="K114" s="64"/>
      <c r="L114" s="48"/>
    </row>
    <row r="115" spans="1:12" s="6" customFormat="1" ht="139.5" customHeight="1" x14ac:dyDescent="0.25">
      <c r="A115" s="18">
        <v>1</v>
      </c>
      <c r="B115" s="19" t="s">
        <v>49</v>
      </c>
      <c r="C115" s="23" t="s">
        <v>50</v>
      </c>
      <c r="D115" s="18" t="s">
        <v>51</v>
      </c>
      <c r="E115" s="18">
        <v>40</v>
      </c>
      <c r="F115" s="18">
        <v>22</v>
      </c>
      <c r="G115" s="20">
        <f t="shared" si="1"/>
        <v>18</v>
      </c>
      <c r="H115" s="13">
        <v>50</v>
      </c>
      <c r="I115" s="18"/>
      <c r="J115" s="23" t="s">
        <v>181</v>
      </c>
      <c r="K115" s="19">
        <v>28</v>
      </c>
      <c r="L115" s="19" t="s">
        <v>48</v>
      </c>
    </row>
    <row r="116" spans="1:12" s="6" customFormat="1" ht="39" customHeight="1" x14ac:dyDescent="0.25">
      <c r="A116" s="18">
        <v>2</v>
      </c>
      <c r="B116" s="19" t="s">
        <v>166</v>
      </c>
      <c r="C116" s="23" t="s">
        <v>167</v>
      </c>
      <c r="D116" s="18" t="s">
        <v>51</v>
      </c>
      <c r="E116" s="18">
        <v>260</v>
      </c>
      <c r="F116" s="18">
        <v>0</v>
      </c>
      <c r="G116" s="20">
        <f t="shared" si="1"/>
        <v>260</v>
      </c>
      <c r="H116" s="13">
        <v>70</v>
      </c>
      <c r="I116" s="18"/>
      <c r="J116" s="23" t="s">
        <v>168</v>
      </c>
      <c r="K116" s="19">
        <v>4</v>
      </c>
      <c r="L116" s="19" t="s">
        <v>140</v>
      </c>
    </row>
    <row r="117" spans="1:12" s="6" customFormat="1" ht="39" customHeight="1" x14ac:dyDescent="0.25">
      <c r="A117" s="18">
        <v>3</v>
      </c>
      <c r="B117" s="19" t="s">
        <v>130</v>
      </c>
      <c r="C117" s="19" t="s">
        <v>131</v>
      </c>
      <c r="D117" s="18" t="s">
        <v>66</v>
      </c>
      <c r="E117" s="18">
        <v>189225</v>
      </c>
      <c r="F117" s="18">
        <v>55369</v>
      </c>
      <c r="G117" s="20">
        <f t="shared" si="1"/>
        <v>133856</v>
      </c>
      <c r="H117" s="21">
        <v>15000</v>
      </c>
      <c r="I117" s="20"/>
      <c r="J117" s="22" t="s">
        <v>132</v>
      </c>
      <c r="K117" s="19">
        <v>68058.44</v>
      </c>
      <c r="L117" s="19" t="s">
        <v>76</v>
      </c>
    </row>
    <row r="118" spans="1:12" s="6" customFormat="1" ht="39" customHeight="1" x14ac:dyDescent="0.25">
      <c r="A118" s="18">
        <v>4</v>
      </c>
      <c r="B118" s="19" t="s">
        <v>67</v>
      </c>
      <c r="C118" s="23" t="s">
        <v>68</v>
      </c>
      <c r="D118" s="18" t="s">
        <v>66</v>
      </c>
      <c r="E118" s="18">
        <v>70054.820000000007</v>
      </c>
      <c r="F118" s="18">
        <v>27999.45</v>
      </c>
      <c r="G118" s="20">
        <f t="shared" si="1"/>
        <v>42055.37000000001</v>
      </c>
      <c r="H118" s="21">
        <v>6000</v>
      </c>
      <c r="I118" s="20"/>
      <c r="J118" s="23" t="s">
        <v>134</v>
      </c>
      <c r="K118" s="65" t="s">
        <v>135</v>
      </c>
      <c r="L118" s="19" t="s">
        <v>76</v>
      </c>
    </row>
    <row r="119" spans="1:12" s="6" customFormat="1" ht="55.5" customHeight="1" x14ac:dyDescent="0.25">
      <c r="A119" s="18">
        <v>5</v>
      </c>
      <c r="B119" s="19" t="s">
        <v>40</v>
      </c>
      <c r="C119" s="19" t="s">
        <v>1</v>
      </c>
      <c r="D119" s="18" t="s">
        <v>2</v>
      </c>
      <c r="E119" s="18">
        <v>60240</v>
      </c>
      <c r="F119" s="18"/>
      <c r="G119" s="20">
        <f t="shared" si="1"/>
        <v>60240</v>
      </c>
      <c r="H119" s="21">
        <v>200</v>
      </c>
      <c r="I119" s="18"/>
      <c r="J119" s="22" t="s">
        <v>215</v>
      </c>
      <c r="K119" s="63">
        <v>11463</v>
      </c>
      <c r="L119" s="19" t="s">
        <v>179</v>
      </c>
    </row>
    <row r="120" spans="1:12" s="6" customFormat="1" ht="55.5" customHeight="1" x14ac:dyDescent="0.25">
      <c r="A120" s="18">
        <v>6</v>
      </c>
      <c r="B120" s="19" t="s">
        <v>212</v>
      </c>
      <c r="C120" s="19" t="s">
        <v>213</v>
      </c>
      <c r="D120" s="18" t="s">
        <v>59</v>
      </c>
      <c r="E120" s="18"/>
      <c r="F120" s="18"/>
      <c r="G120" s="20">
        <f t="shared" si="1"/>
        <v>0</v>
      </c>
      <c r="H120" s="21">
        <v>10</v>
      </c>
      <c r="I120" s="18"/>
      <c r="J120" s="22" t="s">
        <v>214</v>
      </c>
      <c r="K120" s="63"/>
      <c r="L120" s="19" t="s">
        <v>76</v>
      </c>
    </row>
    <row r="121" spans="1:12" s="6" customFormat="1" ht="39" customHeight="1" x14ac:dyDescent="0.25">
      <c r="A121" s="18">
        <v>7</v>
      </c>
      <c r="B121" s="19" t="s">
        <v>69</v>
      </c>
      <c r="C121" s="23" t="s">
        <v>70</v>
      </c>
      <c r="D121" s="18" t="s">
        <v>66</v>
      </c>
      <c r="E121" s="18">
        <v>6840768.1199519997</v>
      </c>
      <c r="F121" s="18"/>
      <c r="G121" s="20">
        <f t="shared" si="1"/>
        <v>6840768.1199519997</v>
      </c>
      <c r="H121" s="21">
        <v>900000</v>
      </c>
      <c r="I121" s="18"/>
      <c r="J121" s="23" t="s">
        <v>71</v>
      </c>
      <c r="K121" s="63">
        <v>139205.71</v>
      </c>
      <c r="L121" s="19" t="s">
        <v>76</v>
      </c>
    </row>
    <row r="122" spans="1:12" s="6" customFormat="1" ht="39" customHeight="1" x14ac:dyDescent="0.25">
      <c r="A122" s="18">
        <v>8</v>
      </c>
      <c r="B122" s="19" t="s">
        <v>72</v>
      </c>
      <c r="C122" s="19" t="s">
        <v>73</v>
      </c>
      <c r="D122" s="18" t="s">
        <v>66</v>
      </c>
      <c r="E122" s="18">
        <v>200919</v>
      </c>
      <c r="F122" s="18">
        <v>57569.19</v>
      </c>
      <c r="G122" s="20">
        <f t="shared" si="1"/>
        <v>143349.81</v>
      </c>
      <c r="H122" s="21">
        <v>15000</v>
      </c>
      <c r="I122" s="20"/>
      <c r="J122" s="22" t="s">
        <v>126</v>
      </c>
      <c r="K122" s="66">
        <v>79418.679999999993</v>
      </c>
      <c r="L122" s="19" t="s">
        <v>76</v>
      </c>
    </row>
    <row r="123" spans="1:12" s="6" customFormat="1" ht="39" customHeight="1" x14ac:dyDescent="0.25">
      <c r="A123" s="18">
        <v>9</v>
      </c>
      <c r="B123" s="4" t="s">
        <v>137</v>
      </c>
      <c r="C123" s="2" t="s">
        <v>138</v>
      </c>
      <c r="D123" s="1" t="s">
        <v>66</v>
      </c>
      <c r="E123" s="1">
        <v>110000</v>
      </c>
      <c r="F123" s="1">
        <v>11773.59</v>
      </c>
      <c r="G123" s="20">
        <f t="shared" si="1"/>
        <v>98226.41</v>
      </c>
      <c r="H123" s="7">
        <v>9000</v>
      </c>
      <c r="I123" s="18"/>
      <c r="J123" s="2" t="s">
        <v>139</v>
      </c>
      <c r="K123" s="63"/>
      <c r="L123" s="19" t="s">
        <v>140</v>
      </c>
    </row>
    <row r="124" spans="1:12" s="6" customFormat="1" ht="63" customHeight="1" x14ac:dyDescent="0.25">
      <c r="A124" s="18">
        <v>10</v>
      </c>
      <c r="B124" s="23" t="s">
        <v>144</v>
      </c>
      <c r="C124" s="23" t="s">
        <v>145</v>
      </c>
      <c r="D124" s="1" t="s">
        <v>66</v>
      </c>
      <c r="E124" s="70">
        <v>120000</v>
      </c>
      <c r="F124" s="1">
        <v>46965</v>
      </c>
      <c r="G124" s="20">
        <f t="shared" si="1"/>
        <v>73035</v>
      </c>
      <c r="H124" s="7">
        <v>10000</v>
      </c>
      <c r="I124" s="18"/>
      <c r="J124" s="22" t="s">
        <v>146</v>
      </c>
      <c r="K124" s="63"/>
      <c r="L124" s="19" t="s">
        <v>76</v>
      </c>
    </row>
    <row r="125" spans="1:12" s="6" customFormat="1" ht="75.75" customHeight="1" x14ac:dyDescent="0.25">
      <c r="A125" s="18">
        <v>11</v>
      </c>
      <c r="B125" s="19" t="s">
        <v>133</v>
      </c>
      <c r="C125" s="23" t="s">
        <v>118</v>
      </c>
      <c r="D125" s="18" t="s">
        <v>74</v>
      </c>
      <c r="E125" s="18"/>
      <c r="F125" s="18">
        <v>0</v>
      </c>
      <c r="G125" s="20">
        <f t="shared" si="1"/>
        <v>0</v>
      </c>
      <c r="H125" s="21">
        <v>100</v>
      </c>
      <c r="I125" s="18"/>
      <c r="J125" s="23" t="s">
        <v>75</v>
      </c>
      <c r="K125" s="66" t="s">
        <v>110</v>
      </c>
      <c r="L125" s="19" t="s">
        <v>76</v>
      </c>
    </row>
    <row r="126" spans="1:12" s="6" customFormat="1" ht="39" customHeight="1" x14ac:dyDescent="0.25">
      <c r="A126" s="18">
        <v>12</v>
      </c>
      <c r="B126" s="19" t="s">
        <v>174</v>
      </c>
      <c r="C126" s="19" t="s">
        <v>102</v>
      </c>
      <c r="D126" s="18" t="s">
        <v>66</v>
      </c>
      <c r="E126" s="18">
        <v>815691.33257280034</v>
      </c>
      <c r="F126" s="18">
        <v>324900</v>
      </c>
      <c r="G126" s="20">
        <f t="shared" si="1"/>
        <v>490791.33257280034</v>
      </c>
      <c r="H126" s="21">
        <v>150000</v>
      </c>
      <c r="I126" s="18"/>
      <c r="J126" s="23" t="s">
        <v>103</v>
      </c>
      <c r="K126" s="63">
        <v>239581</v>
      </c>
      <c r="L126" s="19" t="s">
        <v>88</v>
      </c>
    </row>
    <row r="127" spans="1:12" s="6" customFormat="1" ht="39" customHeight="1" x14ac:dyDescent="0.25">
      <c r="A127" s="18">
        <v>13</v>
      </c>
      <c r="B127" s="19" t="s">
        <v>199</v>
      </c>
      <c r="C127" s="19" t="s">
        <v>198</v>
      </c>
      <c r="D127" s="18" t="s">
        <v>2</v>
      </c>
      <c r="E127" s="18">
        <v>0</v>
      </c>
      <c r="F127" s="18">
        <v>50</v>
      </c>
      <c r="G127" s="20">
        <v>0</v>
      </c>
      <c r="H127" s="21">
        <v>20</v>
      </c>
      <c r="I127" s="18"/>
      <c r="J127" s="23" t="s">
        <v>200</v>
      </c>
      <c r="K127" s="63">
        <v>75</v>
      </c>
      <c r="L127" s="19" t="s">
        <v>169</v>
      </c>
    </row>
    <row r="128" spans="1:12" s="6" customFormat="1" ht="52.5" customHeight="1" x14ac:dyDescent="0.25">
      <c r="A128" s="18">
        <v>14</v>
      </c>
      <c r="B128" s="19"/>
      <c r="C128" s="19" t="s">
        <v>41</v>
      </c>
      <c r="D128" s="18" t="s">
        <v>42</v>
      </c>
      <c r="E128" s="18">
        <v>0</v>
      </c>
      <c r="F128" s="18">
        <v>0</v>
      </c>
      <c r="G128" s="20">
        <f t="shared" si="1"/>
        <v>0</v>
      </c>
      <c r="H128" s="24">
        <v>1</v>
      </c>
      <c r="I128" s="18"/>
      <c r="J128" s="22" t="s">
        <v>107</v>
      </c>
      <c r="K128" s="23" t="s">
        <v>125</v>
      </c>
      <c r="L128" s="19" t="s">
        <v>104</v>
      </c>
    </row>
    <row r="129" spans="1:12" s="6" customFormat="1" ht="39" customHeight="1" x14ac:dyDescent="0.25">
      <c r="A129" s="18">
        <v>15</v>
      </c>
      <c r="B129" s="51" t="s">
        <v>147</v>
      </c>
      <c r="C129" s="50" t="s">
        <v>148</v>
      </c>
      <c r="D129" s="52" t="s">
        <v>66</v>
      </c>
      <c r="E129" s="18">
        <v>0</v>
      </c>
      <c r="F129" s="5">
        <v>250</v>
      </c>
      <c r="G129" s="20">
        <v>0</v>
      </c>
      <c r="H129" s="53">
        <v>200</v>
      </c>
      <c r="I129" s="54"/>
      <c r="J129" s="55" t="s">
        <v>374</v>
      </c>
      <c r="K129" s="67">
        <v>5379</v>
      </c>
      <c r="L129" s="51"/>
    </row>
    <row r="130" spans="1:12" s="6" customFormat="1" ht="60.75" customHeight="1" x14ac:dyDescent="0.25">
      <c r="A130" s="18">
        <v>16</v>
      </c>
      <c r="B130" s="19" t="s">
        <v>149</v>
      </c>
      <c r="C130" s="23" t="s">
        <v>150</v>
      </c>
      <c r="D130" s="18" t="s">
        <v>0</v>
      </c>
      <c r="E130" s="18">
        <v>30000</v>
      </c>
      <c r="F130" s="18">
        <v>16000</v>
      </c>
      <c r="G130" s="20">
        <f t="shared" si="1"/>
        <v>14000</v>
      </c>
      <c r="H130" s="13">
        <v>10000</v>
      </c>
      <c r="I130" s="20"/>
      <c r="J130" s="22" t="s">
        <v>151</v>
      </c>
      <c r="K130" s="62">
        <v>15000</v>
      </c>
      <c r="L130" s="19"/>
    </row>
    <row r="131" spans="1:12" s="6" customFormat="1" ht="60.75" customHeight="1" x14ac:dyDescent="0.25">
      <c r="A131" s="18">
        <v>17</v>
      </c>
      <c r="B131" s="23" t="s">
        <v>248</v>
      </c>
      <c r="C131" s="23" t="s">
        <v>259</v>
      </c>
      <c r="D131" s="18" t="s">
        <v>0</v>
      </c>
      <c r="E131" s="20">
        <v>0</v>
      </c>
      <c r="F131" s="20">
        <v>0</v>
      </c>
      <c r="G131" s="20">
        <f t="shared" si="1"/>
        <v>0</v>
      </c>
      <c r="H131" s="20">
        <v>120</v>
      </c>
      <c r="I131" s="20"/>
      <c r="J131" s="22" t="s">
        <v>416</v>
      </c>
      <c r="K131" s="62"/>
      <c r="L131" s="56"/>
    </row>
    <row r="132" spans="1:12" s="6" customFormat="1" ht="60.75" customHeight="1" x14ac:dyDescent="0.25">
      <c r="A132" s="18">
        <v>18</v>
      </c>
      <c r="B132" s="23" t="s">
        <v>384</v>
      </c>
      <c r="C132" s="23" t="s">
        <v>383</v>
      </c>
      <c r="D132" s="18" t="s">
        <v>0</v>
      </c>
      <c r="E132" s="20">
        <v>0</v>
      </c>
      <c r="F132" s="20">
        <v>0</v>
      </c>
      <c r="G132" s="20">
        <f t="shared" si="1"/>
        <v>0</v>
      </c>
      <c r="H132" s="20">
        <v>270</v>
      </c>
      <c r="I132" s="20"/>
      <c r="J132" s="22" t="s">
        <v>387</v>
      </c>
      <c r="K132" s="62">
        <v>728</v>
      </c>
      <c r="L132" s="19" t="s">
        <v>385</v>
      </c>
    </row>
    <row r="133" spans="1:12" s="6" customFormat="1" ht="60.75" customHeight="1" x14ac:dyDescent="0.25">
      <c r="A133" s="18">
        <v>19</v>
      </c>
      <c r="B133" s="23" t="s">
        <v>393</v>
      </c>
      <c r="C133" s="23" t="s">
        <v>394</v>
      </c>
      <c r="D133" s="18" t="s">
        <v>386</v>
      </c>
      <c r="E133" s="20">
        <v>0</v>
      </c>
      <c r="F133" s="20">
        <v>0</v>
      </c>
      <c r="G133" s="20">
        <f t="shared" si="1"/>
        <v>0</v>
      </c>
      <c r="H133" s="20">
        <v>8000</v>
      </c>
      <c r="I133" s="20"/>
      <c r="J133" s="22" t="s">
        <v>387</v>
      </c>
      <c r="K133" s="62">
        <v>29673</v>
      </c>
      <c r="L133" s="19" t="s">
        <v>385</v>
      </c>
    </row>
    <row r="134" spans="1:12" s="6" customFormat="1" ht="60.75" customHeight="1" x14ac:dyDescent="0.25">
      <c r="A134" s="18">
        <v>20</v>
      </c>
      <c r="B134" s="19" t="s">
        <v>389</v>
      </c>
      <c r="C134" s="19" t="s">
        <v>388</v>
      </c>
      <c r="D134" s="18" t="s">
        <v>390</v>
      </c>
      <c r="E134" s="20">
        <v>0</v>
      </c>
      <c r="F134" s="20">
        <v>0</v>
      </c>
      <c r="G134" s="20">
        <f t="shared" si="1"/>
        <v>0</v>
      </c>
      <c r="H134" s="20">
        <v>3000</v>
      </c>
      <c r="I134" s="20"/>
      <c r="J134" s="22" t="s">
        <v>391</v>
      </c>
      <c r="K134" s="62">
        <v>2871</v>
      </c>
      <c r="L134" s="19" t="s">
        <v>385</v>
      </c>
    </row>
    <row r="135" spans="1:12" s="6" customFormat="1" ht="60.75" customHeight="1" x14ac:dyDescent="0.25">
      <c r="A135" s="18">
        <v>21</v>
      </c>
      <c r="B135" s="19" t="s">
        <v>398</v>
      </c>
      <c r="C135" s="19" t="s">
        <v>397</v>
      </c>
      <c r="D135" s="18" t="s">
        <v>0</v>
      </c>
      <c r="E135" s="20">
        <v>0</v>
      </c>
      <c r="F135" s="20">
        <v>0</v>
      </c>
      <c r="G135" s="20">
        <f t="shared" si="1"/>
        <v>0</v>
      </c>
      <c r="H135" s="20">
        <v>974</v>
      </c>
      <c r="I135" s="20"/>
      <c r="J135" s="22" t="s">
        <v>399</v>
      </c>
      <c r="K135" s="62" t="s">
        <v>110</v>
      </c>
      <c r="L135" s="19" t="s">
        <v>385</v>
      </c>
    </row>
    <row r="136" spans="1:12" s="6" customFormat="1" ht="60.75" customHeight="1" x14ac:dyDescent="0.25">
      <c r="A136" s="18">
        <v>22</v>
      </c>
      <c r="B136" s="68" t="s">
        <v>396</v>
      </c>
      <c r="C136" s="19" t="s">
        <v>395</v>
      </c>
      <c r="D136" s="18" t="s">
        <v>392</v>
      </c>
      <c r="E136" s="20">
        <v>0</v>
      </c>
      <c r="F136" s="20">
        <v>0</v>
      </c>
      <c r="G136" s="20">
        <f t="shared" si="1"/>
        <v>0</v>
      </c>
      <c r="H136" s="20">
        <v>850</v>
      </c>
      <c r="I136" s="20"/>
      <c r="J136" s="22" t="s">
        <v>387</v>
      </c>
      <c r="K136" s="62">
        <v>1412</v>
      </c>
      <c r="L136" s="19" t="s">
        <v>385</v>
      </c>
    </row>
    <row r="137" spans="1:12" s="6" customFormat="1" ht="60.75" customHeight="1" x14ac:dyDescent="0.25">
      <c r="A137" s="18">
        <v>23</v>
      </c>
      <c r="B137" s="23" t="s">
        <v>249</v>
      </c>
      <c r="C137" s="23" t="s">
        <v>260</v>
      </c>
      <c r="D137" s="20" t="s">
        <v>271</v>
      </c>
      <c r="E137" s="20">
        <v>0</v>
      </c>
      <c r="F137" s="20">
        <v>0</v>
      </c>
      <c r="G137" s="20">
        <f t="shared" si="1"/>
        <v>0</v>
      </c>
      <c r="H137" s="20">
        <v>150</v>
      </c>
      <c r="I137" s="20"/>
      <c r="J137" s="57" t="s">
        <v>417</v>
      </c>
      <c r="K137" s="62"/>
      <c r="L137" s="19"/>
    </row>
    <row r="138" spans="1:12" s="6" customFormat="1" ht="60.75" customHeight="1" x14ac:dyDescent="0.25">
      <c r="A138" s="18">
        <v>24</v>
      </c>
      <c r="B138" s="23" t="s">
        <v>250</v>
      </c>
      <c r="C138" s="23" t="s">
        <v>261</v>
      </c>
      <c r="D138" s="20" t="s">
        <v>271</v>
      </c>
      <c r="E138" s="20">
        <v>0</v>
      </c>
      <c r="F138" s="20">
        <v>0</v>
      </c>
      <c r="G138" s="20">
        <f t="shared" si="1"/>
        <v>0</v>
      </c>
      <c r="H138" s="20">
        <v>100</v>
      </c>
      <c r="I138" s="20"/>
      <c r="J138" s="57" t="s">
        <v>417</v>
      </c>
      <c r="K138" s="62"/>
      <c r="L138" s="19"/>
    </row>
    <row r="139" spans="1:12" s="6" customFormat="1" ht="60.75" customHeight="1" x14ac:dyDescent="0.25">
      <c r="A139" s="18">
        <v>25</v>
      </c>
      <c r="B139" s="23" t="s">
        <v>251</v>
      </c>
      <c r="C139" s="23" t="s">
        <v>262</v>
      </c>
      <c r="D139" s="20" t="s">
        <v>272</v>
      </c>
      <c r="E139" s="20">
        <v>0</v>
      </c>
      <c r="F139" s="20">
        <v>0</v>
      </c>
      <c r="G139" s="20">
        <f t="shared" si="1"/>
        <v>0</v>
      </c>
      <c r="H139" s="20">
        <v>16</v>
      </c>
      <c r="I139" s="20"/>
      <c r="J139" s="57" t="s">
        <v>417</v>
      </c>
      <c r="K139" s="62"/>
      <c r="L139" s="19"/>
    </row>
    <row r="140" spans="1:12" s="6" customFormat="1" ht="60.75" customHeight="1" x14ac:dyDescent="0.25">
      <c r="A140" s="18">
        <v>26</v>
      </c>
      <c r="B140" s="23" t="s">
        <v>252</v>
      </c>
      <c r="C140" s="23" t="s">
        <v>263</v>
      </c>
      <c r="D140" s="20" t="s">
        <v>272</v>
      </c>
      <c r="E140" s="20">
        <v>0</v>
      </c>
      <c r="F140" s="20">
        <v>0</v>
      </c>
      <c r="G140" s="20">
        <f t="shared" si="1"/>
        <v>0</v>
      </c>
      <c r="H140" s="20">
        <v>80</v>
      </c>
      <c r="I140" s="20"/>
      <c r="J140" s="57" t="s">
        <v>417</v>
      </c>
      <c r="K140" s="62"/>
      <c r="L140" s="19"/>
    </row>
    <row r="141" spans="1:12" s="6" customFormat="1" ht="60.75" customHeight="1" x14ac:dyDescent="0.25">
      <c r="A141" s="18">
        <v>27</v>
      </c>
      <c r="B141" s="23" t="s">
        <v>253</v>
      </c>
      <c r="C141" s="23" t="s">
        <v>264</v>
      </c>
      <c r="D141" s="20" t="s">
        <v>270</v>
      </c>
      <c r="E141" s="20">
        <v>0</v>
      </c>
      <c r="F141" s="20">
        <v>0</v>
      </c>
      <c r="G141" s="20">
        <f t="shared" si="1"/>
        <v>0</v>
      </c>
      <c r="H141" s="20">
        <v>100</v>
      </c>
      <c r="I141" s="20"/>
      <c r="J141" s="57" t="s">
        <v>418</v>
      </c>
      <c r="K141" s="62"/>
      <c r="L141" s="19"/>
    </row>
    <row r="142" spans="1:12" s="6" customFormat="1" ht="60.75" customHeight="1" x14ac:dyDescent="0.25">
      <c r="A142" s="18">
        <v>28</v>
      </c>
      <c r="B142" s="23" t="s">
        <v>254</v>
      </c>
      <c r="C142" s="23" t="s">
        <v>265</v>
      </c>
      <c r="D142" s="20" t="s">
        <v>270</v>
      </c>
      <c r="E142" s="20">
        <v>0</v>
      </c>
      <c r="F142" s="20">
        <v>0</v>
      </c>
      <c r="G142" s="20">
        <f t="shared" si="1"/>
        <v>0</v>
      </c>
      <c r="H142" s="20">
        <v>20</v>
      </c>
      <c r="I142" s="20"/>
      <c r="J142" s="57" t="s">
        <v>418</v>
      </c>
      <c r="K142" s="62"/>
      <c r="L142" s="19"/>
    </row>
    <row r="143" spans="1:12" s="6" customFormat="1" ht="60.75" customHeight="1" x14ac:dyDescent="0.25">
      <c r="A143" s="18">
        <v>29</v>
      </c>
      <c r="B143" s="23" t="s">
        <v>255</v>
      </c>
      <c r="C143" s="23" t="s">
        <v>266</v>
      </c>
      <c r="D143" s="20" t="s">
        <v>270</v>
      </c>
      <c r="E143" s="20">
        <v>0</v>
      </c>
      <c r="F143" s="20">
        <v>0</v>
      </c>
      <c r="G143" s="20">
        <f t="shared" si="1"/>
        <v>0</v>
      </c>
      <c r="H143" s="20">
        <v>200</v>
      </c>
      <c r="I143" s="20"/>
      <c r="J143" s="57" t="s">
        <v>418</v>
      </c>
      <c r="K143" s="62"/>
      <c r="L143" s="19"/>
    </row>
    <row r="144" spans="1:12" s="6" customFormat="1" ht="60.75" customHeight="1" x14ac:dyDescent="0.25">
      <c r="A144" s="18">
        <v>30</v>
      </c>
      <c r="B144" s="23" t="s">
        <v>253</v>
      </c>
      <c r="C144" s="23" t="s">
        <v>264</v>
      </c>
      <c r="D144" s="20" t="s">
        <v>270</v>
      </c>
      <c r="E144" s="20">
        <v>0</v>
      </c>
      <c r="F144" s="20">
        <v>0</v>
      </c>
      <c r="G144" s="20">
        <f>E144-F144</f>
        <v>0</v>
      </c>
      <c r="H144" s="20">
        <v>30</v>
      </c>
      <c r="I144" s="20"/>
      <c r="J144" s="57" t="s">
        <v>418</v>
      </c>
      <c r="K144" s="62"/>
      <c r="L144" s="19"/>
    </row>
    <row r="145" spans="1:12" s="6" customFormat="1" ht="60.75" customHeight="1" x14ac:dyDescent="0.25">
      <c r="A145" s="18">
        <v>31</v>
      </c>
      <c r="B145" s="23" t="s">
        <v>256</v>
      </c>
      <c r="C145" s="23" t="s">
        <v>267</v>
      </c>
      <c r="D145" s="20" t="s">
        <v>270</v>
      </c>
      <c r="E145" s="20">
        <v>0</v>
      </c>
      <c r="F145" s="20">
        <v>0</v>
      </c>
      <c r="G145" s="20">
        <f t="shared" si="1"/>
        <v>0</v>
      </c>
      <c r="H145" s="20">
        <v>100</v>
      </c>
      <c r="I145" s="20"/>
      <c r="J145" s="57" t="s">
        <v>419</v>
      </c>
      <c r="K145" s="62"/>
      <c r="L145" s="19"/>
    </row>
    <row r="146" spans="1:12" s="6" customFormat="1" ht="60.75" customHeight="1" x14ac:dyDescent="0.25">
      <c r="A146" s="18">
        <v>32</v>
      </c>
      <c r="B146" s="23" t="s">
        <v>257</v>
      </c>
      <c r="C146" s="23" t="s">
        <v>268</v>
      </c>
      <c r="D146" s="20" t="s">
        <v>270</v>
      </c>
      <c r="E146" s="20">
        <v>0</v>
      </c>
      <c r="F146" s="20">
        <v>0</v>
      </c>
      <c r="G146" s="20">
        <f t="shared" si="1"/>
        <v>0</v>
      </c>
      <c r="H146" s="20">
        <v>50</v>
      </c>
      <c r="I146" s="20"/>
      <c r="J146" s="57" t="s">
        <v>419</v>
      </c>
      <c r="K146" s="62"/>
      <c r="L146" s="19"/>
    </row>
    <row r="147" spans="1:12" s="6" customFormat="1" ht="60.75" customHeight="1" x14ac:dyDescent="0.25">
      <c r="A147" s="18">
        <v>33</v>
      </c>
      <c r="B147" s="23" t="s">
        <v>258</v>
      </c>
      <c r="C147" s="23" t="s">
        <v>269</v>
      </c>
      <c r="D147" s="20" t="s">
        <v>270</v>
      </c>
      <c r="E147" s="20">
        <v>0</v>
      </c>
      <c r="F147" s="20">
        <v>0</v>
      </c>
      <c r="G147" s="20">
        <f t="shared" si="1"/>
        <v>0</v>
      </c>
      <c r="H147" s="20">
        <v>50</v>
      </c>
      <c r="I147" s="20"/>
      <c r="J147" s="57" t="s">
        <v>419</v>
      </c>
      <c r="K147" s="62"/>
      <c r="L147" s="19"/>
    </row>
    <row r="148" spans="1:12" s="6" customFormat="1" ht="60.75" customHeight="1" x14ac:dyDescent="0.25">
      <c r="A148" s="18">
        <v>34</v>
      </c>
      <c r="B148" s="23" t="s">
        <v>273</v>
      </c>
      <c r="C148" s="23" t="s">
        <v>274</v>
      </c>
      <c r="D148" s="20" t="s">
        <v>275</v>
      </c>
      <c r="E148" s="20">
        <v>0</v>
      </c>
      <c r="F148" s="20">
        <v>0</v>
      </c>
      <c r="G148" s="20">
        <f t="shared" si="1"/>
        <v>0</v>
      </c>
      <c r="H148" s="20">
        <v>10</v>
      </c>
      <c r="I148" s="20"/>
      <c r="J148" s="22" t="s">
        <v>302</v>
      </c>
      <c r="K148" s="62"/>
      <c r="L148" s="19"/>
    </row>
    <row r="149" spans="1:12" s="6" customFormat="1" ht="60.75" customHeight="1" x14ac:dyDescent="0.25">
      <c r="A149" s="18">
        <v>35</v>
      </c>
      <c r="B149" s="23" t="s">
        <v>276</v>
      </c>
      <c r="C149" s="23" t="s">
        <v>277</v>
      </c>
      <c r="D149" s="20" t="s">
        <v>275</v>
      </c>
      <c r="E149" s="20">
        <v>0</v>
      </c>
      <c r="F149" s="20">
        <v>0</v>
      </c>
      <c r="G149" s="20">
        <f t="shared" si="1"/>
        <v>0</v>
      </c>
      <c r="H149" s="20">
        <v>30</v>
      </c>
      <c r="I149" s="20"/>
      <c r="J149" s="22" t="s">
        <v>303</v>
      </c>
      <c r="K149" s="62"/>
      <c r="L149" s="19"/>
    </row>
    <row r="150" spans="1:12" s="6" customFormat="1" ht="60.75" customHeight="1" x14ac:dyDescent="0.25">
      <c r="A150" s="18">
        <v>36</v>
      </c>
      <c r="B150" s="23" t="s">
        <v>278</v>
      </c>
      <c r="C150" s="23" t="s">
        <v>279</v>
      </c>
      <c r="D150" s="20" t="s">
        <v>270</v>
      </c>
      <c r="E150" s="20">
        <v>0</v>
      </c>
      <c r="F150" s="20">
        <v>0</v>
      </c>
      <c r="G150" s="20">
        <f t="shared" si="1"/>
        <v>0</v>
      </c>
      <c r="H150" s="20">
        <v>15</v>
      </c>
      <c r="I150" s="20"/>
      <c r="J150" s="22" t="s">
        <v>304</v>
      </c>
      <c r="K150" s="62"/>
      <c r="L150" s="19"/>
    </row>
    <row r="151" spans="1:12" s="6" customFormat="1" ht="60.75" customHeight="1" x14ac:dyDescent="0.25">
      <c r="A151" s="18">
        <v>37</v>
      </c>
      <c r="B151" s="23" t="s">
        <v>280</v>
      </c>
      <c r="C151" s="23" t="s">
        <v>281</v>
      </c>
      <c r="D151" s="20" t="s">
        <v>270</v>
      </c>
      <c r="E151" s="20">
        <v>0</v>
      </c>
      <c r="F151" s="20">
        <v>0</v>
      </c>
      <c r="G151" s="20">
        <f t="shared" ref="G151:G168" si="2">E151-F151</f>
        <v>0</v>
      </c>
      <c r="H151" s="20">
        <v>10</v>
      </c>
      <c r="I151" s="20"/>
      <c r="J151" s="22" t="s">
        <v>305</v>
      </c>
      <c r="K151" s="62"/>
      <c r="L151" s="19"/>
    </row>
    <row r="152" spans="1:12" s="6" customFormat="1" ht="60.75" customHeight="1" x14ac:dyDescent="0.25">
      <c r="A152" s="18">
        <v>38</v>
      </c>
      <c r="B152" s="23" t="s">
        <v>282</v>
      </c>
      <c r="C152" s="23" t="s">
        <v>283</v>
      </c>
      <c r="D152" s="20" t="s">
        <v>66</v>
      </c>
      <c r="E152" s="20">
        <v>0</v>
      </c>
      <c r="F152" s="20">
        <v>0</v>
      </c>
      <c r="G152" s="20">
        <f t="shared" si="2"/>
        <v>0</v>
      </c>
      <c r="H152" s="20">
        <v>100</v>
      </c>
      <c r="I152" s="20"/>
      <c r="J152" s="22" t="s">
        <v>304</v>
      </c>
      <c r="K152" s="62"/>
      <c r="L152" s="19"/>
    </row>
    <row r="153" spans="1:12" s="6" customFormat="1" ht="60.75" customHeight="1" x14ac:dyDescent="0.25">
      <c r="A153" s="18">
        <v>39</v>
      </c>
      <c r="B153" s="23" t="s">
        <v>284</v>
      </c>
      <c r="C153" s="23" t="s">
        <v>285</v>
      </c>
      <c r="D153" s="20" t="s">
        <v>66</v>
      </c>
      <c r="E153" s="20">
        <v>0</v>
      </c>
      <c r="F153" s="20">
        <v>0</v>
      </c>
      <c r="G153" s="20">
        <f t="shared" si="2"/>
        <v>0</v>
      </c>
      <c r="H153" s="20">
        <v>100</v>
      </c>
      <c r="I153" s="20"/>
      <c r="J153" s="22" t="s">
        <v>306</v>
      </c>
      <c r="K153" s="62"/>
      <c r="L153" s="19"/>
    </row>
    <row r="154" spans="1:12" s="6" customFormat="1" ht="60.75" customHeight="1" x14ac:dyDescent="0.25">
      <c r="A154" s="18">
        <v>40</v>
      </c>
      <c r="B154" s="19" t="s">
        <v>413</v>
      </c>
      <c r="C154" s="23" t="s">
        <v>412</v>
      </c>
      <c r="D154" s="18" t="s">
        <v>411</v>
      </c>
      <c r="E154" s="18">
        <v>0</v>
      </c>
      <c r="F154" s="18">
        <v>0</v>
      </c>
      <c r="G154" s="20">
        <f t="shared" si="2"/>
        <v>0</v>
      </c>
      <c r="H154" s="13">
        <v>1</v>
      </c>
      <c r="I154" s="20"/>
      <c r="J154" s="49" t="s">
        <v>409</v>
      </c>
      <c r="K154" s="62"/>
      <c r="L154" s="22" t="s">
        <v>104</v>
      </c>
    </row>
    <row r="155" spans="1:12" s="6" customFormat="1" ht="72.75" customHeight="1" x14ac:dyDescent="0.25">
      <c r="A155" s="18">
        <v>41</v>
      </c>
      <c r="B155" s="27" t="s">
        <v>221</v>
      </c>
      <c r="C155" s="27" t="s">
        <v>222</v>
      </c>
      <c r="D155" s="28" t="s">
        <v>172</v>
      </c>
      <c r="E155" s="28">
        <v>0</v>
      </c>
      <c r="F155" s="28">
        <v>0</v>
      </c>
      <c r="G155" s="20">
        <f t="shared" si="2"/>
        <v>0</v>
      </c>
      <c r="H155" s="28">
        <v>1</v>
      </c>
      <c r="I155" s="20"/>
      <c r="J155" s="29" t="s">
        <v>241</v>
      </c>
      <c r="K155" s="19">
        <v>7</v>
      </c>
      <c r="L155" s="19" t="s">
        <v>136</v>
      </c>
    </row>
    <row r="156" spans="1:12" s="6" customFormat="1" ht="72.75" customHeight="1" x14ac:dyDescent="0.25">
      <c r="A156" s="18">
        <v>42</v>
      </c>
      <c r="B156" s="27" t="s">
        <v>223</v>
      </c>
      <c r="C156" s="27" t="s">
        <v>224</v>
      </c>
      <c r="D156" s="28" t="s">
        <v>172</v>
      </c>
      <c r="E156" s="28">
        <v>0</v>
      </c>
      <c r="F156" s="28">
        <v>0</v>
      </c>
      <c r="G156" s="20">
        <f t="shared" si="2"/>
        <v>0</v>
      </c>
      <c r="H156" s="28">
        <v>1</v>
      </c>
      <c r="I156" s="20"/>
      <c r="J156" s="29" t="s">
        <v>242</v>
      </c>
      <c r="K156" s="19">
        <v>1</v>
      </c>
      <c r="L156" s="19" t="s">
        <v>136</v>
      </c>
    </row>
    <row r="157" spans="1:12" s="6" customFormat="1" ht="90" customHeight="1" x14ac:dyDescent="0.25">
      <c r="A157" s="18">
        <v>43</v>
      </c>
      <c r="B157" s="27" t="s">
        <v>225</v>
      </c>
      <c r="C157" s="27" t="s">
        <v>226</v>
      </c>
      <c r="D157" s="28" t="s">
        <v>172</v>
      </c>
      <c r="E157" s="28">
        <v>0</v>
      </c>
      <c r="F157" s="28">
        <v>0</v>
      </c>
      <c r="G157" s="20">
        <f t="shared" si="2"/>
        <v>0</v>
      </c>
      <c r="H157" s="28">
        <v>1</v>
      </c>
      <c r="I157" s="20"/>
      <c r="J157" s="29" t="s">
        <v>243</v>
      </c>
      <c r="K157" s="19">
        <v>150</v>
      </c>
      <c r="L157" s="19" t="s">
        <v>136</v>
      </c>
    </row>
    <row r="158" spans="1:12" s="6" customFormat="1" ht="58.5" customHeight="1" x14ac:dyDescent="0.25">
      <c r="A158" s="18">
        <v>44</v>
      </c>
      <c r="B158" s="27" t="s">
        <v>227</v>
      </c>
      <c r="C158" s="27" t="s">
        <v>228</v>
      </c>
      <c r="D158" s="28" t="s">
        <v>172</v>
      </c>
      <c r="E158" s="28">
        <v>0</v>
      </c>
      <c r="F158" s="28">
        <v>0</v>
      </c>
      <c r="G158" s="20">
        <f t="shared" si="2"/>
        <v>0</v>
      </c>
      <c r="H158" s="28">
        <v>1</v>
      </c>
      <c r="I158" s="20"/>
      <c r="J158" s="29" t="s">
        <v>243</v>
      </c>
      <c r="K158" s="19">
        <v>1</v>
      </c>
      <c r="L158" s="19" t="s">
        <v>136</v>
      </c>
    </row>
    <row r="159" spans="1:12" s="6" customFormat="1" ht="102" customHeight="1" x14ac:dyDescent="0.25">
      <c r="A159" s="18">
        <v>45</v>
      </c>
      <c r="B159" s="27" t="s">
        <v>229</v>
      </c>
      <c r="C159" s="27" t="s">
        <v>230</v>
      </c>
      <c r="D159" s="28" t="s">
        <v>172</v>
      </c>
      <c r="E159" s="28">
        <v>0</v>
      </c>
      <c r="F159" s="28">
        <v>0</v>
      </c>
      <c r="G159" s="20">
        <f t="shared" si="2"/>
        <v>0</v>
      </c>
      <c r="H159" s="28">
        <v>1</v>
      </c>
      <c r="I159" s="20"/>
      <c r="J159" s="29" t="s">
        <v>243</v>
      </c>
      <c r="K159" s="19">
        <v>1</v>
      </c>
      <c r="L159" s="19" t="s">
        <v>136</v>
      </c>
    </row>
    <row r="160" spans="1:12" s="6" customFormat="1" ht="52.5" customHeight="1" x14ac:dyDescent="0.25">
      <c r="A160" s="18">
        <v>46</v>
      </c>
      <c r="B160" s="27" t="s">
        <v>231</v>
      </c>
      <c r="C160" s="27" t="s">
        <v>232</v>
      </c>
      <c r="D160" s="28" t="s">
        <v>172</v>
      </c>
      <c r="E160" s="28">
        <v>0</v>
      </c>
      <c r="F160" s="28">
        <v>0</v>
      </c>
      <c r="G160" s="20">
        <f t="shared" si="2"/>
        <v>0</v>
      </c>
      <c r="H160" s="28">
        <v>2</v>
      </c>
      <c r="I160" s="20"/>
      <c r="J160" s="29" t="s">
        <v>307</v>
      </c>
      <c r="K160" s="19">
        <v>1</v>
      </c>
      <c r="L160" s="19" t="s">
        <v>136</v>
      </c>
    </row>
    <row r="161" spans="1:12" s="6" customFormat="1" ht="39" customHeight="1" x14ac:dyDescent="0.25">
      <c r="A161" s="18">
        <v>47</v>
      </c>
      <c r="B161" s="23" t="s">
        <v>375</v>
      </c>
      <c r="C161" s="23" t="s">
        <v>376</v>
      </c>
      <c r="D161" s="28" t="s">
        <v>0</v>
      </c>
      <c r="E161" s="28">
        <v>0</v>
      </c>
      <c r="F161" s="28">
        <v>0</v>
      </c>
      <c r="G161" s="20">
        <f t="shared" si="2"/>
        <v>0</v>
      </c>
      <c r="H161" s="28">
        <v>2</v>
      </c>
      <c r="I161" s="20"/>
      <c r="J161" s="29" t="s">
        <v>381</v>
      </c>
      <c r="K161" s="19">
        <v>2</v>
      </c>
      <c r="L161" s="19" t="s">
        <v>136</v>
      </c>
    </row>
    <row r="162" spans="1:12" s="6" customFormat="1" ht="39" customHeight="1" x14ac:dyDescent="0.25">
      <c r="A162" s="18">
        <v>48</v>
      </c>
      <c r="B162" s="23" t="s">
        <v>377</v>
      </c>
      <c r="C162" s="23" t="s">
        <v>378</v>
      </c>
      <c r="D162" s="28" t="s">
        <v>0</v>
      </c>
      <c r="E162" s="28">
        <v>0</v>
      </c>
      <c r="F162" s="28">
        <v>0</v>
      </c>
      <c r="G162" s="20">
        <f t="shared" si="2"/>
        <v>0</v>
      </c>
      <c r="H162" s="28">
        <v>2</v>
      </c>
      <c r="I162" s="20"/>
      <c r="J162" s="29" t="s">
        <v>382</v>
      </c>
      <c r="K162" s="19">
        <v>2</v>
      </c>
      <c r="L162" s="19" t="s">
        <v>136</v>
      </c>
    </row>
    <row r="163" spans="1:12" s="6" customFormat="1" ht="39" customHeight="1" x14ac:dyDescent="0.25">
      <c r="A163" s="18">
        <v>49</v>
      </c>
      <c r="B163" s="23" t="s">
        <v>379</v>
      </c>
      <c r="C163" s="23" t="s">
        <v>380</v>
      </c>
      <c r="D163" s="28" t="s">
        <v>0</v>
      </c>
      <c r="E163" s="28">
        <v>0</v>
      </c>
      <c r="F163" s="28">
        <v>0</v>
      </c>
      <c r="G163" s="20">
        <f t="shared" si="2"/>
        <v>0</v>
      </c>
      <c r="H163" s="28">
        <v>2</v>
      </c>
      <c r="I163" s="20"/>
      <c r="J163" s="29" t="s">
        <v>382</v>
      </c>
      <c r="K163" s="19">
        <v>2</v>
      </c>
      <c r="L163" s="19" t="s">
        <v>136</v>
      </c>
    </row>
    <row r="164" spans="1:12" s="6" customFormat="1" ht="38.25" customHeight="1" x14ac:dyDescent="0.25">
      <c r="A164" s="18">
        <v>50</v>
      </c>
      <c r="B164" s="27" t="s">
        <v>233</v>
      </c>
      <c r="C164" s="27" t="s">
        <v>234</v>
      </c>
      <c r="D164" s="28" t="s">
        <v>172</v>
      </c>
      <c r="E164" s="28">
        <v>0</v>
      </c>
      <c r="F164" s="28">
        <v>0</v>
      </c>
      <c r="G164" s="20">
        <f t="shared" si="2"/>
        <v>0</v>
      </c>
      <c r="H164" s="28">
        <v>4</v>
      </c>
      <c r="I164" s="20"/>
      <c r="J164" s="27" t="s">
        <v>410</v>
      </c>
      <c r="K164" s="19">
        <v>4</v>
      </c>
      <c r="L164" s="19" t="s">
        <v>136</v>
      </c>
    </row>
    <row r="165" spans="1:12" s="6" customFormat="1" ht="39" customHeight="1" x14ac:dyDescent="0.25">
      <c r="A165" s="18">
        <v>51</v>
      </c>
      <c r="B165" s="27" t="s">
        <v>235</v>
      </c>
      <c r="C165" s="27" t="s">
        <v>236</v>
      </c>
      <c r="D165" s="28" t="s">
        <v>172</v>
      </c>
      <c r="E165" s="28">
        <v>0</v>
      </c>
      <c r="F165" s="28">
        <v>0</v>
      </c>
      <c r="G165" s="20">
        <f t="shared" si="2"/>
        <v>0</v>
      </c>
      <c r="H165" s="28">
        <v>4</v>
      </c>
      <c r="I165" s="20"/>
      <c r="J165" s="27" t="s">
        <v>410</v>
      </c>
      <c r="K165" s="19">
        <v>22</v>
      </c>
      <c r="L165" s="19" t="s">
        <v>136</v>
      </c>
    </row>
    <row r="166" spans="1:12" s="6" customFormat="1" ht="39" customHeight="1" x14ac:dyDescent="0.25">
      <c r="A166" s="18">
        <v>52</v>
      </c>
      <c r="B166" s="30" t="s">
        <v>237</v>
      </c>
      <c r="C166" s="30" t="s">
        <v>238</v>
      </c>
      <c r="D166" s="58" t="s">
        <v>0</v>
      </c>
      <c r="E166" s="58">
        <v>0</v>
      </c>
      <c r="F166" s="58">
        <v>0</v>
      </c>
      <c r="G166" s="20">
        <f t="shared" si="2"/>
        <v>0</v>
      </c>
      <c r="H166" s="58">
        <v>1</v>
      </c>
      <c r="I166" s="20"/>
      <c r="J166" s="30" t="s">
        <v>244</v>
      </c>
      <c r="K166" s="19">
        <v>6</v>
      </c>
      <c r="L166" s="19" t="s">
        <v>136</v>
      </c>
    </row>
    <row r="167" spans="1:12" s="6" customFormat="1" ht="39" customHeight="1" x14ac:dyDescent="0.25">
      <c r="A167" s="18">
        <v>53</v>
      </c>
      <c r="B167" s="30"/>
      <c r="C167" s="30" t="s">
        <v>420</v>
      </c>
      <c r="D167" s="58" t="s">
        <v>2</v>
      </c>
      <c r="E167" s="58">
        <v>0</v>
      </c>
      <c r="F167" s="58">
        <v>0</v>
      </c>
      <c r="G167" s="20">
        <f t="shared" si="2"/>
        <v>0</v>
      </c>
      <c r="H167" s="58">
        <v>20</v>
      </c>
      <c r="I167" s="20"/>
      <c r="J167" s="30" t="s">
        <v>421</v>
      </c>
      <c r="K167" s="19"/>
      <c r="L167" s="19"/>
    </row>
    <row r="168" spans="1:12" s="6" customFormat="1" ht="39" customHeight="1" x14ac:dyDescent="0.25">
      <c r="A168" s="18">
        <v>54</v>
      </c>
      <c r="B168" s="27" t="s">
        <v>239</v>
      </c>
      <c r="C168" s="27" t="s">
        <v>240</v>
      </c>
      <c r="D168" s="28" t="s">
        <v>0</v>
      </c>
      <c r="E168" s="28">
        <v>0</v>
      </c>
      <c r="F168" s="28">
        <v>0</v>
      </c>
      <c r="G168" s="20">
        <f t="shared" si="2"/>
        <v>0</v>
      </c>
      <c r="H168" s="28">
        <v>16</v>
      </c>
      <c r="I168" s="20"/>
      <c r="J168" s="29" t="s">
        <v>245</v>
      </c>
      <c r="K168" s="19">
        <v>5</v>
      </c>
      <c r="L168" s="19" t="s">
        <v>136</v>
      </c>
    </row>
    <row r="1046564" spans="3:11" s="31" customFormat="1" ht="26.25" customHeight="1" x14ac:dyDescent="0.25">
      <c r="C1046564" s="10"/>
      <c r="H1046564" s="59"/>
      <c r="J1046564" s="60"/>
      <c r="K1046564" s="37"/>
    </row>
  </sheetData>
  <autoFilter ref="A21:X168" xr:uid="{00000000-0009-0000-0000-00000C000000}"/>
  <mergeCells count="6">
    <mergeCell ref="A10:B10"/>
    <mergeCell ref="A11:B11"/>
    <mergeCell ref="H12:I12"/>
    <mergeCell ref="B14:J14"/>
    <mergeCell ref="B15:J15"/>
    <mergeCell ref="A12:B12"/>
  </mergeCells>
  <phoneticPr fontId="3" type="noConversion"/>
  <conditionalFormatting sqref="B124">
    <cfRule type="duplicateValues" dxfId="0" priority="1"/>
  </conditionalFormatting>
  <printOptions horizontalCentered="1"/>
  <pageMargins left="0" right="0" top="0.25" bottom="0.25" header="0.3" footer="0.3"/>
  <pageSetup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Tháng 8.2026</vt:lpstr>
      <vt:lpstr>Tháng 7.2026</vt:lpstr>
      <vt:lpstr>Tháng 6.2026</vt:lpstr>
      <vt:lpstr>Tháng 05.2026</vt:lpstr>
      <vt:lpstr>Tháng 04.2026</vt:lpstr>
      <vt:lpstr>Tháng 03.2026</vt:lpstr>
      <vt:lpstr>Tháng 02.2026</vt:lpstr>
      <vt:lpstr>Tháng 01.2026</vt:lpstr>
      <vt:lpstr>Tháng 12.2024</vt:lpstr>
      <vt:lpstr>Tháng 11.2024</vt:lpstr>
      <vt:lpstr>Tháng 10.2024</vt:lpstr>
      <vt:lpstr>Tháng 9.2024</vt:lpstr>
      <vt:lpstr>Tháng 8.2024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Cuong</dc:creator>
  <cp:lastModifiedBy>Kim Khanh</cp:lastModifiedBy>
  <cp:lastPrinted>2021-06-24T02:25:12Z</cp:lastPrinted>
  <dcterms:created xsi:type="dcterms:W3CDTF">2014-10-24T09:02:35Z</dcterms:created>
  <dcterms:modified xsi:type="dcterms:W3CDTF">2026-08-25T07:37:27Z</dcterms:modified>
</cp:coreProperties>
</file>